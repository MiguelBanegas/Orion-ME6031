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ownloads\MACROS\MACROS\1PH2W\"/>
    </mc:Choice>
  </mc:AlternateContent>
  <xr:revisionPtr revIDLastSave="0" documentId="13_ncr:1_{111C9F0A-A27E-4DE3-BD72-FCEDDD4E9A3A}" xr6:coauthVersionLast="47" xr6:coauthVersionMax="47" xr10:uidLastSave="{00000000-0000-0000-0000-000000000000}"/>
  <bookViews>
    <workbookView xWindow="-120" yWindow="-120" windowWidth="19440" windowHeight="12240" xr2:uid="{00000000-000D-0000-FFFF-FFFF00000000}"/>
  </bookViews>
  <sheets>
    <sheet name="datos" sheetId="1" r:id="rId1"/>
    <sheet name="GRAFICOS" sheetId="4" r:id="rId2"/>
    <sheet name="HISTOGRAMAS" sheetId="6" r:id="rId3"/>
    <sheet name="MAX_MIN" sheetId="5" r:id="rId4"/>
  </sheets>
  <definedNames>
    <definedName name="_xlnm._FilterDatabase" localSheetId="0" hidden="1">datos!$A$3:$AJ$3</definedName>
    <definedName name="_xlnm._FilterDatabase" localSheetId="1" hidden="1">GRAFICOS!$A$11:$O$11</definedName>
    <definedName name="DATE">OFFSET(datos!$A$4,0,0,COUNTA(datos!$A:$A)-3,1)</definedName>
    <definedName name="DMIA">INDIRECT("datos!"&amp;"Y"&amp;GRAFICOS!$N$13):INDIRECT("datos!"&amp;"Y"&amp;GRAFICOS!$N$14)</definedName>
    <definedName name="DMP">INDIRECT("datos!"&amp;"AB"&amp;GRAFICOS!$N$13):INDIRECT("datos!"&amp;"AB"&amp;GRAFICOS!$N$14)</definedName>
    <definedName name="DMQ">INDIRECT("datos!"&amp;"AE"&amp;GRAFICOS!$N$13):INDIRECT("datos!"&amp;"AE"&amp;GRAFICOS!$N$14)</definedName>
    <definedName name="DMS">INDIRECT("datos!"&amp;"AH"&amp;GRAFICOS!$N$13):INDIRECT("datos!"&amp;"AH"&amp;GRAFICOS!$N$14)</definedName>
    <definedName name="EPA">INDIRECT("datos!"&amp;"V"&amp;GRAFICOS!$N$13):INDIRECT("datos!"&amp;"V"&amp;GRAFICOS!$N$14)</definedName>
    <definedName name="EQA">INDIRECT("datos!"&amp;"W"&amp;GRAFICOS!$N$13):INDIRECT("datos!"&amp;"W"&amp;GRAFICOS!$N$14)</definedName>
    <definedName name="ESA">INDIRECT("datos!"&amp;"X"&amp;GRAFICOS!$N$13):INDIRECT("datos!"&amp;"X"&amp;GRAFICOS!$N$14)</definedName>
    <definedName name="F_A">INDIRECT("datos!"&amp;"Q"&amp;GRAFICOS!$N$13):INDIRECT("datos!"&amp;"Q"&amp;GRAFICOS!$N$14)</definedName>
    <definedName name="fichero" localSheetId="0">datos!$A$1:$AD$16</definedName>
    <definedName name="fichero_1" localSheetId="0">datos!$A$1:$AD$13</definedName>
    <definedName name="IA">INDIRECT("datos!"&amp;"K"&amp;GRAFICOS!$N$13):INDIRECT("datos!"&amp;"K"&amp;GRAFICOS!$N$14)</definedName>
    <definedName name="ITHA">INDIRECT("datos!"&amp;"F"&amp;GRAFICOS!$N$13):INDIRECT("datos!"&amp;"F"&amp;GRAFICOS!$N$14)</definedName>
    <definedName name="ITHVA">INDIRECT("datos!"&amp;"J"&amp;GRAFICOS!$N$13):INDIRECT("datos!"&amp;"J"&amp;GRAFICOS!$N$14)</definedName>
    <definedName name="ITHVAA">INDIRECT("datos!"&amp;"O"&amp;GRAFICOS!$N$13):INDIRECT("datos!"&amp;"O"&amp;GRAFICOS!$N$14)</definedName>
    <definedName name="ITHWA">INDIRECT("datos!"&amp;"P"&amp;GRAFICOS!$N$13):INDIRECT("datos!"&amp;"P"&amp;GRAFICOS!$N$14)</definedName>
    <definedName name="ITHWAA">INDIRECT("datos!"&amp;"P"&amp;GRAFICOS!$N$13):INDIRECT("datos!"&amp;"P"&amp;GRAFICOS!$N$14)</definedName>
    <definedName name="ITHXA">INDIRECT("datos!"&amp;"L"&amp;GRAFICOS!$N$13):INDIRECT("datos!"&amp;"L"&amp;GRAFICOS!$N$14)</definedName>
    <definedName name="ITHXAA">INDIRECT("datos!"&amp;"L"&amp;GRAFICOS!$N$13):INDIRECT("datos!"&amp;"L"&amp;GRAFICOS!$N$14)</definedName>
    <definedName name="ITHYA">INDIRECT("datos!"&amp;"M"&amp;GRAFICOS!$N$13):INDIRECT("datos!"&amp;"M"&amp;GRAFICOS!$N$14)</definedName>
    <definedName name="ITHYAA">INDIRECT("datos!"&amp;"M"&amp;GRAFICOS!$N$13):INDIRECT("datos!"&amp;"M"&amp;GRAFICOS!$N$14)</definedName>
    <definedName name="ITHZA">INDIRECT("datos!"&amp;"N"&amp;GRAFICOS!$N$13):INDIRECT("datos!"&amp;"N"&amp;GRAFICOS!$N$14)</definedName>
    <definedName name="ITHZAA">INDIRECT("datos!"&amp;"N"&amp;GRAFICOS!$N$13):INDIRECT("datos!"&amp;"N"&amp;GRAFICOS!$N$14)</definedName>
    <definedName name="P_A">INDIRECT("datos!"&amp;"S"&amp;GRAFICOS!$N$13):INDIRECT("datos!"&amp;"S"&amp;GRAFICOS!$N$14)</definedName>
    <definedName name="PDMIA">INDIRECT("datos!"&amp;"Z"&amp;GRAFICOS!$N$13):INDIRECT("datos!"&amp;"Z"&amp;GRAFICOS!$N$14)</definedName>
    <definedName name="PDMIA_DT">INDIRECT("datos!"&amp;"AA"&amp;GRAFICOS!$N$13):INDIRECT("datos!"&amp;"AA"&amp;GRAFICOS!$N$14)</definedName>
    <definedName name="PDMP">INDIRECT("datos!"&amp;"AC"&amp;GRAFICOS!$N$13):INDIRECT("datos!"&amp;"AC"&amp;GRAFICOS!$N$14)</definedName>
    <definedName name="PDMP_DT">INDIRECT("datos!"&amp;"AD"&amp;GRAFICOS!$N$13):INDIRECT("datos!"&amp;"AD"&amp;GRAFICOS!$N$14)</definedName>
    <definedName name="PDMQ">INDIRECT("datos!"&amp;"AF"&amp;GRAFICOS!$N$13):INDIRECT("datos!"&amp;"AF"&amp;GRAFICOS!$N$14)</definedName>
    <definedName name="PDMQ_DT">INDIRECT("datos!"&amp;"AG"&amp;GRAFICOS!$N$13):INDIRECT("datos!"&amp;"AG"&amp;GRAFICOS!$N$14)</definedName>
    <definedName name="PDMS">INDIRECT("datos!"&amp;"AI"&amp;GRAFICOS!$N$13):INDIRECT("datos!"&amp;"AI"&amp;GRAFICOS!$N$14)</definedName>
    <definedName name="PDMS_DT">INDIRECT("datos!"&amp;"AJ"&amp;GRAFICOS!$N$13):INDIRECT("datos!"&amp;"AJ"&amp;GRAFICOS!$N$14)</definedName>
    <definedName name="PFA">INDIRECT("datos!"&amp;"R"&amp;GRAFICOS!$N$13):INDIRECT("datos!"&amp;"R"&amp;GRAFICOS!$N$14)</definedName>
    <definedName name="Q_A">INDIRECT("datos!"&amp;"T"&amp;GRAFICOS!$N$13):INDIRECT("datos!"&amp;"T"&amp;GRAFICOS!$N$14)</definedName>
    <definedName name="RANGO_TIEMPO">INDIRECT("datos!"&amp;"B"&amp;GRAFICOS!$N$13):INDIRECT("datos!"&amp;"B"&amp;GRAFICOS!$N$14)</definedName>
    <definedName name="S_A">INDIRECT("datos!"&amp;"U"&amp;GRAFICOS!$N$13):INDIRECT("datos!"&amp;"U"&amp;GRAFICOS!$N$14)</definedName>
    <definedName name="TIME">OFFSET(datos!$B$4,0,0,COUNTA(datos!$A:$A)-3,1)</definedName>
    <definedName name="UA">INDIRECT("datos!"&amp;"C"&amp;GRAFICOS!$N$13):INDIRECT("datos!"&amp;"C"&amp;GRAFICOS!$N$14)</definedName>
    <definedName name="UTHA">INDIRECT("datos!"&amp;"D"&amp;GRAFICOS!$N$13):INDIRECT("datos!"&amp;"D"&amp;GRAFICOS!$N$14)</definedName>
  </definedNames>
  <calcPr calcId="191029"/>
</workbook>
</file>

<file path=xl/calcChain.xml><?xml version="1.0" encoding="utf-8"?>
<calcChain xmlns="http://schemas.openxmlformats.org/spreadsheetml/2006/main">
  <c r="I16" i="6" l="1"/>
  <c r="I17" i="6" s="1"/>
  <c r="I18" i="6" s="1"/>
  <c r="I19" i="6" s="1"/>
  <c r="I20" i="6" s="1"/>
  <c r="I21" i="6" s="1"/>
  <c r="I22" i="6" s="1"/>
  <c r="I23" i="6" s="1"/>
  <c r="I24" i="6" s="1"/>
  <c r="I25" i="6" s="1"/>
  <c r="I26" i="6" s="1"/>
  <c r="I27" i="6" s="1"/>
  <c r="I28" i="6" s="1"/>
  <c r="I29" i="6" s="1"/>
  <c r="I30" i="6" s="1"/>
  <c r="I31" i="6" s="1"/>
  <c r="I32" i="6" s="1"/>
  <c r="I33" i="6" s="1"/>
  <c r="I34" i="6" s="1"/>
  <c r="I35" i="6" s="1"/>
  <c r="I36" i="6" s="1"/>
  <c r="I37" i="6" s="1"/>
  <c r="I38" i="6" s="1"/>
  <c r="I39" i="6" s="1"/>
  <c r="I40" i="6" s="1"/>
  <c r="I41" i="6" s="1"/>
  <c r="I42" i="6" s="1"/>
  <c r="I43" i="6" s="1"/>
  <c r="I44" i="6" s="1"/>
  <c r="I45" i="6" s="1"/>
  <c r="I46" i="6" s="1"/>
  <c r="I47" i="6" s="1"/>
  <c r="I48" i="6" s="1"/>
  <c r="I49" i="6" s="1"/>
  <c r="I50" i="6" s="1"/>
  <c r="I51" i="6" s="1"/>
  <c r="I52" i="6" s="1"/>
  <c r="I53" i="6" s="1"/>
  <c r="I54" i="6" s="1"/>
  <c r="I55" i="6" s="1"/>
  <c r="I56" i="6" s="1"/>
  <c r="A16" i="6" l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l="1"/>
  <c r="P10" i="4"/>
  <c r="N10" i="4" s="1"/>
  <c r="A44" i="6" l="1"/>
  <c r="Q11" i="4"/>
  <c r="M11" i="4" s="1"/>
  <c r="Q10" i="4"/>
  <c r="P11" i="4"/>
  <c r="N11" i="4" s="1"/>
  <c r="P13" i="4"/>
  <c r="N14" i="4" l="1" a="1"/>
  <c r="N14" i="4" s="1"/>
  <c r="M10" i="4"/>
  <c r="N13" i="4" s="1" a="1"/>
  <c r="N13" i="4" s="1"/>
  <c r="A45" i="6"/>
  <c r="M14" i="4"/>
  <c r="M13" i="4"/>
  <c r="H13" i="5"/>
  <c r="F13" i="5"/>
  <c r="H14" i="5"/>
  <c r="E13" i="5"/>
  <c r="F14" i="5"/>
  <c r="E14" i="5"/>
  <c r="B41" i="6"/>
  <c r="P14" i="4" l="1"/>
  <c r="G13" i="5"/>
  <c r="G14" i="5"/>
  <c r="E35" i="5"/>
  <c r="E44" i="5"/>
  <c r="J28" i="6"/>
  <c r="H36" i="5"/>
  <c r="H32" i="5"/>
  <c r="J50" i="6"/>
  <c r="H29" i="5"/>
  <c r="J38" i="6"/>
  <c r="B19" i="6"/>
  <c r="H33" i="5"/>
  <c r="B24" i="6"/>
  <c r="F19" i="5"/>
  <c r="E33" i="5"/>
  <c r="H27" i="5"/>
  <c r="J27" i="6"/>
  <c r="E15" i="5"/>
  <c r="F40" i="5"/>
  <c r="F20" i="5"/>
  <c r="H31" i="5"/>
  <c r="J32" i="6"/>
  <c r="J53" i="6"/>
  <c r="B45" i="6"/>
  <c r="H23" i="5"/>
  <c r="J17" i="6"/>
  <c r="B32" i="6"/>
  <c r="H16" i="5"/>
  <c r="H30" i="5"/>
  <c r="J44" i="6"/>
  <c r="B42" i="6"/>
  <c r="J45" i="6"/>
  <c r="B22" i="6"/>
  <c r="J29" i="6"/>
  <c r="E31" i="5"/>
  <c r="E34" i="5"/>
  <c r="E29" i="5"/>
  <c r="F28" i="5"/>
  <c r="J49" i="6"/>
  <c r="F47" i="5"/>
  <c r="F32" i="5"/>
  <c r="B37" i="6"/>
  <c r="E21" i="5"/>
  <c r="J15" i="6"/>
  <c r="H28" i="5"/>
  <c r="H17" i="5"/>
  <c r="J19" i="6"/>
  <c r="E48" i="5"/>
  <c r="H46" i="5"/>
  <c r="H38" i="5"/>
  <c r="J25" i="6"/>
  <c r="F27" i="5"/>
  <c r="F18" i="5"/>
  <c r="B40" i="6"/>
  <c r="H39" i="5"/>
  <c r="F39" i="5"/>
  <c r="J22" i="6"/>
  <c r="J35" i="6"/>
  <c r="B36" i="6"/>
  <c r="B21" i="6"/>
  <c r="J47" i="6"/>
  <c r="B29" i="6"/>
  <c r="F30" i="5"/>
  <c r="F24" i="5"/>
  <c r="E24" i="5"/>
  <c r="F37" i="5"/>
  <c r="H47" i="5"/>
  <c r="E22" i="5"/>
  <c r="H22" i="5"/>
  <c r="F41" i="5"/>
  <c r="J31" i="6"/>
  <c r="J54" i="6"/>
  <c r="F42" i="5"/>
  <c r="H42" i="5"/>
  <c r="J56" i="6"/>
  <c r="B20" i="6"/>
  <c r="E23" i="5"/>
  <c r="F44" i="5"/>
  <c r="E38" i="5"/>
  <c r="B39" i="6"/>
  <c r="H48" i="5"/>
  <c r="B17" i="6"/>
  <c r="F25" i="5"/>
  <c r="J48" i="6"/>
  <c r="J24" i="6"/>
  <c r="J23" i="6"/>
  <c r="E27" i="5"/>
  <c r="H19" i="5"/>
  <c r="H25" i="5"/>
  <c r="J34" i="6"/>
  <c r="F15" i="5"/>
  <c r="H35" i="5"/>
  <c r="H34" i="5"/>
  <c r="B44" i="6"/>
  <c r="H20" i="5"/>
  <c r="B26" i="6"/>
  <c r="B16" i="6"/>
  <c r="F33" i="5"/>
  <c r="H26" i="5"/>
  <c r="E40" i="5"/>
  <c r="J36" i="6"/>
  <c r="B38" i="6"/>
  <c r="B27" i="6"/>
  <c r="H15" i="5"/>
  <c r="J16" i="6"/>
  <c r="E47" i="5"/>
  <c r="E17" i="5"/>
  <c r="B15" i="6"/>
  <c r="B23" i="6"/>
  <c r="E26" i="5"/>
  <c r="J55" i="6"/>
  <c r="E39" i="5"/>
  <c r="E25" i="5"/>
  <c r="F34" i="5"/>
  <c r="E43" i="5"/>
  <c r="J18" i="6"/>
  <c r="B28" i="6"/>
  <c r="B33" i="6"/>
  <c r="B34" i="6"/>
  <c r="E28" i="5"/>
  <c r="F36" i="5"/>
  <c r="J42" i="6"/>
  <c r="H41" i="5"/>
  <c r="F21" i="5"/>
  <c r="J26" i="6"/>
  <c r="H45" i="5"/>
  <c r="H18" i="5"/>
  <c r="E36" i="5"/>
  <c r="F16" i="5"/>
  <c r="F26" i="5"/>
  <c r="E37" i="5"/>
  <c r="F43" i="5"/>
  <c r="B43" i="6"/>
  <c r="H37" i="5"/>
  <c r="F48" i="5"/>
  <c r="E20" i="5"/>
  <c r="F31" i="5"/>
  <c r="E42" i="5"/>
  <c r="J40" i="6"/>
  <c r="H44" i="5"/>
  <c r="E32" i="5"/>
  <c r="E18" i="5"/>
  <c r="H24" i="5"/>
  <c r="J21" i="6"/>
  <c r="F38" i="5"/>
  <c r="B18" i="6"/>
  <c r="J33" i="6"/>
  <c r="B35" i="6"/>
  <c r="E46" i="5"/>
  <c r="J30" i="6"/>
  <c r="E19" i="5"/>
  <c r="J41" i="6"/>
  <c r="F45" i="5"/>
  <c r="E16" i="5"/>
  <c r="E45" i="5"/>
  <c r="J39" i="6"/>
  <c r="E41" i="5"/>
  <c r="F22" i="5"/>
  <c r="B30" i="6"/>
  <c r="J43" i="6"/>
  <c r="J52" i="6"/>
  <c r="F35" i="5"/>
  <c r="J51" i="6"/>
  <c r="E30" i="5"/>
  <c r="F46" i="5"/>
  <c r="J46" i="6"/>
  <c r="J37" i="6"/>
  <c r="B25" i="6"/>
  <c r="F23" i="5"/>
  <c r="F17" i="5"/>
  <c r="F29" i="5"/>
  <c r="H21" i="5"/>
  <c r="H40" i="5"/>
  <c r="J20" i="6"/>
  <c r="B31" i="6"/>
  <c r="H43" i="5"/>
  <c r="G20" i="5" l="1"/>
  <c r="G17" i="5"/>
  <c r="G22" i="5"/>
  <c r="G16" i="5"/>
  <c r="G31" i="5"/>
  <c r="G21" i="5"/>
  <c r="G18" i="5"/>
  <c r="G23" i="5"/>
  <c r="G27" i="5"/>
  <c r="G24" i="5"/>
  <c r="G25" i="5"/>
  <c r="G26" i="5"/>
  <c r="G29" i="5"/>
  <c r="G30" i="5"/>
  <c r="G28" i="5"/>
  <c r="G37" i="5"/>
  <c r="G44" i="5"/>
  <c r="G19" i="5"/>
  <c r="G15" i="5"/>
  <c r="G45" i="5"/>
  <c r="G47" i="5"/>
  <c r="G46" i="5"/>
  <c r="G41" i="5"/>
  <c r="G42" i="5"/>
  <c r="G40" i="5"/>
  <c r="G33" i="5"/>
  <c r="G35" i="5"/>
  <c r="G32" i="5"/>
  <c r="G34" i="5"/>
  <c r="G38" i="5"/>
  <c r="G39" i="5"/>
  <c r="G36" i="5"/>
  <c r="G43" i="5"/>
  <c r="G48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587F11C-8667-461B-8D33-7BCCF4D1E1D3}" name="DataSheet_1819182001_1P2W" type="6" refreshedVersion="8" background="1" saveData="1">
    <textPr prompt="0" codePage="850" sourceFile="C:\Users\bring\Downloads\DataSheet_1819182001_1P2W.csv" thousands="'" comma="1">
      <textFields count="5">
        <textField/>
        <textField/>
        <textField/>
        <textField/>
        <textField/>
      </textFields>
    </textPr>
  </connection>
  <connection id="2" xr16:uid="{04815B9E-8F6E-4901-B1FE-1E1F72F41A03}" name="DataSheet_1923416031_1P2W" type="6" refreshedVersion="8" background="1" saveData="1">
    <textPr prompt="0" codePage="850" sourceFile="C:\Users\pc\Downloads\DataSheet_1923416031_1P2W.csv" thousands="'" comma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<sst xmlns="http://schemas.openxmlformats.org/spreadsheetml/2006/main" count="266" uniqueCount="161">
  <si>
    <t>Date&amp;Time</t>
  </si>
  <si>
    <t>Voltage(V)</t>
  </si>
  <si>
    <t>UTHD(%)</t>
  </si>
  <si>
    <t>Current(A)</t>
  </si>
  <si>
    <t>ITHD(%)</t>
  </si>
  <si>
    <t>ITHD3(%)</t>
  </si>
  <si>
    <t>ITHD5(%)</t>
  </si>
  <si>
    <t>ITHD7(%)</t>
  </si>
  <si>
    <t>ITHD11(%)</t>
  </si>
  <si>
    <t>ITHD3(A)</t>
  </si>
  <si>
    <t>ITHD5(A)</t>
  </si>
  <si>
    <t>ITHD7(A)</t>
  </si>
  <si>
    <t>ITHD11(A)</t>
  </si>
  <si>
    <t>Frequency(Hz)</t>
  </si>
  <si>
    <t>Power Factor</t>
  </si>
  <si>
    <t>Active Power(W)</t>
  </si>
  <si>
    <t>Reactive Power(Var)</t>
  </si>
  <si>
    <t>Apparent Power(Va)</t>
  </si>
  <si>
    <t>Active Energy(Wh)</t>
  </si>
  <si>
    <t>Reactive Energy(Varh)</t>
  </si>
  <si>
    <t>Apparent Energy(Vah)</t>
  </si>
  <si>
    <t>Current Demand(A)</t>
  </si>
  <si>
    <t>Current Peak Demand(A)&amp;Date</t>
  </si>
  <si>
    <t>Total Active Power Deamnd(W)</t>
  </si>
  <si>
    <t>Total Active Power Peak Deamnd(W)&amp;Date</t>
  </si>
  <si>
    <t>Total Reactive Power Deamnd(Var)</t>
  </si>
  <si>
    <t>Total Reactive Power Peak Deamnd(Var)&amp;Date</t>
  </si>
  <si>
    <t>Total Apparent Power Deamnd(Va)</t>
  </si>
  <si>
    <t>Total Apparent Power Peak Deamnd(Va)&amp;Date</t>
  </si>
  <si>
    <t>Date</t>
  </si>
  <si>
    <t>Time</t>
  </si>
  <si>
    <t>UA</t>
  </si>
  <si>
    <t>UTHA</t>
  </si>
  <si>
    <t>IA</t>
  </si>
  <si>
    <t>ITHA</t>
  </si>
  <si>
    <t>ITHXA</t>
  </si>
  <si>
    <t>ITHYA</t>
  </si>
  <si>
    <t>ITHZA</t>
  </si>
  <si>
    <t>ITHVA</t>
  </si>
  <si>
    <t>ITHWA</t>
  </si>
  <si>
    <t>FA</t>
  </si>
  <si>
    <t>PFA</t>
  </si>
  <si>
    <t>PA</t>
  </si>
  <si>
    <t>QA</t>
  </si>
  <si>
    <t>SA</t>
  </si>
  <si>
    <t>EPA</t>
  </si>
  <si>
    <t>EQA</t>
  </si>
  <si>
    <t>ESA</t>
  </si>
  <si>
    <t>DmIA</t>
  </si>
  <si>
    <t>PDmIA</t>
  </si>
  <si>
    <t>PDmIA_D/T</t>
  </si>
  <si>
    <t>DmP</t>
  </si>
  <si>
    <t>PDmP</t>
  </si>
  <si>
    <t>PDmP_D/T</t>
  </si>
  <si>
    <t>DmQ</t>
  </si>
  <si>
    <t>PDmQ</t>
  </si>
  <si>
    <t>PDmQ_D/T</t>
  </si>
  <si>
    <t>DmS</t>
  </si>
  <si>
    <t>PDmS</t>
  </si>
  <si>
    <t>PDmS_D/T</t>
  </si>
  <si>
    <t>MAX</t>
  </si>
  <si>
    <t>MIN</t>
  </si>
  <si>
    <t>PROMEDIO</t>
  </si>
  <si>
    <t>MAX-MIN</t>
  </si>
  <si>
    <t>N°</t>
  </si>
  <si>
    <t>Parametro</t>
  </si>
  <si>
    <t>TIPO</t>
  </si>
  <si>
    <t>www.bring.com.ar</t>
  </si>
  <si>
    <t>info@bring.com.ar</t>
  </si>
  <si>
    <t>RANGO DE DATOS</t>
  </si>
  <si>
    <t>FILAS</t>
  </si>
  <si>
    <t>Minimo</t>
  </si>
  <si>
    <t>Maximo</t>
  </si>
  <si>
    <t>ITHD13(%)</t>
  </si>
  <si>
    <t>ITHD13(A)</t>
  </si>
  <si>
    <t>REGISTROS</t>
  </si>
  <si>
    <t>TOTALES</t>
  </si>
  <si>
    <t>USADOS</t>
  </si>
  <si>
    <t>Clase</t>
  </si>
  <si>
    <t>Frecuencia</t>
  </si>
  <si>
    <t>min</t>
  </si>
  <si>
    <t>max</t>
  </si>
  <si>
    <t>de a</t>
  </si>
  <si>
    <t>menor que..</t>
  </si>
  <si>
    <t>TIPO DE CONEXION 1 FASE 2 CONDUCTORES</t>
  </si>
  <si>
    <t>A</t>
  </si>
  <si>
    <t>B</t>
  </si>
  <si>
    <t>C</t>
  </si>
  <si>
    <t>D</t>
  </si>
  <si>
    <t>E</t>
  </si>
  <si>
    <t>F</t>
  </si>
  <si>
    <t>U</t>
  </si>
  <si>
    <t>R</t>
  </si>
  <si>
    <t>V</t>
  </si>
  <si>
    <t>G</t>
  </si>
  <si>
    <t>H</t>
  </si>
  <si>
    <t>Y</t>
  </si>
  <si>
    <t>J</t>
  </si>
  <si>
    <t>K</t>
  </si>
  <si>
    <t>L</t>
  </si>
  <si>
    <t>M</t>
  </si>
  <si>
    <t>N</t>
  </si>
  <si>
    <t>O</t>
  </si>
  <si>
    <t>P</t>
  </si>
  <si>
    <t>Q</t>
  </si>
  <si>
    <t>S</t>
  </si>
  <si>
    <t>T</t>
  </si>
  <si>
    <t>W</t>
  </si>
  <si>
    <t>X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</si>
  <si>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</si>
  <si>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</si>
  <si>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</si>
  <si>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</si>
  <si>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</si>
  <si>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</si>
  <si>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</si>
  <si>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</si>
  <si>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</si>
  <si>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</si>
  <si>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</si>
  <si>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fila</t>
  </si>
  <si>
    <t>ITHWAA</t>
  </si>
  <si>
    <t>ITHXAA</t>
  </si>
  <si>
    <t>ITHYAA</t>
  </si>
  <si>
    <t>ITHZAA</t>
  </si>
  <si>
    <t>ITHVAA</t>
  </si>
  <si>
    <t>F_A</t>
  </si>
  <si>
    <t>GRAFICOS DE OBTENIDOS CON EL ANALIZADOR DE CALIDAD DE ENERGIA ME631</t>
  </si>
  <si>
    <t>EQUIPO ME-631 BRING INGENIERIA</t>
  </si>
  <si>
    <t xml:space="preserve">Cliente </t>
  </si>
  <si>
    <t>STERNHEIM BERNARDO STERNHEIM OSCAR S H</t>
  </si>
  <si>
    <t>Empresa</t>
  </si>
  <si>
    <t>Bring Ingenieria</t>
  </si>
  <si>
    <t>Tarifa</t>
  </si>
  <si>
    <t>T3 - 50kw - EDENOR</t>
  </si>
  <si>
    <t>Cuit</t>
  </si>
  <si>
    <t>20-27859824-2</t>
  </si>
  <si>
    <t>Fecha</t>
  </si>
  <si>
    <t>Tel/cel</t>
  </si>
  <si>
    <t>+5491154572335</t>
  </si>
  <si>
    <t>Tablero</t>
  </si>
  <si>
    <t>GENERAL</t>
  </si>
  <si>
    <t>Mail</t>
  </si>
  <si>
    <t>Tecnico</t>
  </si>
  <si>
    <t>Juan Salva</t>
  </si>
  <si>
    <t>web</t>
  </si>
  <si>
    <t xml:space="preserve">Analisis </t>
  </si>
  <si>
    <t>Ing. Ramiro Bracco</t>
  </si>
  <si>
    <t>ProductSN:1923416031</t>
  </si>
  <si>
    <t>Date&amp;Time,,Voltage(V),UTHD(%),Current(A),ITHD(%),ITHD3(%),ITHD5(%),ITHD7(%),Frequency(Hz),Power Factor,Active Power(W),Reactive Power(Var),Apparent Power(Va),Active Energy(Wh),Reactive Energy(Varh),Apparent Energy(Vah),Current Demand(A),Current Peak Demand(A)&amp;Date,,Total Active Power Deamnd(W),Total Active Power Peak Deamnd(W)&amp;Date,,Total Reactive Power Deamnd(Var),Total Reactive Power Peak Deamnd(Var)&amp;Date,,Total Apparent Power Deamnd(Va),Total Apparent Power Peak Deamnd(Va)&amp;Date,,</t>
  </si>
  <si>
    <t>Date,Time,UA,UTHA,IA,ITHA,ITHXA,ITHYA,ITHZA,FA,PFA,PA,QA,SA,EPA,EQA,ESA,DmIA,PDmIA,PDmIA_D/T,DmP,PDmP,PDmP_D/T,DmQ,PDmQ,PDmQ_D/T,DmS,PDmS,PDmS_D/T,</t>
  </si>
  <si>
    <t>2024-10-25,17:34:40,213.98,74.828,7.64,0.000,0.000,0.000,0.000,50.02,0.999,1631.18,0.00,1633.13,149,32,293,0.00,1.82,2024-10-22 21:26:54,0.00,934.35,2024-10-22 21:26:54,0.00,223.08,2024-10-22 21:26:24,0.00,1099.90,2024-10-22 21:26:54,</t>
  </si>
  <si>
    <t>2024-10-25,17:35:40,212.49,74.828,7.61,0.000,0.000,0.000,0.000,49.92,0.997,1610.94,0.00,1616.16,176,33,320,0.00,1.82,2024-10-22 21:26:54,0.00,934.35,2024-10-22 21:26:54,0.00,223.08,2024-10-22 21:26:24,0.00,1099.90,2024-10-22 21:26:54,</t>
  </si>
  <si>
    <t>2024-10-25,17:36:40,222.05,74.828,0.00,0.000,0.000,0.000,0.000,50.00,0.000,0.00,0.00,0.00,194,33,338,0.00,1.82,2024-10-22 21:26:54,0.00,934.35,2024-10-22 21:26:54,0.00,223.08,2024-10-22 21:26:24,0.00,1099.90,2024-10-22 21:26:54,</t>
  </si>
  <si>
    <t>2024-10-25,17:37:40,221.50,74.828,0.00,0.000,0.000,0.000,0.000,49.99,0.000,0.00,0.00,0.00,194,33,338,0.00,1.82,2024-10-22 21:26:54,0.00,934.35,2024-10-22 21:26:54,0.00,223.08,2024-10-22 21:26:24,0.00,1099.90,2024-10-22 21:26:54,</t>
  </si>
  <si>
    <t>2024-10-25,17:38:40,221.47,74.828,0.00,0.000,0.000,0.000,0.000,50.01,0.000,0.00,0.00,0.00,194,33,338,0.00,1.82,2024-10-22 21:26:54,0.00,934.35,2024-10-22 21:26:54,0.00,223.08,2024-10-22 21:26:24,0.00,1099.90,2024-10-22 21:26:54,</t>
  </si>
  <si>
    <t>2024-10-25,17:39:40,221.43,74.828,0.00,0.000,0.000,0.000,0.000,49.99,0.000,0.00,0.00,0.00,194,33,338,0.00,1.82,2024-10-22 21:26:54,0.00,934.35,2024-10-22 21:26:54,0.00,223.08,2024-10-22 21:26:24,0.00,1099.90,2024-10-22 21:26:54,</t>
  </si>
  <si>
    <t>2024-10-25,17:40:40,213.75,74.828,5.61,0.000,0.000,0.000,0.000,50.02,0.929,1114.21,0.00,1199.07,201,35,345,2.98,2.99,2024-10-25 17:39:40,-9.50,934.35,2024-10-22 21:26:54,0.00,223.08,2024-10-22 21:26:24,620.05,1099.90,2024-10-22 21:26:54,</t>
  </si>
  <si>
    <t>2024-10-25,17:41:40,210.29,74.828,5.75,0.000,0.000,0.000,0.000,50.01,0.952,1150.77,0.00,1208.21,220,41,366,3.35,3.35,2024-10-25 17:41:25,64.36,934.35,2024-10-22 21:26:54,0.00,223.08,2024-10-22 21:26:24,698.78,1099.90,2024-10-22 21:26:54,</t>
  </si>
  <si>
    <t>2024-10-25,17:42:40,209.23,74.828,5.58,0.000,0.000,0.000,0.000,50.02,0.952,1109.64,0.00,1166.43,238,47,385,3.72,3.72,2024-10-25 17:42:25,139.15,934.35,2024-10-22 21:26:54,0.00,223.08,2024-10-22 21:26:24,777.48,1099.90,2024-10-22 21:26:54,</t>
  </si>
  <si>
    <t>2024-10-25,17:43:40,216.73,74.828,0.00,0.000,0.000,0.000,0.000,50.04,0.000,0.00,0.00,0.00,246,49,394,3.98,3.98,2024-10-25 17:43:25,191.73,934.35,2024-10-22 21:26:54,0.00,223.08,2024-10-22 21:26:24,832.63,1099.90,2024-10-22 21:26:54,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</si>
</sst>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400]h:mm:ss\ AM/PM"/>
    <numFmt numFmtId="165" formatCode="0.000"/>
    <numFmt numFmtId="166" formatCode="[$-F800]dddd\,\ mmmm\ dd\,\ yyyy"/>
    <numFmt numFmtId="167" formatCode="0.000%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u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3">
    <xf numFmtId="0" fontId="0" fillId="0" borderId="0" xfId="0"/>
    <xf numFmtId="14" fontId="0" fillId="0" borderId="0" xfId="0" applyNumberFormat="1"/>
    <xf numFmtId="21" fontId="0" fillId="0" borderId="0" xfId="0" applyNumberFormat="1"/>
    <xf numFmtId="22" fontId="0" fillId="0" borderId="0" xfId="0" applyNumberFormat="1"/>
    <xf numFmtId="0" fontId="18" fillId="0" borderId="0" xfId="0" applyFont="1"/>
    <xf numFmtId="0" fontId="19" fillId="0" borderId="0" xfId="0" applyFont="1"/>
    <xf numFmtId="0" fontId="0" fillId="0" borderId="10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0" fillId="0" borderId="0" xfId="0" applyAlignment="1">
      <alignment horizontal="center"/>
    </xf>
    <xf numFmtId="2" fontId="0" fillId="0" borderId="10" xfId="0" applyNumberFormat="1" applyBorder="1" applyAlignment="1">
      <alignment horizontal="center"/>
    </xf>
    <xf numFmtId="0" fontId="16" fillId="33" borderId="10" xfId="0" applyFont="1" applyFill="1" applyBorder="1" applyAlignment="1">
      <alignment horizontal="center"/>
    </xf>
    <xf numFmtId="14" fontId="0" fillId="0" borderId="10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0" fillId="33" borderId="10" xfId="0" applyFill="1" applyBorder="1" applyAlignment="1">
      <alignment horizontal="center" vertical="center" wrapText="1"/>
    </xf>
    <xf numFmtId="165" fontId="0" fillId="0" borderId="10" xfId="0" applyNumberFormat="1" applyBorder="1" applyAlignment="1">
      <alignment horizontal="center"/>
    </xf>
    <xf numFmtId="0" fontId="21" fillId="0" borderId="0" xfId="0" applyFont="1"/>
    <xf numFmtId="0" fontId="19" fillId="0" borderId="0" xfId="0" applyFont="1" applyAlignment="1">
      <alignment horizontal="left"/>
    </xf>
    <xf numFmtId="0" fontId="22" fillId="0" borderId="0" xfId="42"/>
    <xf numFmtId="0" fontId="0" fillId="35" borderId="10" xfId="0" applyFill="1" applyBorder="1" applyAlignment="1">
      <alignment horizontal="center"/>
    </xf>
    <xf numFmtId="164" fontId="0" fillId="35" borderId="10" xfId="0" applyNumberFormat="1" applyFill="1" applyBorder="1" applyAlignment="1">
      <alignment horizontal="center"/>
    </xf>
    <xf numFmtId="166" fontId="0" fillId="35" borderId="10" xfId="0" applyNumberFormat="1" applyFill="1" applyBorder="1" applyAlignment="1">
      <alignment horizontal="center"/>
    </xf>
    <xf numFmtId="0" fontId="0" fillId="33" borderId="10" xfId="0" applyFill="1" applyBorder="1" applyAlignment="1">
      <alignment horizontal="center"/>
    </xf>
    <xf numFmtId="0" fontId="24" fillId="36" borderId="10" xfId="0" applyFont="1" applyFill="1" applyBorder="1" applyAlignment="1">
      <alignment horizontal="center"/>
    </xf>
    <xf numFmtId="0" fontId="0" fillId="36" borderId="10" xfId="0" applyFill="1" applyBorder="1" applyAlignment="1">
      <alignment horizontal="center" vertical="center"/>
    </xf>
    <xf numFmtId="0" fontId="0" fillId="36" borderId="10" xfId="0" applyFill="1" applyBorder="1" applyAlignment="1">
      <alignment horizontal="center"/>
    </xf>
    <xf numFmtId="0" fontId="0" fillId="0" borderId="0" xfId="0" applyAlignment="1">
      <alignment horizontal="left"/>
    </xf>
    <xf numFmtId="166" fontId="0" fillId="34" borderId="10" xfId="0" applyNumberFormat="1" applyFill="1" applyBorder="1" applyAlignment="1" applyProtection="1">
      <alignment horizontal="left"/>
      <protection locked="0"/>
    </xf>
    <xf numFmtId="164" fontId="0" fillId="34" borderId="10" xfId="0" applyNumberFormat="1" applyFill="1" applyBorder="1" applyAlignment="1" applyProtection="1">
      <alignment horizontal="center"/>
      <protection locked="0"/>
    </xf>
    <xf numFmtId="21" fontId="0" fillId="34" borderId="10" xfId="0" applyNumberFormat="1" applyFill="1" applyBorder="1" applyAlignment="1" applyProtection="1">
      <alignment horizontal="center"/>
      <protection locked="0"/>
    </xf>
    <xf numFmtId="0" fontId="25" fillId="0" borderId="10" xfId="0" applyFont="1" applyBorder="1" applyAlignment="1">
      <alignment horizontal="center"/>
    </xf>
    <xf numFmtId="0" fontId="26" fillId="33" borderId="10" xfId="0" applyFont="1" applyFill="1" applyBorder="1" applyAlignment="1">
      <alignment horizontal="center"/>
    </xf>
    <xf numFmtId="0" fontId="26" fillId="0" borderId="0" xfId="0" applyFont="1"/>
    <xf numFmtId="0" fontId="0" fillId="0" borderId="10" xfId="0" applyBorder="1" applyAlignment="1">
      <alignment horizontal="left" vertical="center"/>
    </xf>
    <xf numFmtId="9" fontId="0" fillId="0" borderId="10" xfId="43" applyFont="1" applyBorder="1" applyAlignment="1">
      <alignment horizontal="center"/>
    </xf>
    <xf numFmtId="167" fontId="0" fillId="0" borderId="10" xfId="43" applyNumberFormat="1" applyFont="1" applyBorder="1" applyAlignment="1">
      <alignment horizontal="center"/>
    </xf>
    <xf numFmtId="0" fontId="0" fillId="0" borderId="0" xfId="0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3" xfId="0" applyBorder="1" applyProtection="1">
      <protection locked="0"/>
    </xf>
    <xf numFmtId="0" fontId="16" fillId="0" borderId="14" xfId="0" applyFont="1" applyBorder="1" applyProtection="1">
      <protection locked="0"/>
    </xf>
    <xf numFmtId="0" fontId="0" fillId="0" borderId="15" xfId="0" applyBorder="1" applyProtection="1">
      <protection locked="0"/>
    </xf>
    <xf numFmtId="0" fontId="0" fillId="0" borderId="14" xfId="0" applyBorder="1" applyProtection="1">
      <protection locked="0"/>
    </xf>
    <xf numFmtId="0" fontId="16" fillId="0" borderId="0" xfId="0" applyFont="1" applyProtection="1">
      <protection locked="0"/>
    </xf>
    <xf numFmtId="14" fontId="0" fillId="0" borderId="0" xfId="0" applyNumberFormat="1" applyProtection="1">
      <protection locked="0"/>
    </xf>
    <xf numFmtId="49" fontId="0" fillId="0" borderId="0" xfId="0" applyNumberFormat="1" applyProtection="1">
      <protection locked="0"/>
    </xf>
    <xf numFmtId="0" fontId="22" fillId="0" borderId="0" xfId="42" applyBorder="1" applyProtection="1">
      <protection locked="0"/>
    </xf>
    <xf numFmtId="0" fontId="22" fillId="0" borderId="0" xfId="42" applyFill="1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3" fillId="33" borderId="10" xfId="0" applyFont="1" applyFill="1" applyBorder="1" applyAlignment="1">
      <alignment horizontal="center"/>
    </xf>
    <xf numFmtId="0" fontId="0" fillId="33" borderId="10" xfId="0" applyFill="1" applyBorder="1" applyAlignment="1">
      <alignment horizontal="center"/>
    </xf>
    <xf numFmtId="0" fontId="0" fillId="0" borderId="10" xfId="0" applyBorder="1" applyAlignment="1">
      <alignment horizontal="left" vertical="center"/>
    </xf>
  </cellXfs>
  <cellStyles count="44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Porcentaje" xfId="43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DEMANDA</a:t>
            </a:r>
            <a:r>
              <a:rPr lang="en-US" baseline="0"/>
              <a:t> DE POTENCIA [W]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datos!$AB$3</c:f>
              <c:strCache>
                <c:ptCount val="1"/>
                <c:pt idx="0">
                  <c:v>PDmS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[0]!DMP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F6-442F-8C0C-C9C4C75601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.73865740740740737"/>
          <c:min val="0.732407407407407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TENSION L-N [V]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5.2467372612906148E-2"/>
          <c:y val="0.16539582173151862"/>
          <c:w val="0.82601531360304115"/>
          <c:h val="0.7311559024064123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datos!$C$3</c:f>
              <c:strCache>
                <c:ptCount val="1"/>
                <c:pt idx="0">
                  <c:v>UA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[0]!UA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64-4168-B887-7B8F6D864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.73865740740740737"/>
          <c:min val="0.732407407407407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CORRIENTE [A]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datos!$E$3</c:f>
              <c:strCache>
                <c:ptCount val="1"/>
                <c:pt idx="0">
                  <c:v>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[0]!IA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8-436E-8CB7-753FA23E22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.73865740740740737"/>
          <c:min val="0.732407407407407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UTH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4.5627586206896553E-2"/>
          <c:y val="0.16707207207207206"/>
          <c:w val="0.81448254140646215"/>
          <c:h val="0.72843122650209269"/>
        </c:manualLayout>
      </c:layout>
      <c:scatterChart>
        <c:scatterStyle val="lineMarker"/>
        <c:varyColors val="0"/>
        <c:ser>
          <c:idx val="0"/>
          <c:order val="0"/>
          <c:tx>
            <c:strRef>
              <c:f>datos!$F$3</c:f>
              <c:strCache>
                <c:ptCount val="1"/>
                <c:pt idx="0">
                  <c:v>ITHA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[0]!UTHA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35-40BC-B1D0-A9B40274B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.73865740740740737"/>
          <c:min val="0.732407407407407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ITH %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datos!$F$3</c:f>
              <c:strCache>
                <c:ptCount val="1"/>
                <c:pt idx="0">
                  <c:v>ITHA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[0]!ITHA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6C-4F94-97EA-EC75FE61D4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.73865740740740737"/>
          <c:min val="0.732407407407407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Frecuencia [Hz]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datos!$Q$3</c:f>
              <c:strCache>
                <c:ptCount val="1"/>
                <c:pt idx="0">
                  <c:v>ESA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[0]!F_A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25-4A1A-B3CC-66225B57E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.73865740740740737"/>
          <c:min val="0.732407407407407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POTENCIA</a:t>
            </a:r>
            <a:r>
              <a:rPr lang="es-AR" baseline="0"/>
              <a:t> ACTIVA [W]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datos!$S$3</c:f>
              <c:strCache>
                <c:ptCount val="1"/>
                <c:pt idx="0">
                  <c:v>PDmIA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[0]!P_A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3E-47CC-82B5-55B7BFAAF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.73865740740740737"/>
          <c:min val="0.732407407407407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FACTOR DE POTENCIA [-]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datos!$R$3</c:f>
              <c:strCache>
                <c:ptCount val="1"/>
                <c:pt idx="0">
                  <c:v>DmIA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[0]!PFA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4-4CF6-A689-974B7CC8C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.73865740740740737"/>
          <c:min val="0.732407407407407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POTENCIA</a:t>
            </a:r>
            <a:r>
              <a:rPr lang="es-AR" baseline="0"/>
              <a:t> REACTIVA [VAr]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datos!$T$3</c:f>
              <c:strCache>
                <c:ptCount val="1"/>
                <c:pt idx="0">
                  <c:v>PDmIA_D/T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[0]!Q_A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31-4980-BF8A-7BEC70DEE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.73865740740740737"/>
          <c:min val="0.732407407407407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POTENCIA</a:t>
            </a:r>
            <a:r>
              <a:rPr lang="es-AR" baseline="0"/>
              <a:t> APARENTE [VA]</a:t>
            </a:r>
            <a:endParaRPr lang="es-A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datos!$T$3</c:f>
              <c:strCache>
                <c:ptCount val="1"/>
                <c:pt idx="0">
                  <c:v>PDmIA_D/T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[0]!RANGO_TIEMPO</c:f>
            </c:numRef>
          </c:xVal>
          <c:yVal>
            <c:numRef>
              <c:f>[0]!S_A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8B-4E5B-84AC-B9CB4C5D4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3874288"/>
        <c:axId val="623875272"/>
      </c:scatterChart>
      <c:valAx>
        <c:axId val="623874288"/>
        <c:scaling>
          <c:orientation val="minMax"/>
          <c:max val="0.73865740740740737"/>
          <c:min val="0.732407407407407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:mm:ss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5272"/>
        <c:crosses val="autoZero"/>
        <c:crossBetween val="midCat"/>
      </c:valAx>
      <c:valAx>
        <c:axId val="62387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62387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AR"/>
              <a:t>UA [V]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556745406824147"/>
          <c:y val="0.11239265091863515"/>
          <c:w val="0.77532136482939629"/>
          <c:h val="0.6982073064532826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HISTOGRAMAS!$A$15:$A$45</c:f>
              <c:strCache>
                <c:ptCount val="31"/>
                <c:pt idx="0">
                  <c:v>menor que..</c:v>
                </c:pt>
                <c:pt idx="1">
                  <c:v>190</c:v>
                </c:pt>
                <c:pt idx="2">
                  <c:v>192</c:v>
                </c:pt>
                <c:pt idx="3">
                  <c:v>194</c:v>
                </c:pt>
                <c:pt idx="4">
                  <c:v>196</c:v>
                </c:pt>
                <c:pt idx="5">
                  <c:v>198</c:v>
                </c:pt>
                <c:pt idx="6">
                  <c:v>200</c:v>
                </c:pt>
                <c:pt idx="7">
                  <c:v>202</c:v>
                </c:pt>
                <c:pt idx="8">
                  <c:v>204</c:v>
                </c:pt>
                <c:pt idx="9">
                  <c:v>206</c:v>
                </c:pt>
                <c:pt idx="10">
                  <c:v>208</c:v>
                </c:pt>
                <c:pt idx="11">
                  <c:v>210</c:v>
                </c:pt>
                <c:pt idx="12">
                  <c:v>212</c:v>
                </c:pt>
                <c:pt idx="13">
                  <c:v>214</c:v>
                </c:pt>
                <c:pt idx="14">
                  <c:v>216</c:v>
                </c:pt>
                <c:pt idx="15">
                  <c:v>218</c:v>
                </c:pt>
                <c:pt idx="16">
                  <c:v>220</c:v>
                </c:pt>
                <c:pt idx="17">
                  <c:v>222</c:v>
                </c:pt>
                <c:pt idx="18">
                  <c:v>224</c:v>
                </c:pt>
                <c:pt idx="19">
                  <c:v>226</c:v>
                </c:pt>
                <c:pt idx="20">
                  <c:v>228</c:v>
                </c:pt>
                <c:pt idx="21">
                  <c:v>230</c:v>
                </c:pt>
                <c:pt idx="22">
                  <c:v>232</c:v>
                </c:pt>
                <c:pt idx="23">
                  <c:v>234</c:v>
                </c:pt>
                <c:pt idx="24">
                  <c:v>236</c:v>
                </c:pt>
                <c:pt idx="25">
                  <c:v>238</c:v>
                </c:pt>
                <c:pt idx="26">
                  <c:v>240</c:v>
                </c:pt>
                <c:pt idx="27">
                  <c:v>242</c:v>
                </c:pt>
                <c:pt idx="28">
                  <c:v>244</c:v>
                </c:pt>
                <c:pt idx="29">
                  <c:v>246</c:v>
                </c:pt>
                <c:pt idx="30">
                  <c:v>248</c:v>
                </c:pt>
              </c:strCache>
            </c:strRef>
          </c:cat>
          <c:val>
            <c:numRef>
              <c:f>HISTOGRAMAS!$B$15:$B$45</c:f>
              <c:numCache>
                <c:formatCode>General</c:formatCode>
                <c:ptCount val="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59-4AE1-B10F-070C8EE1C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1101856"/>
        <c:axId val="401103496"/>
      </c:barChart>
      <c:catAx>
        <c:axId val="401101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1103496"/>
        <c:crosses val="autoZero"/>
        <c:auto val="1"/>
        <c:lblAlgn val="ctr"/>
        <c:lblOffset val="100"/>
        <c:noMultiLvlLbl val="0"/>
      </c:catAx>
      <c:valAx>
        <c:axId val="4011034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Frecuencia</a:t>
                </a:r>
              </a:p>
            </c:rich>
          </c:tx>
          <c:layout>
            <c:manualLayout>
              <c:xMode val="edge"/>
              <c:yMode val="edge"/>
              <c:x val="1.7777777777777778E-2"/>
              <c:y val="0.4008440360268192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0110185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AR"/>
              <a:t>Frecuencia [Hz]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6556745406824147"/>
          <c:y val="0.11239265091863515"/>
          <c:w val="0.77532136482939629"/>
          <c:h val="0.69820730645328266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HISTOGRAMAS!$I$15:$I$56</c:f>
              <c:strCache>
                <c:ptCount val="42"/>
                <c:pt idx="0">
                  <c:v>menor que..</c:v>
                </c:pt>
                <c:pt idx="1">
                  <c:v>49.5</c:v>
                </c:pt>
                <c:pt idx="2">
                  <c:v>49.52</c:v>
                </c:pt>
                <c:pt idx="3">
                  <c:v>49.54</c:v>
                </c:pt>
                <c:pt idx="4">
                  <c:v>49.56</c:v>
                </c:pt>
                <c:pt idx="5">
                  <c:v>49.58</c:v>
                </c:pt>
                <c:pt idx="6">
                  <c:v>49.6</c:v>
                </c:pt>
                <c:pt idx="7">
                  <c:v>49.62</c:v>
                </c:pt>
                <c:pt idx="8">
                  <c:v>49.64</c:v>
                </c:pt>
                <c:pt idx="9">
                  <c:v>49.66</c:v>
                </c:pt>
                <c:pt idx="10">
                  <c:v>49.68</c:v>
                </c:pt>
                <c:pt idx="11">
                  <c:v>49.7</c:v>
                </c:pt>
                <c:pt idx="12">
                  <c:v>49.72</c:v>
                </c:pt>
                <c:pt idx="13">
                  <c:v>49.74</c:v>
                </c:pt>
                <c:pt idx="14">
                  <c:v>49.76</c:v>
                </c:pt>
                <c:pt idx="15">
                  <c:v>49.78</c:v>
                </c:pt>
                <c:pt idx="16">
                  <c:v>49.8</c:v>
                </c:pt>
                <c:pt idx="17">
                  <c:v>49.82</c:v>
                </c:pt>
                <c:pt idx="18">
                  <c:v>49.84</c:v>
                </c:pt>
                <c:pt idx="19">
                  <c:v>49.86</c:v>
                </c:pt>
                <c:pt idx="20">
                  <c:v>49.88</c:v>
                </c:pt>
                <c:pt idx="21">
                  <c:v>49.9</c:v>
                </c:pt>
                <c:pt idx="22">
                  <c:v>49.92</c:v>
                </c:pt>
                <c:pt idx="23">
                  <c:v>49.94</c:v>
                </c:pt>
                <c:pt idx="24">
                  <c:v>49.96</c:v>
                </c:pt>
                <c:pt idx="25">
                  <c:v>49.98</c:v>
                </c:pt>
                <c:pt idx="26">
                  <c:v>50</c:v>
                </c:pt>
                <c:pt idx="27">
                  <c:v>50.02</c:v>
                </c:pt>
                <c:pt idx="28">
                  <c:v>50.04</c:v>
                </c:pt>
                <c:pt idx="29">
                  <c:v>50.06</c:v>
                </c:pt>
                <c:pt idx="30">
                  <c:v>50.08</c:v>
                </c:pt>
                <c:pt idx="31">
                  <c:v>50.1</c:v>
                </c:pt>
                <c:pt idx="32">
                  <c:v>50.12</c:v>
                </c:pt>
                <c:pt idx="33">
                  <c:v>50.14</c:v>
                </c:pt>
                <c:pt idx="34">
                  <c:v>50.16</c:v>
                </c:pt>
                <c:pt idx="35">
                  <c:v>50.18</c:v>
                </c:pt>
                <c:pt idx="36">
                  <c:v>50.2</c:v>
                </c:pt>
                <c:pt idx="37">
                  <c:v>50.22</c:v>
                </c:pt>
                <c:pt idx="38">
                  <c:v>50.24</c:v>
                </c:pt>
                <c:pt idx="39">
                  <c:v>50.26</c:v>
                </c:pt>
                <c:pt idx="40">
                  <c:v>50.28</c:v>
                </c:pt>
                <c:pt idx="41">
                  <c:v>50.3</c:v>
                </c:pt>
              </c:strCache>
            </c:strRef>
          </c:cat>
          <c:val>
            <c:numRef>
              <c:f>HISTOGRAMAS!$J$15:$J$56</c:f>
              <c:numCache>
                <c:formatCode>General</c:formatCode>
                <c:ptCount val="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77-4B13-9DB5-7F15447A67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1101856"/>
        <c:axId val="401103496"/>
      </c:barChart>
      <c:catAx>
        <c:axId val="4011018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Clase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1103496"/>
        <c:crosses val="autoZero"/>
        <c:auto val="1"/>
        <c:lblAlgn val="ctr"/>
        <c:lblOffset val="100"/>
        <c:noMultiLvlLbl val="0"/>
      </c:catAx>
      <c:valAx>
        <c:axId val="4011034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Frecuencia</a:t>
                </a:r>
              </a:p>
            </c:rich>
          </c:tx>
          <c:layout>
            <c:manualLayout>
              <c:xMode val="edge"/>
              <c:yMode val="edge"/>
              <c:x val="1.7777777777777778E-2"/>
              <c:y val="0.4008440360268192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40110185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AR"/>
              <a:t>ITHD [%]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12786648595155115"/>
          <c:y val="0.16774193548387095"/>
          <c:w val="0.835718917488255"/>
          <c:h val="0.71097519261705189"/>
        </c:manualLayout>
      </c:layout>
      <c:barChart>
        <c:barDir val="col"/>
        <c:grouping val="clustered"/>
        <c:varyColors val="0"/>
        <c:ser>
          <c:idx val="1"/>
          <c:order val="0"/>
          <c:tx>
            <c:v>ITHDA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MAX_MIN!$C$19:$C$23</c:f>
              <c:strCache>
                <c:ptCount val="5"/>
                <c:pt idx="0">
                  <c:v>ITHD3(%)</c:v>
                </c:pt>
                <c:pt idx="1">
                  <c:v>ITHD5(%)</c:v>
                </c:pt>
                <c:pt idx="2">
                  <c:v>ITHD7(%)</c:v>
                </c:pt>
                <c:pt idx="3">
                  <c:v>ITHD11(%)</c:v>
                </c:pt>
                <c:pt idx="4">
                  <c:v>ITHD13(%)</c:v>
                </c:pt>
              </c:strCache>
            </c:strRef>
          </c:cat>
          <c:val>
            <c:numRef>
              <c:f>MAX_MIN!$H$19:$H$23</c:f>
              <c:numCache>
                <c:formatCode>0.00</c:formatCode>
                <c:ptCount val="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8C-4015-A16A-DE4DB048E2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4522640"/>
        <c:axId val="984523296"/>
      </c:barChart>
      <c:catAx>
        <c:axId val="984522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84523296"/>
        <c:crosses val="autoZero"/>
        <c:auto val="1"/>
        <c:lblAlgn val="ctr"/>
        <c:lblOffset val="100"/>
        <c:noMultiLvlLbl val="0"/>
      </c:catAx>
      <c:valAx>
        <c:axId val="984523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%</a:t>
                </a:r>
              </a:p>
            </c:rich>
          </c:tx>
          <c:layout>
            <c:manualLayout>
              <c:xMode val="edge"/>
              <c:yMode val="edge"/>
              <c:x val="2.172023579019835E-3"/>
              <c:y val="0.484197104394208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84522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390938427778496"/>
          <c:y val="0.1803755820844975"/>
          <c:w val="9.9914331517808819E-2"/>
          <c:h val="0.18750131233595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1.png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74</xdr:row>
      <xdr:rowOff>47625</xdr:rowOff>
    </xdr:from>
    <xdr:to>
      <xdr:col>9</xdr:col>
      <xdr:colOff>314325</xdr:colOff>
      <xdr:row>92</xdr:row>
      <xdr:rowOff>85725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0</xdr:col>
      <xdr:colOff>0</xdr:colOff>
      <xdr:row>14</xdr:row>
      <xdr:rowOff>9525</xdr:rowOff>
    </xdr:from>
    <xdr:to>
      <xdr:col>9</xdr:col>
      <xdr:colOff>323850</xdr:colOff>
      <xdr:row>28</xdr:row>
      <xdr:rowOff>190499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9</xdr:col>
      <xdr:colOff>323850</xdr:colOff>
      <xdr:row>14</xdr:row>
      <xdr:rowOff>9524</xdr:rowOff>
    </xdr:from>
    <xdr:to>
      <xdr:col>17</xdr:col>
      <xdr:colOff>1</xdr:colOff>
      <xdr:row>29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0</xdr:col>
      <xdr:colOff>0</xdr:colOff>
      <xdr:row>29</xdr:row>
      <xdr:rowOff>9525</xdr:rowOff>
    </xdr:from>
    <xdr:to>
      <xdr:col>9</xdr:col>
      <xdr:colOff>304800</xdr:colOff>
      <xdr:row>43</xdr:row>
      <xdr:rowOff>161925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9</xdr:col>
      <xdr:colOff>314326</xdr:colOff>
      <xdr:row>29</xdr:row>
      <xdr:rowOff>9525</xdr:rowOff>
    </xdr:from>
    <xdr:to>
      <xdr:col>16</xdr:col>
      <xdr:colOff>2028825</xdr:colOff>
      <xdr:row>43</xdr:row>
      <xdr:rowOff>161925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0</xdr:col>
      <xdr:colOff>0</xdr:colOff>
      <xdr:row>43</xdr:row>
      <xdr:rowOff>171450</xdr:rowOff>
    </xdr:from>
    <xdr:to>
      <xdr:col>9</xdr:col>
      <xdr:colOff>304800</xdr:colOff>
      <xdr:row>58</xdr:row>
      <xdr:rowOff>142875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9</xdr:col>
      <xdr:colOff>304800</xdr:colOff>
      <xdr:row>43</xdr:row>
      <xdr:rowOff>161925</xdr:rowOff>
    </xdr:from>
    <xdr:to>
      <xdr:col>17</xdr:col>
      <xdr:colOff>9524</xdr:colOff>
      <xdr:row>58</xdr:row>
      <xdr:rowOff>133350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9</xdr:col>
      <xdr:colOff>323850</xdr:colOff>
      <xdr:row>74</xdr:row>
      <xdr:rowOff>57149</xdr:rowOff>
    </xdr:from>
    <xdr:to>
      <xdr:col>17</xdr:col>
      <xdr:colOff>19050</xdr:colOff>
      <xdr:row>92</xdr:row>
      <xdr:rowOff>85724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twoCellAnchor>
    <xdr:from>
      <xdr:col>0</xdr:col>
      <xdr:colOff>0</xdr:colOff>
      <xdr:row>58</xdr:row>
      <xdr:rowOff>142875</xdr:rowOff>
    </xdr:from>
    <xdr:to>
      <xdr:col>9</xdr:col>
      <xdr:colOff>304800</xdr:colOff>
      <xdr:row>74</xdr:row>
      <xdr:rowOff>47624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twoCellAnchor>
    <xdr:from>
      <xdr:col>9</xdr:col>
      <xdr:colOff>304800</xdr:colOff>
      <xdr:row>58</xdr:row>
      <xdr:rowOff>142875</xdr:rowOff>
    </xdr:from>
    <xdr:to>
      <xdr:col>17</xdr:col>
      <xdr:colOff>19050</xdr:colOff>
      <xdr:row>74</xdr:row>
      <xdr:rowOff>47625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9</xdr:row>
          <xdr:rowOff>9525</xdr:rowOff>
        </xdr:from>
        <xdr:to>
          <xdr:col>8</xdr:col>
          <xdr:colOff>742950</xdr:colOff>
          <xdr:row>12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9</xdr:row>
          <xdr:rowOff>9525</xdr:rowOff>
        </xdr:from>
        <xdr:to>
          <xdr:col>11</xdr:col>
          <xdr:colOff>314325</xdr:colOff>
          <xdr:row>12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AJUSTAR MAX Y MIN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241646</xdr:colOff>
      <xdr:row>0</xdr:row>
      <xdr:rowOff>0</xdr:rowOff>
    </xdr:from>
    <xdr:to>
      <xdr:col>16</xdr:col>
      <xdr:colOff>1386776</xdr:colOff>
      <xdr:row>7</xdr:row>
      <xdr:rowOff>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8822" y="0"/>
          <a:ext cx="1145130" cy="14119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40006</xdr:colOff>
      <xdr:row>8</xdr:row>
      <xdr:rowOff>0</xdr:rowOff>
    </xdr:from>
    <xdr:to>
      <xdr:col>7</xdr:col>
      <xdr:colOff>670560</xdr:colOff>
      <xdr:row>22</xdr:row>
      <xdr:rowOff>144780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45720</xdr:colOff>
      <xdr:row>8</xdr:row>
      <xdr:rowOff>0</xdr:rowOff>
    </xdr:from>
    <xdr:to>
      <xdr:col>16</xdr:col>
      <xdr:colOff>158114</xdr:colOff>
      <xdr:row>22</xdr:row>
      <xdr:rowOff>144780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563815</xdr:colOff>
      <xdr:row>0</xdr:row>
      <xdr:rowOff>0</xdr:rowOff>
    </xdr:from>
    <xdr:to>
      <xdr:col>16</xdr:col>
      <xdr:colOff>184945</xdr:colOff>
      <xdr:row>7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15" y="0"/>
          <a:ext cx="1145130" cy="1409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750570</xdr:colOff>
      <xdr:row>9</xdr:row>
      <xdr:rowOff>0</xdr:rowOff>
    </xdr:from>
    <xdr:to>
      <xdr:col>14</xdr:col>
      <xdr:colOff>417194</xdr:colOff>
      <xdr:row>28</xdr:row>
      <xdr:rowOff>22860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592390</xdr:colOff>
      <xdr:row>0</xdr:row>
      <xdr:rowOff>0</xdr:rowOff>
    </xdr:from>
    <xdr:to>
      <xdr:col>16</xdr:col>
      <xdr:colOff>213520</xdr:colOff>
      <xdr:row>7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03365" y="0"/>
          <a:ext cx="1145130" cy="14097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ichero_1" connectionId="2" xr16:uid="{F5CA1F4A-F448-4851-8D4A-E70D6D36CB83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ichero" connectionId="1" xr16:uid="{56212B79-6A3B-4A91-B35D-A3034A734C2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info@bring.com.ar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mailto:info@bring.com.ar" TargetMode="External"/><Relationship Id="rId1" Type="http://schemas.openxmlformats.org/officeDocument/2006/relationships/hyperlink" Target="http://www.bring.com.ar/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bring.com.ar/" TargetMode="External"/><Relationship Id="rId9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ring.com.ar/" TargetMode="External"/><Relationship Id="rId1" Type="http://schemas.openxmlformats.org/officeDocument/2006/relationships/hyperlink" Target="mailto:info@bring.com.ar" TargetMode="Externa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info@bring.com.ar" TargetMode="External"/><Relationship Id="rId2" Type="http://schemas.openxmlformats.org/officeDocument/2006/relationships/hyperlink" Target="mailto:info@bring.com.ar" TargetMode="External"/><Relationship Id="rId1" Type="http://schemas.openxmlformats.org/officeDocument/2006/relationships/hyperlink" Target="http://www.bring.com.ar/" TargetMode="Externa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://www.bring.com.a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J7110"/>
  <sheetViews>
    <sheetView tabSelected="1" zoomScaleNormal="100" workbookViewId="0">
      <selection activeCell="A19" sqref="A19"/>
    </sheetView>
  </sheetViews>
  <sheetFormatPr baseColWidth="10" defaultRowHeight="15" x14ac:dyDescent="0.25"/>
  <cols>
    <col min="1" max="1" width="21" bestFit="1" customWidth="1"/>
    <col min="2" max="2" width="8.140625" bestFit="1" customWidth="1"/>
    <col min="3" max="3" width="10.5703125" bestFit="1" customWidth="1"/>
    <col min="4" max="4" width="8.85546875" bestFit="1" customWidth="1"/>
    <col min="5" max="5" width="10.42578125" bestFit="1" customWidth="1"/>
    <col min="6" max="6" width="8.140625" bestFit="1" customWidth="1"/>
    <col min="7" max="9" width="9.140625" bestFit="1" customWidth="1"/>
    <col min="10" max="10" width="13.85546875" bestFit="1" customWidth="1"/>
    <col min="11" max="11" width="12.5703125" bestFit="1" customWidth="1"/>
    <col min="12" max="12" width="16.140625" bestFit="1" customWidth="1"/>
    <col min="13" max="14" width="19.28515625" bestFit="1" customWidth="1"/>
    <col min="15" max="15" width="17.5703125" bestFit="1" customWidth="1"/>
    <col min="16" max="17" width="20.7109375" bestFit="1" customWidth="1"/>
    <col min="18" max="18" width="18.42578125" bestFit="1" customWidth="1"/>
    <col min="19" max="19" width="29" bestFit="1" customWidth="1"/>
    <col min="20" max="20" width="15.7109375" bestFit="1" customWidth="1"/>
    <col min="21" max="21" width="29.140625" bestFit="1" customWidth="1"/>
    <col min="22" max="22" width="39.7109375" bestFit="1" customWidth="1"/>
    <col min="23" max="23" width="15.7109375" bestFit="1" customWidth="1"/>
    <col min="24" max="24" width="32.42578125" bestFit="1" customWidth="1"/>
    <col min="25" max="25" width="43" bestFit="1" customWidth="1"/>
    <col min="26" max="26" width="15.7109375" bestFit="1" customWidth="1"/>
    <col min="27" max="27" width="32.42578125" bestFit="1" customWidth="1"/>
    <col min="28" max="28" width="43" bestFit="1" customWidth="1"/>
    <col min="29" max="29" width="15.7109375" bestFit="1" customWidth="1"/>
    <col min="30" max="30" width="18" bestFit="1" customWidth="1"/>
    <col min="31" max="31" width="29.7109375" bestFit="1" customWidth="1"/>
    <col min="32" max="32" width="39.5703125" bestFit="1" customWidth="1"/>
    <col min="33" max="33" width="18" bestFit="1" customWidth="1"/>
    <col min="34" max="34" width="29.5703125" bestFit="1" customWidth="1"/>
    <col min="35" max="35" width="39.28515625" bestFit="1" customWidth="1"/>
    <col min="36" max="36" width="18" bestFit="1" customWidth="1"/>
  </cols>
  <sheetData>
    <row r="1" spans="1:36" x14ac:dyDescent="0.25">
      <c r="A1" t="s">
        <v>148</v>
      </c>
    </row>
    <row r="2" spans="1:36" x14ac:dyDescent="0.25">
      <c r="A2" t="s">
        <v>149</v>
      </c>
      <c r="C2" t="s">
        <v>1</v>
      </c>
      <c r="D2" t="s">
        <v>2</v>
      </c>
      <c r="E2" t="s">
        <v>3</v>
      </c>
      <c r="F2" t="s">
        <v>4</v>
      </c>
      <c r="G2" t="s">
        <v>5</v>
      </c>
      <c r="H2" t="s">
        <v>6</v>
      </c>
      <c r="I2" t="s">
        <v>7</v>
      </c>
      <c r="J2" t="s">
        <v>13</v>
      </c>
      <c r="K2" t="s">
        <v>14</v>
      </c>
      <c r="L2" t="s">
        <v>15</v>
      </c>
      <c r="M2" t="s">
        <v>16</v>
      </c>
      <c r="N2" t="s">
        <v>17</v>
      </c>
      <c r="O2" t="s">
        <v>18</v>
      </c>
      <c r="P2" t="s">
        <v>19</v>
      </c>
      <c r="Q2" t="s">
        <v>20</v>
      </c>
      <c r="R2" t="s">
        <v>21</v>
      </c>
      <c r="S2" t="s">
        <v>22</v>
      </c>
      <c r="U2" t="s">
        <v>23</v>
      </c>
      <c r="V2" t="s">
        <v>24</v>
      </c>
      <c r="X2" t="s">
        <v>25</v>
      </c>
      <c r="Y2" t="s">
        <v>26</v>
      </c>
      <c r="AA2" t="s">
        <v>27</v>
      </c>
      <c r="AB2" t="s">
        <v>28</v>
      </c>
    </row>
    <row r="3" spans="1:36" x14ac:dyDescent="0.25">
      <c r="A3" t="s">
        <v>150</v>
      </c>
      <c r="B3" t="s">
        <v>30</v>
      </c>
      <c r="C3" t="s">
        <v>31</v>
      </c>
      <c r="D3" t="s">
        <v>32</v>
      </c>
      <c r="E3" t="s">
        <v>33</v>
      </c>
      <c r="F3" t="s">
        <v>34</v>
      </c>
      <c r="G3" t="s">
        <v>35</v>
      </c>
      <c r="H3" t="s">
        <v>36</v>
      </c>
      <c r="I3" t="s">
        <v>37</v>
      </c>
      <c r="J3" t="s">
        <v>40</v>
      </c>
      <c r="K3" t="s">
        <v>41</v>
      </c>
      <c r="L3" t="s">
        <v>42</v>
      </c>
      <c r="M3" t="s">
        <v>43</v>
      </c>
      <c r="N3" t="s">
        <v>44</v>
      </c>
      <c r="O3" t="s">
        <v>45</v>
      </c>
      <c r="P3" t="s">
        <v>46</v>
      </c>
      <c r="Q3" t="s">
        <v>47</v>
      </c>
      <c r="R3" t="s">
        <v>48</v>
      </c>
      <c r="S3" t="s">
        <v>49</v>
      </c>
      <c r="T3" t="s">
        <v>50</v>
      </c>
      <c r="U3" t="s">
        <v>51</v>
      </c>
      <c r="V3" t="s">
        <v>52</v>
      </c>
      <c r="W3" t="s">
        <v>53</v>
      </c>
      <c r="X3" t="s">
        <v>54</v>
      </c>
      <c r="Y3" t="s">
        <v>55</v>
      </c>
      <c r="Z3" t="s">
        <v>56</v>
      </c>
      <c r="AA3" t="s">
        <v>57</v>
      </c>
      <c r="AB3" t="s">
        <v>58</v>
      </c>
      <c r="AC3" t="s">
        <v>59</v>
      </c>
    </row>
    <row r="4" spans="1:36" x14ac:dyDescent="0.25">
      <c r="A4" t="s">
        <v>151</v>
      </c>
      <c r="B4" s="2">
        <v>0.7324074074074074</v>
      </c>
      <c r="C4">
        <v>213.98</v>
      </c>
      <c r="D4">
        <v>74.828000000000003</v>
      </c>
      <c r="E4">
        <v>7.64</v>
      </c>
      <c r="F4">
        <v>0</v>
      </c>
      <c r="G4">
        <v>0</v>
      </c>
      <c r="H4">
        <v>0</v>
      </c>
      <c r="I4">
        <v>0</v>
      </c>
      <c r="J4">
        <v>50.02</v>
      </c>
      <c r="K4">
        <v>0.999</v>
      </c>
      <c r="L4">
        <v>1631.18</v>
      </c>
      <c r="M4">
        <v>0</v>
      </c>
      <c r="N4">
        <v>1633.13</v>
      </c>
      <c r="O4">
        <v>149</v>
      </c>
      <c r="P4">
        <v>32</v>
      </c>
      <c r="Q4">
        <v>293</v>
      </c>
      <c r="R4">
        <v>0</v>
      </c>
      <c r="S4">
        <v>1.82</v>
      </c>
      <c r="T4" s="3">
        <v>45587.893680555557</v>
      </c>
      <c r="U4">
        <v>0</v>
      </c>
      <c r="V4">
        <v>934.35</v>
      </c>
      <c r="W4" s="3">
        <v>45587.893680555557</v>
      </c>
      <c r="X4">
        <v>0</v>
      </c>
      <c r="Y4">
        <v>223.08</v>
      </c>
      <c r="Z4" s="3">
        <v>45587.893333333333</v>
      </c>
      <c r="AA4" s="3">
        <v>0</v>
      </c>
      <c r="AB4">
        <v>1099.9000000000001</v>
      </c>
      <c r="AC4" s="3">
        <v>45587.893680555557</v>
      </c>
      <c r="AD4" s="3"/>
      <c r="AG4" s="3"/>
      <c r="AJ4" s="3"/>
    </row>
    <row r="5" spans="1:36" x14ac:dyDescent="0.25">
      <c r="A5" t="s">
        <v>152</v>
      </c>
      <c r="B5" s="2">
        <v>0.73310185185185184</v>
      </c>
      <c r="C5">
        <v>212.49</v>
      </c>
      <c r="D5">
        <v>74.828000000000003</v>
      </c>
      <c r="E5">
        <v>7.61</v>
      </c>
      <c r="F5">
        <v>0</v>
      </c>
      <c r="G5">
        <v>0</v>
      </c>
      <c r="H5">
        <v>0</v>
      </c>
      <c r="I5">
        <v>0</v>
      </c>
      <c r="J5">
        <v>49.92</v>
      </c>
      <c r="K5">
        <v>0.997</v>
      </c>
      <c r="L5">
        <v>1610.94</v>
      </c>
      <c r="M5">
        <v>0</v>
      </c>
      <c r="N5">
        <v>1616.16</v>
      </c>
      <c r="O5">
        <v>176</v>
      </c>
      <c r="P5">
        <v>33</v>
      </c>
      <c r="Q5">
        <v>320</v>
      </c>
      <c r="R5">
        <v>0</v>
      </c>
      <c r="S5">
        <v>1.82</v>
      </c>
      <c r="T5" s="3">
        <v>45587.893680555557</v>
      </c>
      <c r="U5">
        <v>0</v>
      </c>
      <c r="V5">
        <v>934.35</v>
      </c>
      <c r="W5" s="3">
        <v>45587.893680555557</v>
      </c>
      <c r="X5">
        <v>0</v>
      </c>
      <c r="Y5">
        <v>223.08</v>
      </c>
      <c r="Z5" s="3">
        <v>45587.893333333333</v>
      </c>
      <c r="AA5" s="3">
        <v>0</v>
      </c>
      <c r="AB5">
        <v>1099.9000000000001</v>
      </c>
      <c r="AC5" s="3">
        <v>45587.893680555557</v>
      </c>
      <c r="AD5" s="3"/>
      <c r="AG5" s="3"/>
      <c r="AJ5" s="3"/>
    </row>
    <row r="6" spans="1:36" x14ac:dyDescent="0.25">
      <c r="A6" t="s">
        <v>153</v>
      </c>
      <c r="B6" s="2">
        <v>0.73379629629629628</v>
      </c>
      <c r="C6">
        <v>222.05</v>
      </c>
      <c r="D6">
        <v>74.828000000000003</v>
      </c>
      <c r="E6">
        <v>0</v>
      </c>
      <c r="F6">
        <v>0</v>
      </c>
      <c r="G6">
        <v>0</v>
      </c>
      <c r="H6">
        <v>0</v>
      </c>
      <c r="I6">
        <v>0</v>
      </c>
      <c r="J6">
        <v>50</v>
      </c>
      <c r="K6">
        <v>0</v>
      </c>
      <c r="L6">
        <v>0</v>
      </c>
      <c r="M6">
        <v>0</v>
      </c>
      <c r="N6">
        <v>0</v>
      </c>
      <c r="O6">
        <v>194</v>
      </c>
      <c r="P6">
        <v>33</v>
      </c>
      <c r="Q6">
        <v>338</v>
      </c>
      <c r="R6">
        <v>0</v>
      </c>
      <c r="S6">
        <v>1.82</v>
      </c>
      <c r="T6" s="3">
        <v>45587.893680555557</v>
      </c>
      <c r="U6">
        <v>0</v>
      </c>
      <c r="V6">
        <v>934.35</v>
      </c>
      <c r="W6" s="3">
        <v>45587.893680555557</v>
      </c>
      <c r="X6">
        <v>0</v>
      </c>
      <c r="Y6">
        <v>223.08</v>
      </c>
      <c r="Z6" s="3">
        <v>45587.893333333333</v>
      </c>
      <c r="AA6" s="3">
        <v>0</v>
      </c>
      <c r="AB6">
        <v>1099.9000000000001</v>
      </c>
      <c r="AC6" s="3">
        <v>45587.893680555557</v>
      </c>
      <c r="AD6" s="3"/>
      <c r="AG6" s="3"/>
      <c r="AJ6" s="3"/>
    </row>
    <row r="7" spans="1:36" x14ac:dyDescent="0.25">
      <c r="A7" t="s">
        <v>154</v>
      </c>
      <c r="B7" s="2">
        <v>0.73449074074074072</v>
      </c>
      <c r="C7">
        <v>221.5</v>
      </c>
      <c r="D7">
        <v>74.828000000000003</v>
      </c>
      <c r="E7">
        <v>0</v>
      </c>
      <c r="F7">
        <v>0</v>
      </c>
      <c r="G7">
        <v>0</v>
      </c>
      <c r="H7">
        <v>0</v>
      </c>
      <c r="I7">
        <v>0</v>
      </c>
      <c r="J7">
        <v>49.99</v>
      </c>
      <c r="K7">
        <v>0</v>
      </c>
      <c r="L7">
        <v>0</v>
      </c>
      <c r="M7">
        <v>0</v>
      </c>
      <c r="N7">
        <v>0</v>
      </c>
      <c r="O7">
        <v>194</v>
      </c>
      <c r="P7">
        <v>33</v>
      </c>
      <c r="Q7">
        <v>338</v>
      </c>
      <c r="R7">
        <v>0</v>
      </c>
      <c r="S7">
        <v>1.82</v>
      </c>
      <c r="T7" s="3">
        <v>45587.893680555557</v>
      </c>
      <c r="U7">
        <v>0</v>
      </c>
      <c r="V7">
        <v>934.35</v>
      </c>
      <c r="W7" s="3">
        <v>45587.893680555557</v>
      </c>
      <c r="X7">
        <v>0</v>
      </c>
      <c r="Y7">
        <v>223.08</v>
      </c>
      <c r="Z7" s="3">
        <v>45587.893333333333</v>
      </c>
      <c r="AA7" s="3">
        <v>0</v>
      </c>
      <c r="AB7">
        <v>1099.9000000000001</v>
      </c>
      <c r="AC7" s="3">
        <v>45587.893680555557</v>
      </c>
      <c r="AD7" s="3"/>
      <c r="AG7" s="3"/>
      <c r="AJ7" s="3"/>
    </row>
    <row r="8" spans="1:36" x14ac:dyDescent="0.25">
      <c r="A8" t="s">
        <v>155</v>
      </c>
      <c r="B8" s="2">
        <v>0.73518518518518516</v>
      </c>
      <c r="C8">
        <v>221.47</v>
      </c>
      <c r="D8">
        <v>74.828000000000003</v>
      </c>
      <c r="E8">
        <v>0</v>
      </c>
      <c r="F8">
        <v>0</v>
      </c>
      <c r="G8">
        <v>0</v>
      </c>
      <c r="H8">
        <v>0</v>
      </c>
      <c r="I8">
        <v>0</v>
      </c>
      <c r="J8">
        <v>50.01</v>
      </c>
      <c r="K8">
        <v>0</v>
      </c>
      <c r="L8">
        <v>0</v>
      </c>
      <c r="M8">
        <v>0</v>
      </c>
      <c r="N8">
        <v>0</v>
      </c>
      <c r="O8">
        <v>194</v>
      </c>
      <c r="P8">
        <v>33</v>
      </c>
      <c r="Q8">
        <v>338</v>
      </c>
      <c r="R8">
        <v>0</v>
      </c>
      <c r="S8">
        <v>1.82</v>
      </c>
      <c r="T8" s="3">
        <v>45587.893680555557</v>
      </c>
      <c r="U8">
        <v>0</v>
      </c>
      <c r="V8">
        <v>934.35</v>
      </c>
      <c r="W8" s="3">
        <v>45587.893680555557</v>
      </c>
      <c r="X8">
        <v>0</v>
      </c>
      <c r="Y8">
        <v>223.08</v>
      </c>
      <c r="Z8" s="3">
        <v>45587.893333333333</v>
      </c>
      <c r="AA8" s="3">
        <v>0</v>
      </c>
      <c r="AB8">
        <v>1099.9000000000001</v>
      </c>
      <c r="AC8" s="3">
        <v>45587.893680555557</v>
      </c>
      <c r="AD8" s="3"/>
      <c r="AG8" s="3"/>
      <c r="AJ8" s="3"/>
    </row>
    <row r="9" spans="1:36" x14ac:dyDescent="0.25">
      <c r="A9" t="s">
        <v>156</v>
      </c>
      <c r="B9" s="2">
        <v>0.73587962962962961</v>
      </c>
      <c r="C9">
        <v>221.43</v>
      </c>
      <c r="D9">
        <v>74.828000000000003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49.99</v>
      </c>
      <c r="K9">
        <v>0</v>
      </c>
      <c r="L9">
        <v>0</v>
      </c>
      <c r="M9">
        <v>0</v>
      </c>
      <c r="N9">
        <v>0</v>
      </c>
      <c r="O9">
        <v>194</v>
      </c>
      <c r="P9">
        <v>33</v>
      </c>
      <c r="Q9">
        <v>338</v>
      </c>
      <c r="R9">
        <v>0</v>
      </c>
      <c r="S9">
        <v>1.82</v>
      </c>
      <c r="T9" s="3">
        <v>45587.893680555557</v>
      </c>
      <c r="U9">
        <v>0</v>
      </c>
      <c r="V9">
        <v>934.35</v>
      </c>
      <c r="W9" s="3">
        <v>45587.893680555557</v>
      </c>
      <c r="X9">
        <v>0</v>
      </c>
      <c r="Y9">
        <v>223.08</v>
      </c>
      <c r="Z9" s="3">
        <v>45587.893333333333</v>
      </c>
      <c r="AA9" s="3">
        <v>0</v>
      </c>
      <c r="AB9">
        <v>1099.9000000000001</v>
      </c>
      <c r="AC9" s="3">
        <v>45587.893680555557</v>
      </c>
      <c r="AD9" s="3"/>
      <c r="AG9" s="3"/>
      <c r="AJ9" s="3"/>
    </row>
    <row r="10" spans="1:36" x14ac:dyDescent="0.25">
      <c r="A10" t="s">
        <v>157</v>
      </c>
      <c r="B10" s="2">
        <v>0.73657407407407405</v>
      </c>
      <c r="C10">
        <v>213.75</v>
      </c>
      <c r="D10">
        <v>74.828000000000003</v>
      </c>
      <c r="E10">
        <v>5.61</v>
      </c>
      <c r="F10">
        <v>0</v>
      </c>
      <c r="G10">
        <v>0</v>
      </c>
      <c r="H10">
        <v>0</v>
      </c>
      <c r="I10">
        <v>0</v>
      </c>
      <c r="J10">
        <v>50.02</v>
      </c>
      <c r="K10">
        <v>0.92900000000000005</v>
      </c>
      <c r="L10">
        <v>1114.21</v>
      </c>
      <c r="M10">
        <v>0</v>
      </c>
      <c r="N10">
        <v>1199.07</v>
      </c>
      <c r="O10">
        <v>201</v>
      </c>
      <c r="P10">
        <v>35</v>
      </c>
      <c r="Q10">
        <v>345</v>
      </c>
      <c r="R10">
        <v>2.98</v>
      </c>
      <c r="S10">
        <v>2.99</v>
      </c>
      <c r="T10" s="3">
        <v>45590.735879629632</v>
      </c>
      <c r="U10">
        <v>-9.5</v>
      </c>
      <c r="V10">
        <v>934.35</v>
      </c>
      <c r="W10" s="3">
        <v>45587.893680555557</v>
      </c>
      <c r="X10">
        <v>0</v>
      </c>
      <c r="Y10">
        <v>223.08</v>
      </c>
      <c r="Z10" s="3">
        <v>45587.893333333333</v>
      </c>
      <c r="AA10" s="3">
        <v>620.04999999999995</v>
      </c>
      <c r="AB10">
        <v>1099.9000000000001</v>
      </c>
      <c r="AC10" s="3">
        <v>45587.893680555557</v>
      </c>
      <c r="AD10" s="3"/>
      <c r="AG10" s="3"/>
      <c r="AJ10" s="3"/>
    </row>
    <row r="11" spans="1:36" x14ac:dyDescent="0.25">
      <c r="A11" t="s">
        <v>158</v>
      </c>
      <c r="B11" s="2">
        <v>0.73726851851851849</v>
      </c>
      <c r="C11">
        <v>210.29</v>
      </c>
      <c r="D11">
        <v>74.828000000000003</v>
      </c>
      <c r="E11">
        <v>5.75</v>
      </c>
      <c r="F11">
        <v>0</v>
      </c>
      <c r="G11">
        <v>0</v>
      </c>
      <c r="H11">
        <v>0</v>
      </c>
      <c r="I11">
        <v>0</v>
      </c>
      <c r="J11">
        <v>50.01</v>
      </c>
      <c r="K11">
        <v>0.95199999999999996</v>
      </c>
      <c r="L11">
        <v>1150.77</v>
      </c>
      <c r="M11">
        <v>0</v>
      </c>
      <c r="N11">
        <v>1208.21</v>
      </c>
      <c r="O11">
        <v>220</v>
      </c>
      <c r="P11">
        <v>41</v>
      </c>
      <c r="Q11">
        <v>366</v>
      </c>
      <c r="R11">
        <v>3.35</v>
      </c>
      <c r="S11">
        <v>3.35</v>
      </c>
      <c r="T11" s="3">
        <v>45590.73709490741</v>
      </c>
      <c r="U11">
        <v>64.36</v>
      </c>
      <c r="V11">
        <v>934.35</v>
      </c>
      <c r="W11" s="3">
        <v>45587.893680555557</v>
      </c>
      <c r="X11">
        <v>0</v>
      </c>
      <c r="Y11">
        <v>223.08</v>
      </c>
      <c r="Z11" s="3">
        <v>45587.893333333333</v>
      </c>
      <c r="AA11" s="3">
        <v>698.78</v>
      </c>
      <c r="AB11">
        <v>1099.9000000000001</v>
      </c>
      <c r="AC11" s="3">
        <v>45587.893680555557</v>
      </c>
      <c r="AD11" s="3"/>
      <c r="AG11" s="3"/>
      <c r="AJ11" s="3"/>
    </row>
    <row r="12" spans="1:36" x14ac:dyDescent="0.25">
      <c r="A12" t="s">
        <v>159</v>
      </c>
      <c r="B12" s="2">
        <v>0.73796296296296293</v>
      </c>
      <c r="C12">
        <v>209.23</v>
      </c>
      <c r="D12">
        <v>74.828000000000003</v>
      </c>
      <c r="E12">
        <v>5.58</v>
      </c>
      <c r="F12">
        <v>0</v>
      </c>
      <c r="G12">
        <v>0</v>
      </c>
      <c r="H12">
        <v>0</v>
      </c>
      <c r="I12">
        <v>0</v>
      </c>
      <c r="J12">
        <v>50.02</v>
      </c>
      <c r="K12">
        <v>0.95199999999999996</v>
      </c>
      <c r="L12">
        <v>1109.6400000000001</v>
      </c>
      <c r="M12">
        <v>0</v>
      </c>
      <c r="N12">
        <v>1166.43</v>
      </c>
      <c r="O12">
        <v>238</v>
      </c>
      <c r="P12">
        <v>47</v>
      </c>
      <c r="Q12">
        <v>385</v>
      </c>
      <c r="R12">
        <v>3.72</v>
      </c>
      <c r="S12">
        <v>3.72</v>
      </c>
      <c r="T12" s="3">
        <v>45590.73778935185</v>
      </c>
      <c r="U12">
        <v>139.15</v>
      </c>
      <c r="V12">
        <v>934.35</v>
      </c>
      <c r="W12" s="3">
        <v>45587.893680555557</v>
      </c>
      <c r="X12">
        <v>0</v>
      </c>
      <c r="Y12">
        <v>223.08</v>
      </c>
      <c r="Z12" s="3">
        <v>45587.893333333333</v>
      </c>
      <c r="AA12" s="3">
        <v>777.48</v>
      </c>
      <c r="AB12">
        <v>1099.9000000000001</v>
      </c>
      <c r="AC12" s="3">
        <v>45587.893680555557</v>
      </c>
      <c r="AD12" s="3"/>
      <c r="AG12" s="3"/>
      <c r="AJ12" s="3"/>
    </row>
    <row r="13" spans="1:36" x14ac:dyDescent="0.25">
      <c r="A13" t="s">
        <v>160</v>
      </c>
      <c r="B13" s="2">
        <v>0.73865740740740737</v>
      </c>
      <c r="C13">
        <v>216.73</v>
      </c>
      <c r="D13">
        <v>74.828000000000003</v>
      </c>
      <c r="E13">
        <v>0</v>
      </c>
      <c r="F13">
        <v>0</v>
      </c>
      <c r="G13">
        <v>0</v>
      </c>
      <c r="H13">
        <v>0</v>
      </c>
      <c r="I13">
        <v>0</v>
      </c>
      <c r="J13">
        <v>50.04</v>
      </c>
      <c r="K13">
        <v>0</v>
      </c>
      <c r="L13">
        <v>0</v>
      </c>
      <c r="M13">
        <v>0</v>
      </c>
      <c r="N13">
        <v>0</v>
      </c>
      <c r="O13">
        <v>246</v>
      </c>
      <c r="P13">
        <v>49</v>
      </c>
      <c r="Q13">
        <v>394</v>
      </c>
      <c r="R13">
        <v>3.98</v>
      </c>
      <c r="S13">
        <v>3.98</v>
      </c>
      <c r="T13" s="3">
        <v>45590.738483796296</v>
      </c>
      <c r="U13">
        <v>191.73</v>
      </c>
      <c r="V13">
        <v>934.35</v>
      </c>
      <c r="W13" s="3">
        <v>45587.893680555557</v>
      </c>
      <c r="X13">
        <v>0</v>
      </c>
      <c r="Y13">
        <v>223.08</v>
      </c>
      <c r="Z13" s="3">
        <v>45587.893333333333</v>
      </c>
      <c r="AA13" s="3">
        <v>832.63</v>
      </c>
      <c r="AB13">
        <v>1099.9000000000001</v>
      </c>
      <c r="AC13" s="3">
        <v>45587.893680555557</v>
      </c>
      <c r="AD13" s="3"/>
      <c r="AG13" s="3"/>
      <c r="AJ13" s="3"/>
    </row>
    <row r="14" spans="1:36" x14ac:dyDescent="0.25">
      <c r="A14" s="1"/>
      <c r="B14" s="2"/>
      <c r="T14" s="3"/>
      <c r="AA14" s="3"/>
      <c r="AD14" s="3"/>
      <c r="AG14" s="3"/>
      <c r="AJ14" s="3"/>
    </row>
    <row r="15" spans="1:36" x14ac:dyDescent="0.25">
      <c r="A15" s="1"/>
      <c r="B15" s="2"/>
      <c r="T15" s="3"/>
      <c r="AA15" s="3"/>
      <c r="AD15" s="3"/>
      <c r="AG15" s="3"/>
      <c r="AJ15" s="3"/>
    </row>
    <row r="16" spans="1:36" x14ac:dyDescent="0.25">
      <c r="A16" s="1"/>
      <c r="B16" s="2"/>
      <c r="T16" s="3"/>
      <c r="AA16" s="3"/>
      <c r="AD16" s="3"/>
      <c r="AG16" s="3"/>
      <c r="AJ16" s="3"/>
    </row>
    <row r="17" spans="1:36" x14ac:dyDescent="0.25">
      <c r="A17" s="1"/>
      <c r="B17" s="2"/>
      <c r="AA17" s="3"/>
      <c r="AD17" s="3"/>
      <c r="AG17" s="3"/>
      <c r="AJ17" s="3"/>
    </row>
    <row r="18" spans="1:36" x14ac:dyDescent="0.25">
      <c r="A18" s="1"/>
      <c r="B18" s="2"/>
      <c r="AA18" s="3"/>
      <c r="AD18" s="3"/>
      <c r="AG18" s="3"/>
      <c r="AJ18" s="3"/>
    </row>
    <row r="19" spans="1:36" x14ac:dyDescent="0.25">
      <c r="A19" s="1"/>
      <c r="B19" s="2"/>
      <c r="AA19" s="3"/>
      <c r="AD19" s="3"/>
      <c r="AG19" s="3"/>
      <c r="AJ19" s="3"/>
    </row>
    <row r="20" spans="1:36" x14ac:dyDescent="0.25">
      <c r="A20" s="1"/>
      <c r="B20" s="2"/>
      <c r="AA20" s="3"/>
      <c r="AD20" s="3"/>
      <c r="AG20" s="3"/>
      <c r="AJ20" s="3"/>
    </row>
    <row r="21" spans="1:36" x14ac:dyDescent="0.25">
      <c r="A21" s="1"/>
      <c r="B21" s="2"/>
      <c r="AA21" s="3"/>
      <c r="AD21" s="3"/>
      <c r="AG21" s="3"/>
      <c r="AJ21" s="3"/>
    </row>
    <row r="22" spans="1:36" x14ac:dyDescent="0.25">
      <c r="A22" s="1"/>
      <c r="B22" s="2"/>
      <c r="AA22" s="3"/>
      <c r="AD22" s="3"/>
      <c r="AG22" s="3"/>
      <c r="AJ22" s="3"/>
    </row>
    <row r="23" spans="1:36" x14ac:dyDescent="0.25">
      <c r="A23" s="1"/>
      <c r="B23" s="2"/>
      <c r="AA23" s="3"/>
      <c r="AD23" s="3"/>
      <c r="AG23" s="3"/>
      <c r="AJ23" s="3"/>
    </row>
    <row r="24" spans="1:36" x14ac:dyDescent="0.25">
      <c r="A24" s="1"/>
      <c r="B24" s="2"/>
      <c r="AA24" s="3"/>
      <c r="AD24" s="3"/>
      <c r="AG24" s="3"/>
      <c r="AJ24" s="3"/>
    </row>
    <row r="25" spans="1:36" x14ac:dyDescent="0.25">
      <c r="A25" s="1"/>
      <c r="B25" s="2"/>
      <c r="AA25" s="3"/>
      <c r="AD25" s="3"/>
      <c r="AG25" s="3"/>
      <c r="AJ25" s="3"/>
    </row>
    <row r="26" spans="1:36" x14ac:dyDescent="0.25">
      <c r="A26" s="1"/>
      <c r="B26" s="2"/>
      <c r="AA26" s="3"/>
      <c r="AD26" s="3"/>
      <c r="AG26" s="3"/>
      <c r="AJ26" s="3"/>
    </row>
    <row r="27" spans="1:36" x14ac:dyDescent="0.25">
      <c r="A27" s="1"/>
      <c r="B27" s="2"/>
      <c r="AA27" s="3"/>
      <c r="AD27" s="3"/>
      <c r="AG27" s="3"/>
      <c r="AJ27" s="3"/>
    </row>
    <row r="28" spans="1:36" x14ac:dyDescent="0.25">
      <c r="A28" s="1"/>
      <c r="B28" s="2"/>
      <c r="AA28" s="3"/>
      <c r="AD28" s="3"/>
      <c r="AG28" s="3"/>
      <c r="AJ28" s="3"/>
    </row>
    <row r="29" spans="1:36" x14ac:dyDescent="0.25">
      <c r="A29" s="1"/>
      <c r="B29" s="2"/>
      <c r="AA29" s="3"/>
      <c r="AD29" s="3"/>
      <c r="AG29" s="3"/>
      <c r="AJ29" s="3"/>
    </row>
    <row r="30" spans="1:36" x14ac:dyDescent="0.25">
      <c r="A30" s="1"/>
      <c r="B30" s="2"/>
      <c r="AA30" s="3"/>
      <c r="AD30" s="3"/>
      <c r="AG30" s="3"/>
      <c r="AJ30" s="3"/>
    </row>
    <row r="31" spans="1:36" x14ac:dyDescent="0.25">
      <c r="A31" s="1"/>
      <c r="B31" s="2"/>
      <c r="AA31" s="3"/>
      <c r="AD31" s="3"/>
      <c r="AG31" s="3"/>
      <c r="AJ31" s="3"/>
    </row>
    <row r="32" spans="1:36" x14ac:dyDescent="0.25">
      <c r="A32" s="1"/>
      <c r="B32" s="2"/>
      <c r="AA32" s="3"/>
      <c r="AD32" s="3"/>
      <c r="AG32" s="3"/>
      <c r="AJ32" s="3"/>
    </row>
    <row r="33" spans="1:36" x14ac:dyDescent="0.25">
      <c r="A33" s="1"/>
      <c r="B33" s="2"/>
      <c r="AA33" s="3"/>
      <c r="AD33" s="3"/>
      <c r="AG33" s="3"/>
      <c r="AJ33" s="3"/>
    </row>
    <row r="34" spans="1:36" x14ac:dyDescent="0.25">
      <c r="A34" s="1"/>
      <c r="B34" s="2"/>
      <c r="AA34" s="3"/>
      <c r="AD34" s="3"/>
      <c r="AG34" s="3"/>
      <c r="AJ34" s="3"/>
    </row>
    <row r="35" spans="1:36" x14ac:dyDescent="0.25">
      <c r="A35" s="1"/>
      <c r="B35" s="2"/>
      <c r="AA35" s="3"/>
      <c r="AD35" s="3"/>
      <c r="AG35" s="3"/>
      <c r="AJ35" s="3"/>
    </row>
    <row r="36" spans="1:36" x14ac:dyDescent="0.25">
      <c r="A36" s="1"/>
      <c r="B36" s="2"/>
      <c r="AA36" s="3"/>
      <c r="AD36" s="3"/>
      <c r="AG36" s="3"/>
      <c r="AJ36" s="3"/>
    </row>
    <row r="37" spans="1:36" x14ac:dyDescent="0.25">
      <c r="A37" s="1"/>
      <c r="B37" s="2"/>
      <c r="AA37" s="3"/>
      <c r="AD37" s="3"/>
      <c r="AG37" s="3"/>
      <c r="AJ37" s="3"/>
    </row>
    <row r="38" spans="1:36" x14ac:dyDescent="0.25">
      <c r="A38" s="1"/>
      <c r="B38" s="2"/>
      <c r="AA38" s="3"/>
      <c r="AD38" s="3"/>
      <c r="AG38" s="3"/>
      <c r="AJ38" s="3"/>
    </row>
    <row r="39" spans="1:36" x14ac:dyDescent="0.25">
      <c r="A39" s="1"/>
      <c r="B39" s="2"/>
      <c r="AA39" s="3"/>
      <c r="AD39" s="3"/>
      <c r="AG39" s="3"/>
      <c r="AJ39" s="3"/>
    </row>
    <row r="40" spans="1:36" x14ac:dyDescent="0.25">
      <c r="A40" s="1"/>
      <c r="B40" s="2"/>
      <c r="AA40" s="3"/>
      <c r="AD40" s="3"/>
      <c r="AG40" s="3"/>
      <c r="AJ40" s="3"/>
    </row>
    <row r="41" spans="1:36" x14ac:dyDescent="0.25">
      <c r="A41" s="1"/>
      <c r="B41" s="2"/>
      <c r="AA41" s="3"/>
      <c r="AD41" s="3"/>
      <c r="AG41" s="3"/>
      <c r="AJ41" s="3"/>
    </row>
    <row r="42" spans="1:36" x14ac:dyDescent="0.25">
      <c r="A42" s="1"/>
      <c r="B42" s="2"/>
      <c r="AA42" s="3"/>
      <c r="AD42" s="3"/>
      <c r="AG42" s="3"/>
      <c r="AJ42" s="3"/>
    </row>
    <row r="43" spans="1:36" x14ac:dyDescent="0.25">
      <c r="A43" s="1"/>
      <c r="B43" s="2"/>
      <c r="AA43" s="3"/>
      <c r="AD43" s="3"/>
      <c r="AG43" s="3"/>
      <c r="AJ43" s="3"/>
    </row>
    <row r="44" spans="1:36" x14ac:dyDescent="0.25">
      <c r="A44" s="1"/>
      <c r="B44" s="2"/>
      <c r="AA44" s="3"/>
      <c r="AD44" s="3"/>
      <c r="AG44" s="3"/>
      <c r="AJ44" s="3"/>
    </row>
    <row r="45" spans="1:36" x14ac:dyDescent="0.25">
      <c r="A45" s="1"/>
      <c r="B45" s="2"/>
      <c r="AA45" s="3"/>
      <c r="AD45" s="3"/>
      <c r="AG45" s="3"/>
      <c r="AJ45" s="3"/>
    </row>
    <row r="46" spans="1:36" x14ac:dyDescent="0.25">
      <c r="A46" s="1"/>
      <c r="B46" s="2"/>
      <c r="AA46" s="3"/>
      <c r="AD46" s="3"/>
      <c r="AG46" s="3"/>
      <c r="AJ46" s="3"/>
    </row>
    <row r="47" spans="1:36" x14ac:dyDescent="0.25">
      <c r="A47" s="1"/>
      <c r="B47" s="2"/>
      <c r="AA47" s="3"/>
      <c r="AD47" s="3"/>
      <c r="AG47" s="3"/>
      <c r="AJ47" s="3"/>
    </row>
    <row r="48" spans="1:36" x14ac:dyDescent="0.25">
      <c r="A48" s="1"/>
      <c r="B48" s="2"/>
      <c r="AA48" s="3"/>
      <c r="AD48" s="3"/>
      <c r="AG48" s="3"/>
      <c r="AJ48" s="3"/>
    </row>
    <row r="49" spans="1:36" x14ac:dyDescent="0.25">
      <c r="A49" s="1"/>
      <c r="B49" s="2"/>
      <c r="AA49" s="3"/>
      <c r="AD49" s="3"/>
      <c r="AG49" s="3"/>
      <c r="AJ49" s="3"/>
    </row>
    <row r="50" spans="1:36" x14ac:dyDescent="0.25">
      <c r="A50" s="1"/>
      <c r="B50" s="2"/>
      <c r="AA50" s="3"/>
      <c r="AD50" s="3"/>
      <c r="AG50" s="3"/>
      <c r="AJ50" s="3"/>
    </row>
    <row r="51" spans="1:36" x14ac:dyDescent="0.25">
      <c r="A51" s="1"/>
      <c r="B51" s="2"/>
      <c r="AA51" s="3"/>
      <c r="AD51" s="3"/>
      <c r="AG51" s="3"/>
      <c r="AJ51" s="3"/>
    </row>
    <row r="52" spans="1:36" x14ac:dyDescent="0.25">
      <c r="A52" s="1"/>
      <c r="B52" s="2"/>
      <c r="AA52" s="3"/>
      <c r="AD52" s="3"/>
      <c r="AG52" s="3"/>
      <c r="AJ52" s="3"/>
    </row>
    <row r="53" spans="1:36" x14ac:dyDescent="0.25">
      <c r="A53" s="1"/>
      <c r="B53" s="2"/>
      <c r="AA53" s="3"/>
      <c r="AD53" s="3"/>
      <c r="AG53" s="3"/>
      <c r="AJ53" s="3"/>
    </row>
    <row r="54" spans="1:36" x14ac:dyDescent="0.25">
      <c r="A54" s="1"/>
      <c r="B54" s="2"/>
      <c r="AA54" s="3"/>
      <c r="AD54" s="3"/>
      <c r="AG54" s="3"/>
      <c r="AJ54" s="3"/>
    </row>
    <row r="55" spans="1:36" x14ac:dyDescent="0.25">
      <c r="A55" s="1"/>
      <c r="B55" s="2"/>
      <c r="AA55" s="3"/>
      <c r="AD55" s="3"/>
      <c r="AG55" s="3"/>
      <c r="AJ55" s="3"/>
    </row>
    <row r="56" spans="1:36" x14ac:dyDescent="0.25">
      <c r="A56" s="1"/>
      <c r="B56" s="2"/>
      <c r="AA56" s="3"/>
      <c r="AD56" s="3"/>
      <c r="AG56" s="3"/>
      <c r="AJ56" s="3"/>
    </row>
    <row r="57" spans="1:36" x14ac:dyDescent="0.25">
      <c r="A57" s="1"/>
      <c r="B57" s="2"/>
      <c r="AA57" s="3"/>
      <c r="AD57" s="3"/>
      <c r="AG57" s="3"/>
      <c r="AJ57" s="3"/>
    </row>
    <row r="58" spans="1:36" x14ac:dyDescent="0.25">
      <c r="A58" s="1"/>
      <c r="B58" s="2"/>
      <c r="AA58" s="3"/>
      <c r="AD58" s="3"/>
      <c r="AG58" s="3"/>
      <c r="AJ58" s="3"/>
    </row>
    <row r="59" spans="1:36" x14ac:dyDescent="0.25">
      <c r="A59" s="1"/>
      <c r="B59" s="2"/>
      <c r="AA59" s="3"/>
      <c r="AD59" s="3"/>
      <c r="AG59" s="3"/>
      <c r="AJ59" s="3"/>
    </row>
    <row r="60" spans="1:36" x14ac:dyDescent="0.25">
      <c r="A60" s="1"/>
      <c r="B60" s="2"/>
      <c r="AA60" s="3"/>
      <c r="AD60" s="3"/>
      <c r="AG60" s="3"/>
      <c r="AJ60" s="3"/>
    </row>
    <row r="61" spans="1:36" x14ac:dyDescent="0.25">
      <c r="A61" s="1"/>
      <c r="B61" s="2"/>
      <c r="AA61" s="3"/>
      <c r="AD61" s="3"/>
      <c r="AG61" s="3"/>
      <c r="AJ61" s="3"/>
    </row>
    <row r="62" spans="1:36" x14ac:dyDescent="0.25">
      <c r="A62" s="1"/>
      <c r="B62" s="2"/>
      <c r="AA62" s="3"/>
      <c r="AD62" s="3"/>
      <c r="AG62" s="3"/>
      <c r="AJ62" s="3"/>
    </row>
    <row r="63" spans="1:36" x14ac:dyDescent="0.25">
      <c r="A63" s="1"/>
      <c r="B63" s="2"/>
      <c r="AA63" s="3"/>
      <c r="AD63" s="3"/>
      <c r="AG63" s="3"/>
      <c r="AJ63" s="3"/>
    </row>
    <row r="64" spans="1:36" x14ac:dyDescent="0.25">
      <c r="A64" s="1"/>
      <c r="B64" s="2"/>
      <c r="AA64" s="3"/>
      <c r="AD64" s="3"/>
      <c r="AG64" s="3"/>
      <c r="AJ64" s="3"/>
    </row>
    <row r="65" spans="1:36" x14ac:dyDescent="0.25">
      <c r="A65" s="1"/>
      <c r="B65" s="2"/>
      <c r="AA65" s="3"/>
      <c r="AD65" s="3"/>
      <c r="AG65" s="3"/>
      <c r="AJ65" s="3"/>
    </row>
    <row r="66" spans="1:36" x14ac:dyDescent="0.25">
      <c r="A66" s="1"/>
      <c r="B66" s="2"/>
      <c r="AA66" s="3"/>
      <c r="AD66" s="3"/>
      <c r="AG66" s="3"/>
      <c r="AJ66" s="3"/>
    </row>
    <row r="67" spans="1:36" x14ac:dyDescent="0.25">
      <c r="A67" s="1"/>
      <c r="B67" s="2"/>
      <c r="AA67" s="3"/>
      <c r="AD67" s="3"/>
      <c r="AG67" s="3"/>
      <c r="AJ67" s="3"/>
    </row>
    <row r="68" spans="1:36" x14ac:dyDescent="0.25">
      <c r="A68" s="1"/>
      <c r="B68" s="2"/>
      <c r="AA68" s="3"/>
      <c r="AD68" s="3"/>
      <c r="AG68" s="3"/>
      <c r="AJ68" s="3"/>
    </row>
    <row r="69" spans="1:36" x14ac:dyDescent="0.25">
      <c r="A69" s="1"/>
      <c r="B69" s="2"/>
      <c r="AA69" s="3"/>
      <c r="AD69" s="3"/>
      <c r="AG69" s="3"/>
      <c r="AJ69" s="3"/>
    </row>
    <row r="70" spans="1:36" x14ac:dyDescent="0.25">
      <c r="A70" s="1"/>
      <c r="B70" s="2"/>
      <c r="AA70" s="3"/>
      <c r="AD70" s="3"/>
      <c r="AG70" s="3"/>
      <c r="AJ70" s="3"/>
    </row>
    <row r="71" spans="1:36" x14ac:dyDescent="0.25">
      <c r="A71" s="1"/>
      <c r="B71" s="2"/>
      <c r="AA71" s="3"/>
      <c r="AD71" s="3"/>
      <c r="AG71" s="3"/>
      <c r="AJ71" s="3"/>
    </row>
    <row r="72" spans="1:36" x14ac:dyDescent="0.25">
      <c r="A72" s="1"/>
      <c r="B72" s="2"/>
      <c r="AA72" s="3"/>
      <c r="AD72" s="3"/>
      <c r="AG72" s="3"/>
      <c r="AJ72" s="3"/>
    </row>
    <row r="73" spans="1:36" x14ac:dyDescent="0.25">
      <c r="A73" s="1"/>
      <c r="B73" s="2"/>
      <c r="AA73" s="3"/>
      <c r="AD73" s="3"/>
      <c r="AG73" s="3"/>
      <c r="AJ73" s="3"/>
    </row>
    <row r="74" spans="1:36" x14ac:dyDescent="0.25">
      <c r="A74" s="1"/>
      <c r="B74" s="2"/>
      <c r="AA74" s="3"/>
      <c r="AD74" s="3"/>
      <c r="AG74" s="3"/>
      <c r="AJ74" s="3"/>
    </row>
    <row r="75" spans="1:36" x14ac:dyDescent="0.25">
      <c r="A75" s="1"/>
      <c r="B75" s="2"/>
      <c r="AA75" s="3"/>
      <c r="AD75" s="3"/>
      <c r="AG75" s="3"/>
      <c r="AJ75" s="3"/>
    </row>
    <row r="76" spans="1:36" x14ac:dyDescent="0.25">
      <c r="A76" s="1"/>
      <c r="B76" s="2"/>
      <c r="AA76" s="3"/>
      <c r="AD76" s="3"/>
      <c r="AG76" s="3"/>
      <c r="AJ76" s="3"/>
    </row>
    <row r="77" spans="1:36" x14ac:dyDescent="0.25">
      <c r="A77" s="1"/>
      <c r="B77" s="2"/>
      <c r="AA77" s="3"/>
      <c r="AD77" s="3"/>
      <c r="AG77" s="3"/>
      <c r="AJ77" s="3"/>
    </row>
    <row r="78" spans="1:36" x14ac:dyDescent="0.25">
      <c r="A78" s="1"/>
      <c r="B78" s="2"/>
      <c r="AA78" s="3"/>
      <c r="AD78" s="3"/>
      <c r="AG78" s="3"/>
      <c r="AJ78" s="3"/>
    </row>
    <row r="79" spans="1:36" x14ac:dyDescent="0.25">
      <c r="A79" s="1"/>
      <c r="B79" s="2"/>
      <c r="AA79" s="3"/>
      <c r="AD79" s="3"/>
      <c r="AG79" s="3"/>
      <c r="AJ79" s="3"/>
    </row>
    <row r="80" spans="1:36" x14ac:dyDescent="0.25">
      <c r="A80" s="1"/>
      <c r="B80" s="2"/>
      <c r="AA80" s="3"/>
      <c r="AD80" s="3"/>
      <c r="AG80" s="3"/>
      <c r="AJ80" s="3"/>
    </row>
    <row r="81" spans="1:36" x14ac:dyDescent="0.25">
      <c r="A81" s="1"/>
      <c r="B81" s="2"/>
      <c r="AA81" s="3"/>
      <c r="AD81" s="3"/>
      <c r="AG81" s="3"/>
      <c r="AJ81" s="3"/>
    </row>
    <row r="82" spans="1:36" x14ac:dyDescent="0.25">
      <c r="A82" s="1"/>
      <c r="B82" s="2"/>
      <c r="AA82" s="3"/>
      <c r="AD82" s="3"/>
      <c r="AG82" s="3"/>
      <c r="AJ82" s="3"/>
    </row>
    <row r="83" spans="1:36" x14ac:dyDescent="0.25">
      <c r="A83" s="1"/>
      <c r="B83" s="2"/>
      <c r="AA83" s="3"/>
      <c r="AD83" s="3"/>
      <c r="AG83" s="3"/>
      <c r="AJ83" s="3"/>
    </row>
    <row r="84" spans="1:36" x14ac:dyDescent="0.25">
      <c r="A84" s="1"/>
      <c r="B84" s="2"/>
      <c r="AA84" s="3"/>
      <c r="AD84" s="3"/>
      <c r="AG84" s="3"/>
      <c r="AJ84" s="3"/>
    </row>
    <row r="85" spans="1:36" x14ac:dyDescent="0.25">
      <c r="A85" s="1"/>
      <c r="B85" s="2"/>
      <c r="AA85" s="3"/>
      <c r="AD85" s="3"/>
      <c r="AG85" s="3"/>
      <c r="AJ85" s="3"/>
    </row>
    <row r="86" spans="1:36" x14ac:dyDescent="0.25">
      <c r="A86" s="1"/>
      <c r="B86" s="2"/>
      <c r="AA86" s="3"/>
      <c r="AD86" s="3"/>
      <c r="AG86" s="3"/>
      <c r="AJ86" s="3"/>
    </row>
    <row r="87" spans="1:36" x14ac:dyDescent="0.25">
      <c r="A87" s="1"/>
      <c r="B87" s="2"/>
      <c r="AA87" s="3"/>
      <c r="AD87" s="3"/>
      <c r="AG87" s="3"/>
      <c r="AJ87" s="3"/>
    </row>
    <row r="88" spans="1:36" x14ac:dyDescent="0.25">
      <c r="A88" s="1"/>
      <c r="B88" s="2"/>
      <c r="AA88" s="3"/>
      <c r="AD88" s="3"/>
      <c r="AG88" s="3"/>
      <c r="AJ88" s="3"/>
    </row>
    <row r="89" spans="1:36" x14ac:dyDescent="0.25">
      <c r="A89" s="1"/>
      <c r="B89" s="2"/>
      <c r="AA89" s="3"/>
      <c r="AD89" s="3"/>
      <c r="AG89" s="3"/>
      <c r="AJ89" s="3"/>
    </row>
    <row r="90" spans="1:36" x14ac:dyDescent="0.25">
      <c r="A90" s="1"/>
      <c r="B90" s="2"/>
      <c r="AA90" s="3"/>
      <c r="AD90" s="3"/>
      <c r="AG90" s="3"/>
      <c r="AJ90" s="3"/>
    </row>
    <row r="91" spans="1:36" x14ac:dyDescent="0.25">
      <c r="A91" s="1"/>
      <c r="B91" s="2"/>
      <c r="AA91" s="3"/>
      <c r="AD91" s="3"/>
      <c r="AG91" s="3"/>
      <c r="AJ91" s="3"/>
    </row>
    <row r="92" spans="1:36" x14ac:dyDescent="0.25">
      <c r="A92" s="1"/>
      <c r="B92" s="2"/>
      <c r="AA92" s="3"/>
      <c r="AD92" s="3"/>
      <c r="AG92" s="3"/>
      <c r="AJ92" s="3"/>
    </row>
    <row r="93" spans="1:36" x14ac:dyDescent="0.25">
      <c r="A93" s="1"/>
      <c r="B93" s="2"/>
      <c r="AA93" s="3"/>
      <c r="AD93" s="3"/>
      <c r="AG93" s="3"/>
      <c r="AJ93" s="3"/>
    </row>
    <row r="94" spans="1:36" x14ac:dyDescent="0.25">
      <c r="A94" s="1"/>
      <c r="B94" s="2"/>
      <c r="AA94" s="3"/>
      <c r="AD94" s="3"/>
      <c r="AG94" s="3"/>
      <c r="AJ94" s="3"/>
    </row>
    <row r="95" spans="1:36" x14ac:dyDescent="0.25">
      <c r="A95" s="1"/>
      <c r="B95" s="2"/>
      <c r="AA95" s="3"/>
      <c r="AD95" s="3"/>
      <c r="AG95" s="3"/>
      <c r="AJ95" s="3"/>
    </row>
    <row r="96" spans="1:36" x14ac:dyDescent="0.25">
      <c r="A96" s="1"/>
      <c r="B96" s="2"/>
      <c r="AA96" s="3"/>
      <c r="AD96" s="3"/>
      <c r="AG96" s="3"/>
      <c r="AJ96" s="3"/>
    </row>
    <row r="97" spans="1:36" x14ac:dyDescent="0.25">
      <c r="A97" s="1"/>
      <c r="B97" s="2"/>
      <c r="AA97" s="3"/>
      <c r="AD97" s="3"/>
      <c r="AG97" s="3"/>
      <c r="AJ97" s="3"/>
    </row>
    <row r="98" spans="1:36" x14ac:dyDescent="0.25">
      <c r="A98" s="1"/>
      <c r="B98" s="2"/>
      <c r="AA98" s="3"/>
      <c r="AD98" s="3"/>
      <c r="AG98" s="3"/>
      <c r="AJ98" s="3"/>
    </row>
    <row r="99" spans="1:36" x14ac:dyDescent="0.25">
      <c r="A99" s="1"/>
      <c r="B99" s="2"/>
      <c r="AA99" s="3"/>
      <c r="AD99" s="3"/>
      <c r="AG99" s="3"/>
      <c r="AJ99" s="3"/>
    </row>
    <row r="100" spans="1:36" x14ac:dyDescent="0.25">
      <c r="A100" s="1"/>
      <c r="B100" s="2"/>
      <c r="AA100" s="3"/>
      <c r="AD100" s="3"/>
      <c r="AG100" s="3"/>
      <c r="AJ100" s="3"/>
    </row>
    <row r="101" spans="1:36" x14ac:dyDescent="0.25">
      <c r="A101" s="1"/>
      <c r="B101" s="2"/>
      <c r="AA101" s="3"/>
      <c r="AD101" s="3"/>
      <c r="AG101" s="3"/>
      <c r="AJ101" s="3"/>
    </row>
    <row r="102" spans="1:36" x14ac:dyDescent="0.25">
      <c r="A102" s="1"/>
      <c r="B102" s="2"/>
      <c r="AA102" s="3"/>
      <c r="AD102" s="3"/>
      <c r="AG102" s="3"/>
      <c r="AJ102" s="3"/>
    </row>
    <row r="103" spans="1:36" x14ac:dyDescent="0.25">
      <c r="A103" s="1"/>
      <c r="B103" s="2"/>
      <c r="AA103" s="3"/>
      <c r="AD103" s="3"/>
      <c r="AG103" s="3"/>
      <c r="AJ103" s="3"/>
    </row>
    <row r="104" spans="1:36" x14ac:dyDescent="0.25">
      <c r="A104" s="1"/>
      <c r="B104" s="2"/>
      <c r="AA104" s="3"/>
      <c r="AD104" s="3"/>
      <c r="AG104" s="3"/>
      <c r="AJ104" s="3"/>
    </row>
    <row r="105" spans="1:36" x14ac:dyDescent="0.25">
      <c r="A105" s="1"/>
      <c r="B105" s="2"/>
      <c r="AA105" s="3"/>
      <c r="AD105" s="3"/>
      <c r="AG105" s="3"/>
      <c r="AJ105" s="3"/>
    </row>
    <row r="106" spans="1:36" x14ac:dyDescent="0.25">
      <c r="A106" s="1"/>
      <c r="B106" s="2"/>
      <c r="AA106" s="3"/>
      <c r="AD106" s="3"/>
      <c r="AG106" s="3"/>
      <c r="AJ106" s="3"/>
    </row>
    <row r="107" spans="1:36" x14ac:dyDescent="0.25">
      <c r="A107" s="1"/>
      <c r="B107" s="2"/>
      <c r="AA107" s="3"/>
      <c r="AD107" s="3"/>
      <c r="AG107" s="3"/>
      <c r="AJ107" s="3"/>
    </row>
    <row r="108" spans="1:36" x14ac:dyDescent="0.25">
      <c r="A108" s="1"/>
      <c r="B108" s="2"/>
      <c r="AA108" s="3"/>
      <c r="AD108" s="3"/>
      <c r="AG108" s="3"/>
      <c r="AJ108" s="3"/>
    </row>
    <row r="109" spans="1:36" x14ac:dyDescent="0.25">
      <c r="A109" s="1"/>
      <c r="B109" s="2"/>
      <c r="AA109" s="3"/>
      <c r="AD109" s="3"/>
      <c r="AG109" s="3"/>
      <c r="AJ109" s="3"/>
    </row>
    <row r="110" spans="1:36" x14ac:dyDescent="0.25">
      <c r="A110" s="1"/>
      <c r="B110" s="2"/>
      <c r="AA110" s="3"/>
      <c r="AD110" s="3"/>
      <c r="AG110" s="3"/>
      <c r="AJ110" s="3"/>
    </row>
    <row r="111" spans="1:36" x14ac:dyDescent="0.25">
      <c r="A111" s="1"/>
      <c r="B111" s="2"/>
      <c r="AA111" s="3"/>
      <c r="AD111" s="3"/>
      <c r="AG111" s="3"/>
      <c r="AJ111" s="3"/>
    </row>
    <row r="112" spans="1:36" x14ac:dyDescent="0.25">
      <c r="A112" s="1"/>
      <c r="B112" s="2"/>
      <c r="AA112" s="3"/>
      <c r="AD112" s="3"/>
      <c r="AG112" s="3"/>
      <c r="AJ112" s="3"/>
    </row>
    <row r="113" spans="1:36" x14ac:dyDescent="0.25">
      <c r="A113" s="1"/>
      <c r="B113" s="2"/>
      <c r="AA113" s="3"/>
      <c r="AD113" s="3"/>
      <c r="AG113" s="3"/>
      <c r="AJ113" s="3"/>
    </row>
    <row r="114" spans="1:36" x14ac:dyDescent="0.25">
      <c r="A114" s="1"/>
      <c r="B114" s="2"/>
      <c r="AA114" s="3"/>
      <c r="AD114" s="3"/>
      <c r="AG114" s="3"/>
      <c r="AJ114" s="3"/>
    </row>
    <row r="115" spans="1:36" x14ac:dyDescent="0.25">
      <c r="A115" s="1"/>
      <c r="B115" s="2"/>
      <c r="AA115" s="3"/>
      <c r="AD115" s="3"/>
      <c r="AG115" s="3"/>
      <c r="AJ115" s="3"/>
    </row>
    <row r="116" spans="1:36" x14ac:dyDescent="0.25">
      <c r="A116" s="1"/>
      <c r="B116" s="2"/>
      <c r="AA116" s="3"/>
      <c r="AD116" s="3"/>
      <c r="AG116" s="3"/>
      <c r="AJ116" s="3"/>
    </row>
    <row r="117" spans="1:36" x14ac:dyDescent="0.25">
      <c r="A117" s="1"/>
      <c r="B117" s="2"/>
      <c r="AA117" s="3"/>
      <c r="AD117" s="3"/>
      <c r="AG117" s="3"/>
      <c r="AJ117" s="3"/>
    </row>
    <row r="118" spans="1:36" x14ac:dyDescent="0.25">
      <c r="A118" s="1"/>
      <c r="B118" s="2"/>
      <c r="AA118" s="3"/>
      <c r="AD118" s="3"/>
      <c r="AG118" s="3"/>
      <c r="AJ118" s="3"/>
    </row>
    <row r="119" spans="1:36" x14ac:dyDescent="0.25">
      <c r="A119" s="1"/>
      <c r="B119" s="2"/>
      <c r="AA119" s="3"/>
      <c r="AD119" s="3"/>
      <c r="AG119" s="3"/>
      <c r="AJ119" s="3"/>
    </row>
    <row r="120" spans="1:36" x14ac:dyDescent="0.25">
      <c r="A120" s="1"/>
      <c r="B120" s="2"/>
      <c r="AA120" s="3"/>
      <c r="AD120" s="3"/>
      <c r="AG120" s="3"/>
      <c r="AJ120" s="3"/>
    </row>
    <row r="121" spans="1:36" x14ac:dyDescent="0.25">
      <c r="A121" s="1"/>
      <c r="B121" s="2"/>
      <c r="AA121" s="3"/>
      <c r="AD121" s="3"/>
      <c r="AG121" s="3"/>
      <c r="AJ121" s="3"/>
    </row>
    <row r="122" spans="1:36" x14ac:dyDescent="0.25">
      <c r="A122" s="1"/>
      <c r="B122" s="2"/>
      <c r="AA122" s="3"/>
      <c r="AD122" s="3"/>
      <c r="AG122" s="3"/>
      <c r="AJ122" s="3"/>
    </row>
    <row r="123" spans="1:36" x14ac:dyDescent="0.25">
      <c r="A123" s="1"/>
      <c r="B123" s="2"/>
      <c r="AA123" s="3"/>
      <c r="AD123" s="3"/>
      <c r="AG123" s="3"/>
      <c r="AJ123" s="3"/>
    </row>
    <row r="124" spans="1:36" x14ac:dyDescent="0.25">
      <c r="A124" s="1"/>
      <c r="B124" s="2"/>
      <c r="AA124" s="3"/>
      <c r="AD124" s="3"/>
      <c r="AG124" s="3"/>
      <c r="AJ124" s="3"/>
    </row>
    <row r="125" spans="1:36" x14ac:dyDescent="0.25">
      <c r="A125" s="1"/>
      <c r="B125" s="2"/>
      <c r="AA125" s="3"/>
      <c r="AD125" s="3"/>
      <c r="AG125" s="3"/>
      <c r="AJ125" s="3"/>
    </row>
    <row r="126" spans="1:36" x14ac:dyDescent="0.25">
      <c r="A126" s="1"/>
      <c r="B126" s="2"/>
      <c r="AA126" s="3"/>
      <c r="AD126" s="3"/>
      <c r="AG126" s="3"/>
      <c r="AJ126" s="3"/>
    </row>
    <row r="127" spans="1:36" x14ac:dyDescent="0.25">
      <c r="A127" s="1"/>
      <c r="B127" s="2"/>
      <c r="AA127" s="3"/>
      <c r="AD127" s="3"/>
      <c r="AG127" s="3"/>
      <c r="AJ127" s="3"/>
    </row>
    <row r="128" spans="1:36" x14ac:dyDescent="0.25">
      <c r="A128" s="1"/>
      <c r="B128" s="2"/>
      <c r="AA128" s="3"/>
      <c r="AD128" s="3"/>
      <c r="AG128" s="3"/>
      <c r="AJ128" s="3"/>
    </row>
    <row r="129" spans="1:36" x14ac:dyDescent="0.25">
      <c r="A129" s="1"/>
      <c r="B129" s="2"/>
      <c r="AA129" s="3"/>
      <c r="AD129" s="3"/>
      <c r="AG129" s="3"/>
      <c r="AJ129" s="3"/>
    </row>
    <row r="130" spans="1:36" x14ac:dyDescent="0.25">
      <c r="A130" s="1"/>
      <c r="B130" s="2"/>
      <c r="AA130" s="3"/>
      <c r="AD130" s="3"/>
      <c r="AG130" s="3"/>
      <c r="AJ130" s="3"/>
    </row>
    <row r="131" spans="1:36" x14ac:dyDescent="0.25">
      <c r="A131" s="1"/>
      <c r="B131" s="2"/>
      <c r="AA131" s="3"/>
      <c r="AD131" s="3"/>
      <c r="AG131" s="3"/>
      <c r="AJ131" s="3"/>
    </row>
    <row r="132" spans="1:36" x14ac:dyDescent="0.25">
      <c r="A132" s="1"/>
      <c r="B132" s="2"/>
      <c r="AA132" s="3"/>
      <c r="AD132" s="3"/>
      <c r="AG132" s="3"/>
      <c r="AJ132" s="3"/>
    </row>
    <row r="133" spans="1:36" x14ac:dyDescent="0.25">
      <c r="A133" s="1"/>
      <c r="B133" s="2"/>
      <c r="AA133" s="3"/>
      <c r="AD133" s="3"/>
      <c r="AG133" s="3"/>
      <c r="AJ133" s="3"/>
    </row>
    <row r="134" spans="1:36" x14ac:dyDescent="0.25">
      <c r="A134" s="1"/>
      <c r="B134" s="2"/>
      <c r="AA134" s="3"/>
      <c r="AD134" s="3"/>
      <c r="AG134" s="3"/>
      <c r="AJ134" s="3"/>
    </row>
    <row r="135" spans="1:36" x14ac:dyDescent="0.25">
      <c r="A135" s="1"/>
      <c r="B135" s="2"/>
      <c r="AA135" s="3"/>
      <c r="AD135" s="3"/>
      <c r="AG135" s="3"/>
      <c r="AJ135" s="3"/>
    </row>
    <row r="136" spans="1:36" x14ac:dyDescent="0.25">
      <c r="A136" s="1"/>
      <c r="B136" s="2"/>
      <c r="AA136" s="3"/>
      <c r="AD136" s="3"/>
      <c r="AG136" s="3"/>
      <c r="AJ136" s="3"/>
    </row>
    <row r="137" spans="1:36" x14ac:dyDescent="0.25">
      <c r="A137" s="1"/>
      <c r="B137" s="2"/>
      <c r="AA137" s="3"/>
      <c r="AD137" s="3"/>
      <c r="AG137" s="3"/>
      <c r="AJ137" s="3"/>
    </row>
    <row r="138" spans="1:36" x14ac:dyDescent="0.25">
      <c r="A138" s="1"/>
      <c r="B138" s="2"/>
      <c r="AA138" s="3"/>
      <c r="AD138" s="3"/>
      <c r="AG138" s="3"/>
      <c r="AJ138" s="3"/>
    </row>
    <row r="139" spans="1:36" x14ac:dyDescent="0.25">
      <c r="A139" s="1"/>
      <c r="B139" s="2"/>
      <c r="AA139" s="3"/>
      <c r="AD139" s="3"/>
      <c r="AG139" s="3"/>
      <c r="AJ139" s="3"/>
    </row>
    <row r="140" spans="1:36" x14ac:dyDescent="0.25">
      <c r="A140" s="1"/>
      <c r="B140" s="2"/>
      <c r="AA140" s="3"/>
      <c r="AD140" s="3"/>
      <c r="AG140" s="3"/>
      <c r="AJ140" s="3"/>
    </row>
    <row r="141" spans="1:36" x14ac:dyDescent="0.25">
      <c r="A141" s="1"/>
      <c r="B141" s="2"/>
      <c r="AA141" s="3"/>
      <c r="AD141" s="3"/>
      <c r="AG141" s="3"/>
      <c r="AJ141" s="3"/>
    </row>
    <row r="142" spans="1:36" x14ac:dyDescent="0.25">
      <c r="A142" s="1"/>
      <c r="B142" s="2"/>
      <c r="AA142" s="3"/>
      <c r="AD142" s="3"/>
      <c r="AG142" s="3"/>
      <c r="AJ142" s="3"/>
    </row>
    <row r="143" spans="1:36" x14ac:dyDescent="0.25">
      <c r="A143" s="1"/>
      <c r="B143" s="2"/>
      <c r="AA143" s="3"/>
      <c r="AD143" s="3"/>
      <c r="AG143" s="3"/>
      <c r="AJ143" s="3"/>
    </row>
    <row r="144" spans="1:36" x14ac:dyDescent="0.25">
      <c r="A144" s="1"/>
      <c r="B144" s="2"/>
      <c r="AA144" s="3"/>
      <c r="AD144" s="3"/>
      <c r="AG144" s="3"/>
      <c r="AJ144" s="3"/>
    </row>
    <row r="145" spans="1:36" x14ac:dyDescent="0.25">
      <c r="A145" s="1"/>
      <c r="B145" s="2"/>
      <c r="AA145" s="3"/>
      <c r="AD145" s="3"/>
      <c r="AG145" s="3"/>
      <c r="AJ145" s="3"/>
    </row>
    <row r="146" spans="1:36" x14ac:dyDescent="0.25">
      <c r="A146" s="1"/>
      <c r="B146" s="2"/>
      <c r="AA146" s="3"/>
      <c r="AD146" s="3"/>
      <c r="AG146" s="3"/>
      <c r="AJ146" s="3"/>
    </row>
    <row r="147" spans="1:36" x14ac:dyDescent="0.25">
      <c r="A147" s="1"/>
      <c r="B147" s="2"/>
      <c r="AA147" s="3"/>
      <c r="AD147" s="3"/>
      <c r="AG147" s="3"/>
      <c r="AJ147" s="3"/>
    </row>
    <row r="148" spans="1:36" x14ac:dyDescent="0.25">
      <c r="A148" s="1"/>
      <c r="B148" s="2"/>
      <c r="AA148" s="3"/>
      <c r="AD148" s="3"/>
      <c r="AG148" s="3"/>
      <c r="AJ148" s="3"/>
    </row>
    <row r="149" spans="1:36" x14ac:dyDescent="0.25">
      <c r="A149" s="1"/>
      <c r="B149" s="2"/>
      <c r="AA149" s="3"/>
      <c r="AD149" s="3"/>
      <c r="AG149" s="3"/>
      <c r="AJ149" s="3"/>
    </row>
    <row r="150" spans="1:36" x14ac:dyDescent="0.25">
      <c r="A150" s="1"/>
      <c r="B150" s="2"/>
      <c r="AA150" s="3"/>
      <c r="AD150" s="3"/>
      <c r="AG150" s="3"/>
      <c r="AJ150" s="3"/>
    </row>
    <row r="151" spans="1:36" x14ac:dyDescent="0.25">
      <c r="A151" s="1"/>
      <c r="B151" s="2"/>
      <c r="AA151" s="3"/>
      <c r="AD151" s="3"/>
      <c r="AG151" s="3"/>
      <c r="AJ151" s="3"/>
    </row>
    <row r="152" spans="1:36" x14ac:dyDescent="0.25">
      <c r="A152" s="1"/>
      <c r="B152" s="2"/>
      <c r="AA152" s="3"/>
      <c r="AD152" s="3"/>
      <c r="AG152" s="3"/>
      <c r="AJ152" s="3"/>
    </row>
    <row r="153" spans="1:36" x14ac:dyDescent="0.25">
      <c r="A153" s="1"/>
      <c r="B153" s="2"/>
      <c r="AA153" s="3"/>
      <c r="AD153" s="3"/>
      <c r="AG153" s="3"/>
      <c r="AJ153" s="3"/>
    </row>
    <row r="154" spans="1:36" x14ac:dyDescent="0.25">
      <c r="A154" s="1"/>
      <c r="B154" s="2"/>
      <c r="AA154" s="3"/>
      <c r="AD154" s="3"/>
      <c r="AG154" s="3"/>
      <c r="AJ154" s="3"/>
    </row>
    <row r="155" spans="1:36" x14ac:dyDescent="0.25">
      <c r="A155" s="1"/>
      <c r="B155" s="2"/>
      <c r="AA155" s="3"/>
      <c r="AD155" s="3"/>
      <c r="AG155" s="3"/>
      <c r="AJ155" s="3"/>
    </row>
    <row r="156" spans="1:36" x14ac:dyDescent="0.25">
      <c r="A156" s="1"/>
      <c r="B156" s="2"/>
      <c r="AA156" s="3"/>
      <c r="AD156" s="3"/>
      <c r="AG156" s="3"/>
      <c r="AJ156" s="3"/>
    </row>
    <row r="157" spans="1:36" x14ac:dyDescent="0.25">
      <c r="A157" s="1"/>
      <c r="B157" s="2"/>
      <c r="AA157" s="3"/>
      <c r="AD157" s="3"/>
      <c r="AG157" s="3"/>
      <c r="AJ157" s="3"/>
    </row>
    <row r="158" spans="1:36" x14ac:dyDescent="0.25">
      <c r="A158" s="1"/>
      <c r="B158" s="2"/>
      <c r="AA158" s="3"/>
      <c r="AD158" s="3"/>
      <c r="AG158" s="3"/>
      <c r="AJ158" s="3"/>
    </row>
    <row r="159" spans="1:36" x14ac:dyDescent="0.25">
      <c r="A159" s="1"/>
      <c r="B159" s="2"/>
      <c r="AA159" s="3"/>
      <c r="AD159" s="3"/>
      <c r="AG159" s="3"/>
      <c r="AJ159" s="3"/>
    </row>
    <row r="160" spans="1:36" x14ac:dyDescent="0.25">
      <c r="A160" s="1"/>
      <c r="B160" s="2"/>
      <c r="AA160" s="3"/>
      <c r="AD160" s="3"/>
      <c r="AG160" s="3"/>
      <c r="AJ160" s="3"/>
    </row>
    <row r="161" spans="1:36" x14ac:dyDescent="0.25">
      <c r="A161" s="1"/>
      <c r="B161" s="2"/>
      <c r="AA161" s="3"/>
      <c r="AD161" s="3"/>
      <c r="AG161" s="3"/>
      <c r="AJ161" s="3"/>
    </row>
    <row r="162" spans="1:36" x14ac:dyDescent="0.25">
      <c r="A162" s="1"/>
      <c r="B162" s="2"/>
      <c r="AA162" s="3"/>
      <c r="AD162" s="3"/>
      <c r="AG162" s="3"/>
      <c r="AJ162" s="3"/>
    </row>
    <row r="163" spans="1:36" x14ac:dyDescent="0.25">
      <c r="A163" s="1"/>
      <c r="B163" s="2"/>
      <c r="AA163" s="3"/>
      <c r="AD163" s="3"/>
      <c r="AG163" s="3"/>
      <c r="AJ163" s="3"/>
    </row>
    <row r="164" spans="1:36" x14ac:dyDescent="0.25">
      <c r="A164" s="1"/>
      <c r="B164" s="2"/>
      <c r="AA164" s="3"/>
      <c r="AD164" s="3"/>
      <c r="AG164" s="3"/>
      <c r="AJ164" s="3"/>
    </row>
    <row r="165" spans="1:36" x14ac:dyDescent="0.25">
      <c r="A165" s="1"/>
      <c r="B165" s="2"/>
      <c r="AA165" s="3"/>
      <c r="AD165" s="3"/>
      <c r="AG165" s="3"/>
      <c r="AJ165" s="3"/>
    </row>
    <row r="166" spans="1:36" x14ac:dyDescent="0.25">
      <c r="A166" s="1"/>
      <c r="B166" s="2"/>
      <c r="AA166" s="3"/>
      <c r="AD166" s="3"/>
      <c r="AG166" s="3"/>
      <c r="AJ166" s="3"/>
    </row>
    <row r="167" spans="1:36" x14ac:dyDescent="0.25">
      <c r="A167" s="1"/>
      <c r="B167" s="2"/>
      <c r="AA167" s="3"/>
      <c r="AD167" s="3"/>
      <c r="AG167" s="3"/>
      <c r="AJ167" s="3"/>
    </row>
    <row r="168" spans="1:36" x14ac:dyDescent="0.25">
      <c r="A168" s="1"/>
      <c r="B168" s="2"/>
      <c r="AA168" s="3"/>
      <c r="AD168" s="3"/>
      <c r="AG168" s="3"/>
      <c r="AJ168" s="3"/>
    </row>
    <row r="169" spans="1:36" x14ac:dyDescent="0.25">
      <c r="A169" s="1"/>
      <c r="B169" s="2"/>
      <c r="AA169" s="3"/>
      <c r="AD169" s="3"/>
      <c r="AG169" s="3"/>
      <c r="AJ169" s="3"/>
    </row>
    <row r="170" spans="1:36" x14ac:dyDescent="0.25">
      <c r="A170" s="1"/>
      <c r="B170" s="2"/>
      <c r="AA170" s="3"/>
      <c r="AD170" s="3"/>
      <c r="AG170" s="3"/>
      <c r="AJ170" s="3"/>
    </row>
    <row r="171" spans="1:36" x14ac:dyDescent="0.25">
      <c r="A171" s="1"/>
      <c r="B171" s="2"/>
      <c r="AA171" s="3"/>
      <c r="AD171" s="3"/>
      <c r="AG171" s="3"/>
      <c r="AJ171" s="3"/>
    </row>
    <row r="172" spans="1:36" x14ac:dyDescent="0.25">
      <c r="A172" s="1"/>
      <c r="B172" s="2"/>
      <c r="AA172" s="3"/>
      <c r="AD172" s="3"/>
      <c r="AG172" s="3"/>
      <c r="AJ172" s="3"/>
    </row>
    <row r="173" spans="1:36" x14ac:dyDescent="0.25">
      <c r="A173" s="1"/>
      <c r="B173" s="2"/>
      <c r="AA173" s="3"/>
      <c r="AD173" s="3"/>
      <c r="AG173" s="3"/>
      <c r="AJ173" s="3"/>
    </row>
    <row r="174" spans="1:36" x14ac:dyDescent="0.25">
      <c r="A174" s="1"/>
      <c r="B174" s="2"/>
      <c r="AA174" s="3"/>
      <c r="AD174" s="3"/>
      <c r="AG174" s="3"/>
      <c r="AJ174" s="3"/>
    </row>
    <row r="175" spans="1:36" x14ac:dyDescent="0.25">
      <c r="A175" s="1"/>
      <c r="B175" s="2"/>
      <c r="AA175" s="3"/>
      <c r="AD175" s="3"/>
      <c r="AG175" s="3"/>
      <c r="AJ175" s="3"/>
    </row>
    <row r="176" spans="1:36" x14ac:dyDescent="0.25">
      <c r="A176" s="1"/>
      <c r="B176" s="2"/>
      <c r="AA176" s="3"/>
      <c r="AD176" s="3"/>
      <c r="AG176" s="3"/>
      <c r="AJ176" s="3"/>
    </row>
    <row r="177" spans="1:36" x14ac:dyDescent="0.25">
      <c r="A177" s="1"/>
      <c r="B177" s="2"/>
      <c r="AA177" s="3"/>
      <c r="AD177" s="3"/>
      <c r="AG177" s="3"/>
      <c r="AJ177" s="3"/>
    </row>
    <row r="178" spans="1:36" x14ac:dyDescent="0.25">
      <c r="A178" s="1"/>
      <c r="B178" s="2"/>
      <c r="AA178" s="3"/>
      <c r="AD178" s="3"/>
      <c r="AG178" s="3"/>
      <c r="AJ178" s="3"/>
    </row>
    <row r="179" spans="1:36" x14ac:dyDescent="0.25">
      <c r="A179" s="1"/>
      <c r="B179" s="2"/>
      <c r="AA179" s="3"/>
      <c r="AD179" s="3"/>
      <c r="AG179" s="3"/>
      <c r="AJ179" s="3"/>
    </row>
    <row r="180" spans="1:36" x14ac:dyDescent="0.25">
      <c r="A180" s="1"/>
      <c r="B180" s="2"/>
      <c r="AA180" s="3"/>
      <c r="AD180" s="3"/>
      <c r="AG180" s="3"/>
      <c r="AJ180" s="3"/>
    </row>
    <row r="181" spans="1:36" x14ac:dyDescent="0.25">
      <c r="A181" s="1"/>
      <c r="B181" s="2"/>
      <c r="AA181" s="3"/>
      <c r="AD181" s="3"/>
      <c r="AG181" s="3"/>
      <c r="AJ181" s="3"/>
    </row>
    <row r="182" spans="1:36" x14ac:dyDescent="0.25">
      <c r="A182" s="1"/>
      <c r="B182" s="2"/>
      <c r="AA182" s="3"/>
      <c r="AD182" s="3"/>
      <c r="AG182" s="3"/>
      <c r="AJ182" s="3"/>
    </row>
    <row r="183" spans="1:36" x14ac:dyDescent="0.25">
      <c r="A183" s="1"/>
      <c r="B183" s="2"/>
      <c r="AA183" s="3"/>
      <c r="AD183" s="3"/>
      <c r="AG183" s="3"/>
      <c r="AJ183" s="3"/>
    </row>
    <row r="184" spans="1:36" x14ac:dyDescent="0.25">
      <c r="A184" s="1"/>
      <c r="B184" s="2"/>
      <c r="AA184" s="3"/>
      <c r="AD184" s="3"/>
      <c r="AG184" s="3"/>
      <c r="AJ184" s="3"/>
    </row>
    <row r="185" spans="1:36" x14ac:dyDescent="0.25">
      <c r="A185" s="1"/>
      <c r="B185" s="2"/>
      <c r="AA185" s="3"/>
      <c r="AD185" s="3"/>
      <c r="AG185" s="3"/>
      <c r="AJ185" s="3"/>
    </row>
    <row r="186" spans="1:36" x14ac:dyDescent="0.25">
      <c r="A186" s="1"/>
      <c r="B186" s="2"/>
      <c r="AA186" s="3"/>
      <c r="AD186" s="3"/>
      <c r="AG186" s="3"/>
      <c r="AJ186" s="3"/>
    </row>
    <row r="187" spans="1:36" x14ac:dyDescent="0.25">
      <c r="A187" s="1"/>
      <c r="B187" s="2"/>
      <c r="AA187" s="3"/>
      <c r="AD187" s="3"/>
      <c r="AG187" s="3"/>
      <c r="AJ187" s="3"/>
    </row>
    <row r="188" spans="1:36" x14ac:dyDescent="0.25">
      <c r="A188" s="1"/>
      <c r="B188" s="2"/>
      <c r="AA188" s="3"/>
      <c r="AD188" s="3"/>
      <c r="AG188" s="3"/>
      <c r="AJ188" s="3"/>
    </row>
    <row r="189" spans="1:36" x14ac:dyDescent="0.25">
      <c r="A189" s="1"/>
      <c r="B189" s="2"/>
      <c r="AA189" s="3"/>
      <c r="AD189" s="3"/>
      <c r="AG189" s="3"/>
      <c r="AJ189" s="3"/>
    </row>
    <row r="190" spans="1:36" x14ac:dyDescent="0.25">
      <c r="A190" s="1"/>
      <c r="B190" s="2"/>
      <c r="AA190" s="3"/>
      <c r="AD190" s="3"/>
      <c r="AG190" s="3"/>
      <c r="AJ190" s="3"/>
    </row>
    <row r="191" spans="1:36" x14ac:dyDescent="0.25">
      <c r="A191" s="1"/>
      <c r="B191" s="2"/>
      <c r="AA191" s="3"/>
      <c r="AD191" s="3"/>
      <c r="AG191" s="3"/>
      <c r="AJ191" s="3"/>
    </row>
    <row r="192" spans="1:36" x14ac:dyDescent="0.25">
      <c r="A192" s="1"/>
      <c r="B192" s="2"/>
      <c r="AA192" s="3"/>
      <c r="AD192" s="3"/>
      <c r="AG192" s="3"/>
      <c r="AJ192" s="3"/>
    </row>
    <row r="193" spans="1:36" x14ac:dyDescent="0.25">
      <c r="A193" s="1"/>
      <c r="B193" s="2"/>
      <c r="AA193" s="3"/>
      <c r="AD193" s="3"/>
      <c r="AG193" s="3"/>
      <c r="AJ193" s="3"/>
    </row>
    <row r="194" spans="1:36" x14ac:dyDescent="0.25">
      <c r="A194" s="1"/>
      <c r="B194" s="2"/>
      <c r="AA194" s="3"/>
      <c r="AD194" s="3"/>
      <c r="AG194" s="3"/>
      <c r="AJ194" s="3"/>
    </row>
    <row r="195" spans="1:36" x14ac:dyDescent="0.25">
      <c r="A195" s="1"/>
      <c r="B195" s="2"/>
      <c r="AA195" s="3"/>
      <c r="AD195" s="3"/>
      <c r="AG195" s="3"/>
      <c r="AJ195" s="3"/>
    </row>
    <row r="196" spans="1:36" x14ac:dyDescent="0.25">
      <c r="A196" s="1"/>
      <c r="B196" s="2"/>
      <c r="AA196" s="3"/>
      <c r="AD196" s="3"/>
      <c r="AG196" s="3"/>
      <c r="AJ196" s="3"/>
    </row>
    <row r="197" spans="1:36" x14ac:dyDescent="0.25">
      <c r="A197" s="1"/>
      <c r="B197" s="2"/>
      <c r="AA197" s="3"/>
      <c r="AD197" s="3"/>
      <c r="AG197" s="3"/>
      <c r="AJ197" s="3"/>
    </row>
    <row r="198" spans="1:36" x14ac:dyDescent="0.25">
      <c r="A198" s="1"/>
      <c r="B198" s="2"/>
      <c r="AA198" s="3"/>
      <c r="AD198" s="3"/>
      <c r="AG198" s="3"/>
      <c r="AJ198" s="3"/>
    </row>
    <row r="199" spans="1:36" x14ac:dyDescent="0.25">
      <c r="A199" s="1"/>
      <c r="B199" s="2"/>
      <c r="AA199" s="3"/>
      <c r="AD199" s="3"/>
      <c r="AG199" s="3"/>
      <c r="AJ199" s="3"/>
    </row>
    <row r="200" spans="1:36" x14ac:dyDescent="0.25">
      <c r="A200" s="1"/>
      <c r="B200" s="2"/>
      <c r="AA200" s="3"/>
      <c r="AD200" s="3"/>
      <c r="AG200" s="3"/>
      <c r="AJ200" s="3"/>
    </row>
    <row r="201" spans="1:36" x14ac:dyDescent="0.25">
      <c r="A201" s="1"/>
      <c r="B201" s="2"/>
      <c r="AA201" s="3"/>
      <c r="AD201" s="3"/>
      <c r="AG201" s="3"/>
      <c r="AJ201" s="3"/>
    </row>
    <row r="202" spans="1:36" x14ac:dyDescent="0.25">
      <c r="A202" s="1"/>
      <c r="B202" s="2"/>
      <c r="AA202" s="3"/>
      <c r="AD202" s="3"/>
      <c r="AG202" s="3"/>
      <c r="AJ202" s="3"/>
    </row>
    <row r="203" spans="1:36" x14ac:dyDescent="0.25">
      <c r="A203" s="1"/>
      <c r="B203" s="2"/>
      <c r="AA203" s="3"/>
      <c r="AD203" s="3"/>
      <c r="AG203" s="3"/>
      <c r="AJ203" s="3"/>
    </row>
    <row r="204" spans="1:36" x14ac:dyDescent="0.25">
      <c r="A204" s="1"/>
      <c r="B204" s="2"/>
      <c r="AA204" s="3"/>
      <c r="AD204" s="3"/>
      <c r="AG204" s="3"/>
      <c r="AJ204" s="3"/>
    </row>
    <row r="205" spans="1:36" x14ac:dyDescent="0.25">
      <c r="A205" s="1"/>
      <c r="B205" s="2"/>
      <c r="AA205" s="3"/>
      <c r="AD205" s="3"/>
      <c r="AG205" s="3"/>
      <c r="AJ205" s="3"/>
    </row>
    <row r="206" spans="1:36" x14ac:dyDescent="0.25">
      <c r="A206" s="1"/>
      <c r="B206" s="2"/>
      <c r="AA206" s="3"/>
      <c r="AD206" s="3"/>
      <c r="AG206" s="3"/>
      <c r="AJ206" s="3"/>
    </row>
    <row r="207" spans="1:36" x14ac:dyDescent="0.25">
      <c r="A207" s="1"/>
      <c r="B207" s="2"/>
      <c r="AA207" s="3"/>
      <c r="AD207" s="3"/>
      <c r="AG207" s="3"/>
      <c r="AJ207" s="3"/>
    </row>
    <row r="208" spans="1:36" x14ac:dyDescent="0.25">
      <c r="A208" s="1"/>
      <c r="B208" s="2"/>
      <c r="AA208" s="3"/>
      <c r="AD208" s="3"/>
      <c r="AG208" s="3"/>
      <c r="AJ208" s="3"/>
    </row>
    <row r="209" spans="1:36" x14ac:dyDescent="0.25">
      <c r="A209" s="1"/>
      <c r="B209" s="2"/>
      <c r="AA209" s="3"/>
      <c r="AD209" s="3"/>
      <c r="AG209" s="3"/>
      <c r="AJ209" s="3"/>
    </row>
    <row r="210" spans="1:36" x14ac:dyDescent="0.25">
      <c r="A210" s="1"/>
      <c r="B210" s="2"/>
      <c r="AA210" s="3"/>
      <c r="AD210" s="3"/>
      <c r="AG210" s="3"/>
      <c r="AJ210" s="3"/>
    </row>
    <row r="211" spans="1:36" x14ac:dyDescent="0.25">
      <c r="A211" s="1"/>
      <c r="B211" s="2"/>
      <c r="AA211" s="3"/>
      <c r="AD211" s="3"/>
      <c r="AG211" s="3"/>
      <c r="AJ211" s="3"/>
    </row>
    <row r="212" spans="1:36" x14ac:dyDescent="0.25">
      <c r="A212" s="1"/>
      <c r="B212" s="2"/>
      <c r="AA212" s="3"/>
      <c r="AD212" s="3"/>
      <c r="AG212" s="3"/>
      <c r="AJ212" s="3"/>
    </row>
    <row r="213" spans="1:36" x14ac:dyDescent="0.25">
      <c r="A213" s="1"/>
      <c r="B213" s="2"/>
      <c r="AA213" s="3"/>
      <c r="AD213" s="3"/>
      <c r="AG213" s="3"/>
      <c r="AJ213" s="3"/>
    </row>
    <row r="214" spans="1:36" x14ac:dyDescent="0.25">
      <c r="A214" s="1"/>
      <c r="B214" s="2"/>
      <c r="AA214" s="3"/>
      <c r="AD214" s="3"/>
      <c r="AG214" s="3"/>
      <c r="AJ214" s="3"/>
    </row>
    <row r="215" spans="1:36" x14ac:dyDescent="0.25">
      <c r="A215" s="1"/>
      <c r="B215" s="2"/>
      <c r="AA215" s="3"/>
      <c r="AD215" s="3"/>
      <c r="AG215" s="3"/>
      <c r="AJ215" s="3"/>
    </row>
    <row r="216" spans="1:36" x14ac:dyDescent="0.25">
      <c r="A216" s="1"/>
      <c r="B216" s="2"/>
      <c r="AA216" s="3"/>
      <c r="AD216" s="3"/>
      <c r="AG216" s="3"/>
      <c r="AJ216" s="3"/>
    </row>
    <row r="217" spans="1:36" x14ac:dyDescent="0.25">
      <c r="A217" s="1"/>
      <c r="B217" s="2"/>
      <c r="AA217" s="3"/>
      <c r="AD217" s="3"/>
      <c r="AG217" s="3"/>
      <c r="AJ217" s="3"/>
    </row>
    <row r="218" spans="1:36" x14ac:dyDescent="0.25">
      <c r="A218" s="1"/>
      <c r="B218" s="2"/>
      <c r="AA218" s="3"/>
      <c r="AD218" s="3"/>
      <c r="AG218" s="3"/>
      <c r="AJ218" s="3"/>
    </row>
    <row r="219" spans="1:36" x14ac:dyDescent="0.25">
      <c r="A219" s="1"/>
      <c r="B219" s="2"/>
      <c r="AA219" s="3"/>
      <c r="AD219" s="3"/>
      <c r="AG219" s="3"/>
      <c r="AJ219" s="3"/>
    </row>
    <row r="220" spans="1:36" x14ac:dyDescent="0.25">
      <c r="A220" s="1"/>
      <c r="B220" s="2"/>
      <c r="AA220" s="3"/>
      <c r="AD220" s="3"/>
      <c r="AG220" s="3"/>
      <c r="AJ220" s="3"/>
    </row>
    <row r="221" spans="1:36" x14ac:dyDescent="0.25">
      <c r="A221" s="1"/>
      <c r="B221" s="2"/>
      <c r="AA221" s="3"/>
      <c r="AD221" s="3"/>
      <c r="AG221" s="3"/>
      <c r="AJ221" s="3"/>
    </row>
    <row r="222" spans="1:36" x14ac:dyDescent="0.25">
      <c r="A222" s="1"/>
      <c r="B222" s="2"/>
      <c r="AA222" s="3"/>
      <c r="AD222" s="3"/>
      <c r="AG222" s="3"/>
      <c r="AJ222" s="3"/>
    </row>
    <row r="223" spans="1:36" x14ac:dyDescent="0.25">
      <c r="A223" s="1"/>
      <c r="B223" s="2"/>
      <c r="AA223" s="3"/>
      <c r="AD223" s="3"/>
      <c r="AG223" s="3"/>
      <c r="AJ223" s="3"/>
    </row>
    <row r="224" spans="1:36" x14ac:dyDescent="0.25">
      <c r="A224" s="1"/>
      <c r="B224" s="2"/>
      <c r="AA224" s="3"/>
      <c r="AD224" s="3"/>
      <c r="AG224" s="3"/>
      <c r="AJ224" s="3"/>
    </row>
    <row r="225" spans="1:36" x14ac:dyDescent="0.25">
      <c r="A225" s="1"/>
      <c r="B225" s="2"/>
      <c r="AA225" s="3"/>
      <c r="AD225" s="3"/>
      <c r="AG225" s="3"/>
      <c r="AJ225" s="3"/>
    </row>
    <row r="226" spans="1:36" x14ac:dyDescent="0.25">
      <c r="A226" s="1"/>
      <c r="B226" s="2"/>
      <c r="AA226" s="3"/>
      <c r="AD226" s="3"/>
      <c r="AG226" s="3"/>
      <c r="AJ226" s="3"/>
    </row>
    <row r="227" spans="1:36" x14ac:dyDescent="0.25">
      <c r="A227" s="1"/>
      <c r="B227" s="2"/>
      <c r="AA227" s="3"/>
      <c r="AD227" s="3"/>
      <c r="AG227" s="3"/>
      <c r="AJ227" s="3"/>
    </row>
    <row r="228" spans="1:36" x14ac:dyDescent="0.25">
      <c r="A228" s="1"/>
      <c r="B228" s="2"/>
      <c r="AA228" s="3"/>
      <c r="AD228" s="3"/>
      <c r="AG228" s="3"/>
      <c r="AJ228" s="3"/>
    </row>
    <row r="229" spans="1:36" x14ac:dyDescent="0.25">
      <c r="A229" s="1"/>
      <c r="B229" s="2"/>
      <c r="AA229" s="3"/>
      <c r="AD229" s="3"/>
      <c r="AG229" s="3"/>
      <c r="AJ229" s="3"/>
    </row>
    <row r="230" spans="1:36" x14ac:dyDescent="0.25">
      <c r="A230" s="1"/>
      <c r="B230" s="2"/>
      <c r="AA230" s="3"/>
      <c r="AD230" s="3"/>
      <c r="AG230" s="3"/>
      <c r="AJ230" s="3"/>
    </row>
    <row r="231" spans="1:36" x14ac:dyDescent="0.25">
      <c r="A231" s="1"/>
      <c r="B231" s="2"/>
      <c r="AA231" s="3"/>
      <c r="AD231" s="3"/>
      <c r="AG231" s="3"/>
      <c r="AJ231" s="3"/>
    </row>
    <row r="232" spans="1:36" x14ac:dyDescent="0.25">
      <c r="A232" s="1"/>
      <c r="B232" s="2"/>
      <c r="AA232" s="3"/>
      <c r="AD232" s="3"/>
      <c r="AG232" s="3"/>
      <c r="AJ232" s="3"/>
    </row>
    <row r="233" spans="1:36" x14ac:dyDescent="0.25">
      <c r="A233" s="1"/>
      <c r="B233" s="2"/>
      <c r="AA233" s="3"/>
      <c r="AD233" s="3"/>
      <c r="AG233" s="3"/>
      <c r="AJ233" s="3"/>
    </row>
    <row r="234" spans="1:36" x14ac:dyDescent="0.25">
      <c r="A234" s="1"/>
      <c r="B234" s="2"/>
      <c r="AA234" s="3"/>
      <c r="AD234" s="3"/>
      <c r="AG234" s="3"/>
      <c r="AJ234" s="3"/>
    </row>
    <row r="235" spans="1:36" x14ac:dyDescent="0.25">
      <c r="A235" s="1"/>
      <c r="B235" s="2"/>
      <c r="AA235" s="3"/>
      <c r="AD235" s="3"/>
      <c r="AG235" s="3"/>
      <c r="AJ235" s="3"/>
    </row>
    <row r="236" spans="1:36" x14ac:dyDescent="0.25">
      <c r="A236" s="1"/>
      <c r="B236" s="2"/>
      <c r="AA236" s="3"/>
      <c r="AD236" s="3"/>
      <c r="AG236" s="3"/>
      <c r="AJ236" s="3"/>
    </row>
    <row r="237" spans="1:36" x14ac:dyDescent="0.25">
      <c r="A237" s="1"/>
      <c r="B237" s="2"/>
      <c r="AA237" s="3"/>
      <c r="AD237" s="3"/>
      <c r="AG237" s="3"/>
      <c r="AJ237" s="3"/>
    </row>
    <row r="238" spans="1:36" x14ac:dyDescent="0.25">
      <c r="A238" s="1"/>
      <c r="B238" s="2"/>
      <c r="AA238" s="3"/>
      <c r="AD238" s="3"/>
      <c r="AG238" s="3"/>
      <c r="AJ238" s="3"/>
    </row>
    <row r="239" spans="1:36" x14ac:dyDescent="0.25">
      <c r="A239" s="1"/>
      <c r="B239" s="2"/>
      <c r="AA239" s="3"/>
      <c r="AD239" s="3"/>
      <c r="AG239" s="3"/>
      <c r="AJ239" s="3"/>
    </row>
    <row r="240" spans="1:36" x14ac:dyDescent="0.25">
      <c r="A240" s="1"/>
      <c r="B240" s="2"/>
      <c r="AA240" s="3"/>
      <c r="AD240" s="3"/>
      <c r="AG240" s="3"/>
      <c r="AJ240" s="3"/>
    </row>
    <row r="241" spans="1:36" x14ac:dyDescent="0.25">
      <c r="A241" s="1"/>
      <c r="B241" s="2"/>
      <c r="AA241" s="3"/>
      <c r="AD241" s="3"/>
      <c r="AG241" s="3"/>
      <c r="AJ241" s="3"/>
    </row>
    <row r="242" spans="1:36" x14ac:dyDescent="0.25">
      <c r="A242" s="1"/>
      <c r="B242" s="2"/>
      <c r="AA242" s="3"/>
      <c r="AD242" s="3"/>
      <c r="AG242" s="3"/>
      <c r="AJ242" s="3"/>
    </row>
    <row r="243" spans="1:36" x14ac:dyDescent="0.25">
      <c r="A243" s="1"/>
      <c r="B243" s="2"/>
      <c r="AA243" s="3"/>
      <c r="AD243" s="3"/>
      <c r="AG243" s="3"/>
      <c r="AJ243" s="3"/>
    </row>
    <row r="244" spans="1:36" x14ac:dyDescent="0.25">
      <c r="A244" s="1"/>
      <c r="B244" s="2"/>
      <c r="AA244" s="3"/>
      <c r="AD244" s="3"/>
      <c r="AG244" s="3"/>
      <c r="AJ244" s="3"/>
    </row>
    <row r="245" spans="1:36" x14ac:dyDescent="0.25">
      <c r="A245" s="1"/>
      <c r="B245" s="2"/>
      <c r="AA245" s="3"/>
      <c r="AD245" s="3"/>
      <c r="AG245" s="3"/>
      <c r="AJ245" s="3"/>
    </row>
    <row r="246" spans="1:36" x14ac:dyDescent="0.25">
      <c r="A246" s="1"/>
      <c r="B246" s="2"/>
      <c r="AA246" s="3"/>
      <c r="AD246" s="3"/>
      <c r="AG246" s="3"/>
      <c r="AJ246" s="3"/>
    </row>
    <row r="247" spans="1:36" x14ac:dyDescent="0.25">
      <c r="A247" s="1"/>
      <c r="B247" s="2"/>
      <c r="AA247" s="3"/>
      <c r="AD247" s="3"/>
      <c r="AG247" s="3"/>
      <c r="AJ247" s="3"/>
    </row>
    <row r="248" spans="1:36" x14ac:dyDescent="0.25">
      <c r="A248" s="1"/>
      <c r="B248" s="2"/>
      <c r="AA248" s="3"/>
      <c r="AD248" s="3"/>
      <c r="AG248" s="3"/>
      <c r="AJ248" s="3"/>
    </row>
    <row r="249" spans="1:36" x14ac:dyDescent="0.25">
      <c r="A249" s="1"/>
      <c r="B249" s="2"/>
      <c r="AA249" s="3"/>
      <c r="AD249" s="3"/>
      <c r="AG249" s="3"/>
      <c r="AJ249" s="3"/>
    </row>
    <row r="250" spans="1:36" x14ac:dyDescent="0.25">
      <c r="A250" s="1"/>
      <c r="B250" s="2"/>
      <c r="AA250" s="3"/>
      <c r="AD250" s="3"/>
      <c r="AG250" s="3"/>
      <c r="AJ250" s="3"/>
    </row>
    <row r="251" spans="1:36" x14ac:dyDescent="0.25">
      <c r="A251" s="1"/>
      <c r="B251" s="2"/>
      <c r="AA251" s="3"/>
      <c r="AD251" s="3"/>
      <c r="AG251" s="3"/>
      <c r="AJ251" s="3"/>
    </row>
    <row r="252" spans="1:36" x14ac:dyDescent="0.25">
      <c r="A252" s="1"/>
      <c r="B252" s="2"/>
      <c r="AA252" s="3"/>
      <c r="AD252" s="3"/>
      <c r="AG252" s="3"/>
      <c r="AJ252" s="3"/>
    </row>
    <row r="253" spans="1:36" x14ac:dyDescent="0.25">
      <c r="A253" s="1"/>
      <c r="B253" s="2"/>
      <c r="AA253" s="3"/>
      <c r="AD253" s="3"/>
      <c r="AG253" s="3"/>
      <c r="AJ253" s="3"/>
    </row>
    <row r="254" spans="1:36" x14ac:dyDescent="0.25">
      <c r="A254" s="1"/>
      <c r="B254" s="2"/>
      <c r="AA254" s="3"/>
      <c r="AD254" s="3"/>
      <c r="AG254" s="3"/>
      <c r="AJ254" s="3"/>
    </row>
    <row r="255" spans="1:36" x14ac:dyDescent="0.25">
      <c r="A255" s="1"/>
      <c r="B255" s="2"/>
      <c r="AA255" s="3"/>
      <c r="AD255" s="3"/>
      <c r="AG255" s="3"/>
      <c r="AJ255" s="3"/>
    </row>
    <row r="256" spans="1:36" x14ac:dyDescent="0.25">
      <c r="A256" s="1"/>
      <c r="B256" s="2"/>
      <c r="AA256" s="3"/>
      <c r="AD256" s="3"/>
      <c r="AG256" s="3"/>
      <c r="AJ256" s="3"/>
    </row>
    <row r="257" spans="1:36" x14ac:dyDescent="0.25">
      <c r="A257" s="1"/>
      <c r="B257" s="2"/>
      <c r="AA257" s="3"/>
      <c r="AD257" s="3"/>
      <c r="AG257" s="3"/>
      <c r="AJ257" s="3"/>
    </row>
    <row r="258" spans="1:36" x14ac:dyDescent="0.25">
      <c r="A258" s="1"/>
      <c r="B258" s="2"/>
      <c r="AA258" s="3"/>
      <c r="AD258" s="3"/>
      <c r="AG258" s="3"/>
      <c r="AJ258" s="3"/>
    </row>
    <row r="259" spans="1:36" x14ac:dyDescent="0.25">
      <c r="A259" s="1"/>
      <c r="B259" s="2"/>
      <c r="AA259" s="3"/>
      <c r="AD259" s="3"/>
      <c r="AG259" s="3"/>
      <c r="AJ259" s="3"/>
    </row>
    <row r="260" spans="1:36" x14ac:dyDescent="0.25">
      <c r="A260" s="1"/>
      <c r="B260" s="2"/>
      <c r="AA260" s="3"/>
      <c r="AD260" s="3"/>
      <c r="AG260" s="3"/>
      <c r="AJ260" s="3"/>
    </row>
    <row r="261" spans="1:36" x14ac:dyDescent="0.25">
      <c r="A261" s="1"/>
      <c r="B261" s="2"/>
      <c r="AA261" s="3"/>
      <c r="AD261" s="3"/>
      <c r="AG261" s="3"/>
      <c r="AJ261" s="3"/>
    </row>
    <row r="262" spans="1:36" x14ac:dyDescent="0.25">
      <c r="A262" s="1"/>
      <c r="B262" s="2"/>
      <c r="AA262" s="3"/>
      <c r="AD262" s="3"/>
      <c r="AG262" s="3"/>
      <c r="AJ262" s="3"/>
    </row>
    <row r="263" spans="1:36" x14ac:dyDescent="0.25">
      <c r="A263" s="1"/>
      <c r="B263" s="2"/>
      <c r="AA263" s="3"/>
      <c r="AD263" s="3"/>
      <c r="AG263" s="3"/>
      <c r="AJ263" s="3"/>
    </row>
    <row r="264" spans="1:36" x14ac:dyDescent="0.25">
      <c r="A264" s="1"/>
      <c r="B264" s="2"/>
      <c r="AA264" s="3"/>
      <c r="AD264" s="3"/>
      <c r="AG264" s="3"/>
      <c r="AJ264" s="3"/>
    </row>
    <row r="265" spans="1:36" x14ac:dyDescent="0.25">
      <c r="A265" s="1"/>
      <c r="B265" s="2"/>
      <c r="AA265" s="3"/>
      <c r="AD265" s="3"/>
      <c r="AG265" s="3"/>
      <c r="AJ265" s="3"/>
    </row>
    <row r="266" spans="1:36" x14ac:dyDescent="0.25">
      <c r="A266" s="1"/>
      <c r="B266" s="2"/>
      <c r="AA266" s="3"/>
      <c r="AD266" s="3"/>
      <c r="AG266" s="3"/>
      <c r="AJ266" s="3"/>
    </row>
    <row r="267" spans="1:36" x14ac:dyDescent="0.25">
      <c r="A267" s="1"/>
      <c r="B267" s="2"/>
      <c r="AA267" s="3"/>
      <c r="AD267" s="3"/>
      <c r="AG267" s="3"/>
      <c r="AJ267" s="3"/>
    </row>
    <row r="268" spans="1:36" x14ac:dyDescent="0.25">
      <c r="A268" s="1"/>
      <c r="B268" s="2"/>
      <c r="AA268" s="3"/>
      <c r="AD268" s="3"/>
      <c r="AG268" s="3"/>
      <c r="AJ268" s="3"/>
    </row>
    <row r="269" spans="1:36" x14ac:dyDescent="0.25">
      <c r="A269" s="1"/>
      <c r="B269" s="2"/>
      <c r="AA269" s="3"/>
      <c r="AD269" s="3"/>
      <c r="AG269" s="3"/>
      <c r="AJ269" s="3"/>
    </row>
    <row r="270" spans="1:36" x14ac:dyDescent="0.25">
      <c r="A270" s="1"/>
      <c r="B270" s="2"/>
      <c r="AA270" s="3"/>
      <c r="AD270" s="3"/>
      <c r="AG270" s="3"/>
      <c r="AJ270" s="3"/>
    </row>
    <row r="271" spans="1:36" x14ac:dyDescent="0.25">
      <c r="A271" s="1"/>
      <c r="B271" s="2"/>
      <c r="AA271" s="3"/>
      <c r="AD271" s="3"/>
      <c r="AG271" s="3"/>
      <c r="AJ271" s="3"/>
    </row>
    <row r="272" spans="1:36" x14ac:dyDescent="0.25">
      <c r="A272" s="1"/>
      <c r="B272" s="2"/>
      <c r="AA272" s="3"/>
      <c r="AD272" s="3"/>
      <c r="AG272" s="3"/>
      <c r="AJ272" s="3"/>
    </row>
    <row r="273" spans="1:36" x14ac:dyDescent="0.25">
      <c r="A273" s="1"/>
      <c r="B273" s="2"/>
      <c r="AA273" s="3"/>
      <c r="AD273" s="3"/>
      <c r="AG273" s="3"/>
      <c r="AJ273" s="3"/>
    </row>
    <row r="274" spans="1:36" x14ac:dyDescent="0.25">
      <c r="A274" s="1"/>
      <c r="B274" s="2"/>
      <c r="AA274" s="3"/>
      <c r="AD274" s="3"/>
      <c r="AG274" s="3"/>
      <c r="AJ274" s="3"/>
    </row>
    <row r="275" spans="1:36" x14ac:dyDescent="0.25">
      <c r="A275" s="1"/>
      <c r="B275" s="2"/>
      <c r="AA275" s="3"/>
      <c r="AD275" s="3"/>
      <c r="AG275" s="3"/>
      <c r="AJ275" s="3"/>
    </row>
    <row r="276" spans="1:36" x14ac:dyDescent="0.25">
      <c r="A276" s="1"/>
      <c r="B276" s="2"/>
      <c r="AA276" s="3"/>
      <c r="AD276" s="3"/>
      <c r="AG276" s="3"/>
      <c r="AJ276" s="3"/>
    </row>
    <row r="277" spans="1:36" x14ac:dyDescent="0.25">
      <c r="A277" s="1"/>
      <c r="B277" s="2"/>
      <c r="AA277" s="3"/>
      <c r="AD277" s="3"/>
      <c r="AG277" s="3"/>
      <c r="AJ277" s="3"/>
    </row>
    <row r="278" spans="1:36" x14ac:dyDescent="0.25">
      <c r="A278" s="1"/>
      <c r="B278" s="2"/>
      <c r="AA278" s="3"/>
      <c r="AD278" s="3"/>
      <c r="AG278" s="3"/>
      <c r="AJ278" s="3"/>
    </row>
    <row r="279" spans="1:36" x14ac:dyDescent="0.25">
      <c r="A279" s="1"/>
      <c r="B279" s="2"/>
      <c r="AA279" s="3"/>
      <c r="AD279" s="3"/>
      <c r="AG279" s="3"/>
      <c r="AJ279" s="3"/>
    </row>
    <row r="280" spans="1:36" x14ac:dyDescent="0.25">
      <c r="A280" s="1"/>
      <c r="B280" s="2"/>
      <c r="AA280" s="3"/>
      <c r="AD280" s="3"/>
      <c r="AG280" s="3"/>
      <c r="AJ280" s="3"/>
    </row>
    <row r="281" spans="1:36" x14ac:dyDescent="0.25">
      <c r="A281" s="1"/>
      <c r="B281" s="2"/>
      <c r="AA281" s="3"/>
      <c r="AD281" s="3"/>
      <c r="AG281" s="3"/>
      <c r="AJ281" s="3"/>
    </row>
    <row r="282" spans="1:36" x14ac:dyDescent="0.25">
      <c r="A282" s="1"/>
      <c r="B282" s="2"/>
      <c r="AA282" s="3"/>
      <c r="AD282" s="3"/>
      <c r="AG282" s="3"/>
      <c r="AJ282" s="3"/>
    </row>
    <row r="283" spans="1:36" x14ac:dyDescent="0.25">
      <c r="A283" s="1"/>
      <c r="B283" s="2"/>
      <c r="AA283" s="3"/>
      <c r="AD283" s="3"/>
      <c r="AG283" s="3"/>
      <c r="AJ283" s="3"/>
    </row>
    <row r="284" spans="1:36" x14ac:dyDescent="0.25">
      <c r="A284" s="1"/>
      <c r="B284" s="2"/>
      <c r="AA284" s="3"/>
      <c r="AD284" s="3"/>
      <c r="AG284" s="3"/>
      <c r="AJ284" s="3"/>
    </row>
    <row r="285" spans="1:36" x14ac:dyDescent="0.25">
      <c r="A285" s="1"/>
      <c r="B285" s="2"/>
      <c r="AA285" s="3"/>
      <c r="AD285" s="3"/>
      <c r="AG285" s="3"/>
      <c r="AJ285" s="3"/>
    </row>
    <row r="286" spans="1:36" x14ac:dyDescent="0.25">
      <c r="A286" s="1"/>
      <c r="B286" s="2"/>
      <c r="AA286" s="3"/>
      <c r="AD286" s="3"/>
      <c r="AG286" s="3"/>
      <c r="AJ286" s="3"/>
    </row>
    <row r="287" spans="1:36" x14ac:dyDescent="0.25">
      <c r="A287" s="1"/>
      <c r="B287" s="2"/>
      <c r="AA287" s="3"/>
      <c r="AD287" s="3"/>
      <c r="AG287" s="3"/>
      <c r="AJ287" s="3"/>
    </row>
    <row r="288" spans="1:36" x14ac:dyDescent="0.25">
      <c r="A288" s="1"/>
      <c r="B288" s="2"/>
      <c r="AA288" s="3"/>
      <c r="AD288" s="3"/>
      <c r="AG288" s="3"/>
      <c r="AJ288" s="3"/>
    </row>
    <row r="289" spans="1:36" x14ac:dyDescent="0.25">
      <c r="A289" s="1"/>
      <c r="B289" s="2"/>
      <c r="AA289" s="3"/>
      <c r="AD289" s="3"/>
      <c r="AG289" s="3"/>
      <c r="AJ289" s="3"/>
    </row>
    <row r="290" spans="1:36" x14ac:dyDescent="0.25">
      <c r="A290" s="1"/>
      <c r="B290" s="2"/>
      <c r="AA290" s="3"/>
      <c r="AD290" s="3"/>
      <c r="AG290" s="3"/>
      <c r="AJ290" s="3"/>
    </row>
    <row r="291" spans="1:36" x14ac:dyDescent="0.25">
      <c r="A291" s="1"/>
      <c r="B291" s="2"/>
      <c r="AA291" s="3"/>
      <c r="AD291" s="3"/>
      <c r="AG291" s="3"/>
      <c r="AJ291" s="3"/>
    </row>
    <row r="292" spans="1:36" x14ac:dyDescent="0.25">
      <c r="A292" s="1"/>
      <c r="B292" s="2"/>
      <c r="AA292" s="3"/>
      <c r="AD292" s="3"/>
      <c r="AG292" s="3"/>
      <c r="AJ292" s="3"/>
    </row>
    <row r="293" spans="1:36" x14ac:dyDescent="0.25">
      <c r="A293" s="1"/>
      <c r="B293" s="2"/>
      <c r="AA293" s="3"/>
      <c r="AD293" s="3"/>
      <c r="AG293" s="3"/>
      <c r="AJ293" s="3"/>
    </row>
    <row r="294" spans="1:36" x14ac:dyDescent="0.25">
      <c r="A294" s="1"/>
      <c r="B294" s="2"/>
      <c r="AA294" s="3"/>
      <c r="AD294" s="3"/>
      <c r="AG294" s="3"/>
      <c r="AJ294" s="3"/>
    </row>
    <row r="295" spans="1:36" x14ac:dyDescent="0.25">
      <c r="A295" s="1"/>
      <c r="B295" s="2"/>
      <c r="AA295" s="3"/>
      <c r="AD295" s="3"/>
      <c r="AG295" s="3"/>
      <c r="AJ295" s="3"/>
    </row>
    <row r="296" spans="1:36" x14ac:dyDescent="0.25">
      <c r="A296" s="1"/>
      <c r="B296" s="2"/>
      <c r="AA296" s="3"/>
      <c r="AD296" s="3"/>
      <c r="AG296" s="3"/>
      <c r="AJ296" s="3"/>
    </row>
    <row r="297" spans="1:36" x14ac:dyDescent="0.25">
      <c r="A297" s="1"/>
      <c r="B297" s="2"/>
      <c r="AA297" s="3"/>
      <c r="AD297" s="3"/>
      <c r="AG297" s="3"/>
      <c r="AJ297" s="3"/>
    </row>
    <row r="298" spans="1:36" x14ac:dyDescent="0.25">
      <c r="A298" s="1"/>
      <c r="B298" s="2"/>
      <c r="AA298" s="3"/>
      <c r="AD298" s="3"/>
      <c r="AG298" s="3"/>
      <c r="AJ298" s="3"/>
    </row>
    <row r="299" spans="1:36" x14ac:dyDescent="0.25">
      <c r="A299" s="1"/>
      <c r="B299" s="2"/>
      <c r="AA299" s="3"/>
      <c r="AD299" s="3"/>
      <c r="AG299" s="3"/>
      <c r="AJ299" s="3"/>
    </row>
    <row r="300" spans="1:36" x14ac:dyDescent="0.25">
      <c r="A300" s="1"/>
      <c r="B300" s="2"/>
      <c r="AA300" s="3"/>
      <c r="AD300" s="3"/>
      <c r="AG300" s="3"/>
      <c r="AJ300" s="3"/>
    </row>
    <row r="301" spans="1:36" x14ac:dyDescent="0.25">
      <c r="A301" s="1"/>
      <c r="B301" s="2"/>
      <c r="AA301" s="3"/>
      <c r="AD301" s="3"/>
      <c r="AG301" s="3"/>
      <c r="AJ301" s="3"/>
    </row>
    <row r="302" spans="1:36" x14ac:dyDescent="0.25">
      <c r="A302" s="1"/>
      <c r="B302" s="2"/>
      <c r="AA302" s="3"/>
      <c r="AD302" s="3"/>
      <c r="AG302" s="3"/>
      <c r="AJ302" s="3"/>
    </row>
    <row r="303" spans="1:36" x14ac:dyDescent="0.25">
      <c r="A303" s="1"/>
      <c r="B303" s="2"/>
      <c r="AA303" s="3"/>
      <c r="AD303" s="3"/>
      <c r="AG303" s="3"/>
      <c r="AJ303" s="3"/>
    </row>
    <row r="304" spans="1:36" x14ac:dyDescent="0.25">
      <c r="A304" s="1"/>
      <c r="B304" s="2"/>
      <c r="AA304" s="3"/>
      <c r="AD304" s="3"/>
      <c r="AG304" s="3"/>
      <c r="AJ304" s="3"/>
    </row>
    <row r="305" spans="1:36" x14ac:dyDescent="0.25">
      <c r="A305" s="1"/>
      <c r="B305" s="2"/>
      <c r="AA305" s="3"/>
      <c r="AD305" s="3"/>
      <c r="AG305" s="3"/>
      <c r="AJ305" s="3"/>
    </row>
    <row r="306" spans="1:36" x14ac:dyDescent="0.25">
      <c r="A306" s="1"/>
      <c r="B306" s="2"/>
      <c r="AA306" s="3"/>
      <c r="AD306" s="3"/>
      <c r="AG306" s="3"/>
      <c r="AJ306" s="3"/>
    </row>
    <row r="307" spans="1:36" x14ac:dyDescent="0.25">
      <c r="A307" s="1"/>
      <c r="B307" s="2"/>
      <c r="AA307" s="3"/>
      <c r="AD307" s="3"/>
      <c r="AG307" s="3"/>
      <c r="AJ307" s="3"/>
    </row>
    <row r="308" spans="1:36" x14ac:dyDescent="0.25">
      <c r="A308" s="1"/>
      <c r="B308" s="2"/>
      <c r="AA308" s="3"/>
      <c r="AD308" s="3"/>
      <c r="AG308" s="3"/>
      <c r="AJ308" s="3"/>
    </row>
    <row r="309" spans="1:36" x14ac:dyDescent="0.25">
      <c r="A309" s="1"/>
      <c r="B309" s="2"/>
      <c r="AA309" s="3"/>
      <c r="AD309" s="3"/>
      <c r="AG309" s="3"/>
      <c r="AJ309" s="3"/>
    </row>
    <row r="310" spans="1:36" x14ac:dyDescent="0.25">
      <c r="A310" s="1"/>
      <c r="B310" s="2"/>
      <c r="AA310" s="3"/>
      <c r="AD310" s="3"/>
      <c r="AG310" s="3"/>
      <c r="AJ310" s="3"/>
    </row>
    <row r="311" spans="1:36" x14ac:dyDescent="0.25">
      <c r="A311" s="1"/>
      <c r="B311" s="2"/>
      <c r="AA311" s="3"/>
      <c r="AD311" s="3"/>
      <c r="AG311" s="3"/>
      <c r="AJ311" s="3"/>
    </row>
    <row r="312" spans="1:36" x14ac:dyDescent="0.25">
      <c r="A312" s="1"/>
      <c r="B312" s="2"/>
      <c r="AA312" s="3"/>
      <c r="AD312" s="3"/>
      <c r="AG312" s="3"/>
      <c r="AJ312" s="3"/>
    </row>
    <row r="313" spans="1:36" x14ac:dyDescent="0.25">
      <c r="A313" s="1"/>
      <c r="B313" s="2"/>
      <c r="AA313" s="3"/>
      <c r="AD313" s="3"/>
      <c r="AG313" s="3"/>
      <c r="AJ313" s="3"/>
    </row>
    <row r="314" spans="1:36" x14ac:dyDescent="0.25">
      <c r="A314" s="1"/>
      <c r="B314" s="2"/>
      <c r="AA314" s="3"/>
      <c r="AD314" s="3"/>
      <c r="AG314" s="3"/>
      <c r="AJ314" s="3"/>
    </row>
    <row r="315" spans="1:36" x14ac:dyDescent="0.25">
      <c r="A315" s="1"/>
      <c r="B315" s="2"/>
      <c r="AA315" s="3"/>
      <c r="AD315" s="3"/>
      <c r="AG315" s="3"/>
      <c r="AJ315" s="3"/>
    </row>
    <row r="316" spans="1:36" x14ac:dyDescent="0.25">
      <c r="A316" s="1"/>
      <c r="B316" s="2"/>
      <c r="AA316" s="3"/>
      <c r="AD316" s="3"/>
      <c r="AG316" s="3"/>
      <c r="AJ316" s="3"/>
    </row>
    <row r="317" spans="1:36" x14ac:dyDescent="0.25">
      <c r="A317" s="1"/>
      <c r="B317" s="2"/>
      <c r="AA317" s="3"/>
      <c r="AD317" s="3"/>
      <c r="AG317" s="3"/>
      <c r="AJ317" s="3"/>
    </row>
    <row r="318" spans="1:36" x14ac:dyDescent="0.25">
      <c r="A318" s="1"/>
      <c r="B318" s="2"/>
      <c r="AA318" s="3"/>
      <c r="AD318" s="3"/>
      <c r="AG318" s="3"/>
      <c r="AJ318" s="3"/>
    </row>
    <row r="319" spans="1:36" x14ac:dyDescent="0.25">
      <c r="A319" s="1"/>
      <c r="B319" s="2"/>
      <c r="AA319" s="3"/>
      <c r="AD319" s="3"/>
      <c r="AG319" s="3"/>
      <c r="AJ319" s="3"/>
    </row>
    <row r="320" spans="1:36" x14ac:dyDescent="0.25">
      <c r="A320" s="1"/>
      <c r="B320" s="2"/>
      <c r="AA320" s="3"/>
      <c r="AD320" s="3"/>
      <c r="AG320" s="3"/>
      <c r="AJ320" s="3"/>
    </row>
    <row r="321" spans="1:36" x14ac:dyDescent="0.25">
      <c r="A321" s="1"/>
      <c r="B321" s="2"/>
      <c r="AA321" s="3"/>
      <c r="AD321" s="3"/>
      <c r="AG321" s="3"/>
      <c r="AJ321" s="3"/>
    </row>
    <row r="322" spans="1:36" x14ac:dyDescent="0.25">
      <c r="A322" s="1"/>
      <c r="B322" s="2"/>
      <c r="AA322" s="3"/>
      <c r="AD322" s="3"/>
      <c r="AG322" s="3"/>
      <c r="AJ322" s="3"/>
    </row>
    <row r="323" spans="1:36" x14ac:dyDescent="0.25">
      <c r="A323" s="1"/>
      <c r="B323" s="2"/>
      <c r="AA323" s="3"/>
      <c r="AD323" s="3"/>
      <c r="AG323" s="3"/>
      <c r="AJ323" s="3"/>
    </row>
    <row r="324" spans="1:36" x14ac:dyDescent="0.25">
      <c r="A324" s="1"/>
      <c r="B324" s="2"/>
      <c r="AA324" s="3"/>
      <c r="AD324" s="3"/>
      <c r="AG324" s="3"/>
      <c r="AJ324" s="3"/>
    </row>
    <row r="325" spans="1:36" x14ac:dyDescent="0.25">
      <c r="A325" s="1"/>
      <c r="B325" s="2"/>
      <c r="AA325" s="3"/>
      <c r="AD325" s="3"/>
      <c r="AG325" s="3"/>
      <c r="AJ325" s="3"/>
    </row>
    <row r="326" spans="1:36" x14ac:dyDescent="0.25">
      <c r="A326" s="1"/>
      <c r="B326" s="2"/>
      <c r="AA326" s="3"/>
      <c r="AD326" s="3"/>
      <c r="AG326" s="3"/>
      <c r="AJ326" s="3"/>
    </row>
    <row r="327" spans="1:36" x14ac:dyDescent="0.25">
      <c r="A327" s="1"/>
      <c r="B327" s="2"/>
      <c r="AA327" s="3"/>
      <c r="AD327" s="3"/>
      <c r="AG327" s="3"/>
      <c r="AJ327" s="3"/>
    </row>
    <row r="328" spans="1:36" x14ac:dyDescent="0.25">
      <c r="A328" s="1"/>
      <c r="B328" s="2"/>
      <c r="AA328" s="3"/>
      <c r="AD328" s="3"/>
      <c r="AG328" s="3"/>
      <c r="AJ328" s="3"/>
    </row>
    <row r="329" spans="1:36" x14ac:dyDescent="0.25">
      <c r="A329" s="1"/>
      <c r="B329" s="2"/>
      <c r="AA329" s="3"/>
      <c r="AD329" s="3"/>
      <c r="AG329" s="3"/>
      <c r="AJ329" s="3"/>
    </row>
    <row r="330" spans="1:36" x14ac:dyDescent="0.25">
      <c r="A330" s="1"/>
      <c r="B330" s="2"/>
      <c r="AA330" s="3"/>
      <c r="AD330" s="3"/>
      <c r="AG330" s="3"/>
      <c r="AJ330" s="3"/>
    </row>
    <row r="331" spans="1:36" x14ac:dyDescent="0.25">
      <c r="A331" s="1"/>
      <c r="B331" s="2"/>
      <c r="AA331" s="3"/>
      <c r="AD331" s="3"/>
      <c r="AG331" s="3"/>
      <c r="AJ331" s="3"/>
    </row>
    <row r="332" spans="1:36" x14ac:dyDescent="0.25">
      <c r="A332" s="1"/>
      <c r="B332" s="2"/>
      <c r="AA332" s="3"/>
      <c r="AD332" s="3"/>
      <c r="AG332" s="3"/>
      <c r="AJ332" s="3"/>
    </row>
    <row r="333" spans="1:36" x14ac:dyDescent="0.25">
      <c r="A333" s="1"/>
      <c r="B333" s="2"/>
      <c r="AA333" s="3"/>
      <c r="AD333" s="3"/>
      <c r="AG333" s="3"/>
      <c r="AJ333" s="3"/>
    </row>
    <row r="334" spans="1:36" x14ac:dyDescent="0.25">
      <c r="A334" s="1"/>
      <c r="B334" s="2"/>
      <c r="AA334" s="3"/>
      <c r="AD334" s="3"/>
      <c r="AG334" s="3"/>
      <c r="AJ334" s="3"/>
    </row>
    <row r="335" spans="1:36" x14ac:dyDescent="0.25">
      <c r="A335" s="1"/>
      <c r="B335" s="2"/>
      <c r="AA335" s="3"/>
      <c r="AD335" s="3"/>
      <c r="AG335" s="3"/>
      <c r="AJ335" s="3"/>
    </row>
    <row r="336" spans="1:36" x14ac:dyDescent="0.25">
      <c r="A336" s="1"/>
      <c r="B336" s="2"/>
      <c r="AA336" s="3"/>
      <c r="AD336" s="3"/>
      <c r="AG336" s="3"/>
      <c r="AJ336" s="3"/>
    </row>
    <row r="337" spans="1:36" x14ac:dyDescent="0.25">
      <c r="A337" s="1"/>
      <c r="B337" s="2"/>
      <c r="AA337" s="3"/>
      <c r="AD337" s="3"/>
      <c r="AG337" s="3"/>
      <c r="AJ337" s="3"/>
    </row>
    <row r="338" spans="1:36" x14ac:dyDescent="0.25">
      <c r="A338" s="1"/>
      <c r="B338" s="2"/>
      <c r="AA338" s="3"/>
      <c r="AD338" s="3"/>
      <c r="AG338" s="3"/>
      <c r="AJ338" s="3"/>
    </row>
    <row r="339" spans="1:36" x14ac:dyDescent="0.25">
      <c r="A339" s="1"/>
      <c r="B339" s="2"/>
      <c r="AA339" s="3"/>
      <c r="AD339" s="3"/>
      <c r="AG339" s="3"/>
      <c r="AJ339" s="3"/>
    </row>
    <row r="340" spans="1:36" x14ac:dyDescent="0.25">
      <c r="A340" s="1"/>
      <c r="B340" s="2"/>
      <c r="AA340" s="3"/>
      <c r="AD340" s="3"/>
      <c r="AG340" s="3"/>
      <c r="AJ340" s="3"/>
    </row>
    <row r="341" spans="1:36" x14ac:dyDescent="0.25">
      <c r="A341" s="1"/>
      <c r="B341" s="2"/>
      <c r="AA341" s="3"/>
      <c r="AD341" s="3"/>
      <c r="AG341" s="3"/>
      <c r="AJ341" s="3"/>
    </row>
    <row r="342" spans="1:36" x14ac:dyDescent="0.25">
      <c r="A342" s="1"/>
      <c r="B342" s="2"/>
      <c r="AA342" s="3"/>
      <c r="AD342" s="3"/>
      <c r="AG342" s="3"/>
      <c r="AJ342" s="3"/>
    </row>
    <row r="343" spans="1:36" x14ac:dyDescent="0.25">
      <c r="A343" s="1"/>
      <c r="B343" s="2"/>
      <c r="AA343" s="3"/>
      <c r="AD343" s="3"/>
      <c r="AG343" s="3"/>
      <c r="AJ343" s="3"/>
    </row>
    <row r="344" spans="1:36" x14ac:dyDescent="0.25">
      <c r="A344" s="1"/>
      <c r="B344" s="2"/>
      <c r="AA344" s="3"/>
      <c r="AD344" s="3"/>
      <c r="AG344" s="3"/>
      <c r="AJ344" s="3"/>
    </row>
    <row r="345" spans="1:36" x14ac:dyDescent="0.25">
      <c r="A345" s="1"/>
      <c r="B345" s="2"/>
      <c r="AA345" s="3"/>
      <c r="AD345" s="3"/>
      <c r="AG345" s="3"/>
      <c r="AJ345" s="3"/>
    </row>
    <row r="346" spans="1:36" x14ac:dyDescent="0.25">
      <c r="A346" s="1"/>
      <c r="B346" s="2"/>
      <c r="AA346" s="3"/>
      <c r="AD346" s="3"/>
      <c r="AG346" s="3"/>
      <c r="AJ346" s="3"/>
    </row>
    <row r="347" spans="1:36" x14ac:dyDescent="0.25">
      <c r="A347" s="1"/>
      <c r="B347" s="2"/>
      <c r="AA347" s="3"/>
      <c r="AD347" s="3"/>
      <c r="AG347" s="3"/>
      <c r="AJ347" s="3"/>
    </row>
    <row r="348" spans="1:36" x14ac:dyDescent="0.25">
      <c r="A348" s="1"/>
      <c r="B348" s="2"/>
      <c r="AA348" s="3"/>
      <c r="AD348" s="3"/>
      <c r="AG348" s="3"/>
      <c r="AJ348" s="3"/>
    </row>
    <row r="349" spans="1:36" x14ac:dyDescent="0.25">
      <c r="A349" s="1"/>
      <c r="B349" s="2"/>
      <c r="AA349" s="3"/>
      <c r="AD349" s="3"/>
      <c r="AG349" s="3"/>
      <c r="AJ349" s="3"/>
    </row>
    <row r="350" spans="1:36" x14ac:dyDescent="0.25">
      <c r="A350" s="1"/>
      <c r="B350" s="2"/>
      <c r="AA350" s="3"/>
      <c r="AD350" s="3"/>
      <c r="AG350" s="3"/>
      <c r="AJ350" s="3"/>
    </row>
    <row r="351" spans="1:36" x14ac:dyDescent="0.25">
      <c r="A351" s="1"/>
      <c r="B351" s="2"/>
      <c r="AA351" s="3"/>
      <c r="AD351" s="3"/>
      <c r="AG351" s="3"/>
      <c r="AJ351" s="3"/>
    </row>
    <row r="352" spans="1:36" x14ac:dyDescent="0.25">
      <c r="A352" s="1"/>
      <c r="B352" s="2"/>
      <c r="AA352" s="3"/>
      <c r="AD352" s="3"/>
      <c r="AG352" s="3"/>
      <c r="AJ352" s="3"/>
    </row>
    <row r="353" spans="1:36" x14ac:dyDescent="0.25">
      <c r="A353" s="1"/>
      <c r="B353" s="2"/>
      <c r="AA353" s="3"/>
      <c r="AD353" s="3"/>
      <c r="AG353" s="3"/>
      <c r="AJ353" s="3"/>
    </row>
    <row r="354" spans="1:36" x14ac:dyDescent="0.25">
      <c r="A354" s="1"/>
      <c r="B354" s="2"/>
      <c r="AA354" s="3"/>
      <c r="AD354" s="3"/>
      <c r="AG354" s="3"/>
      <c r="AJ354" s="3"/>
    </row>
    <row r="355" spans="1:36" x14ac:dyDescent="0.25">
      <c r="A355" s="1"/>
      <c r="B355" s="2"/>
      <c r="AA355" s="3"/>
      <c r="AD355" s="3"/>
      <c r="AG355" s="3"/>
      <c r="AJ355" s="3"/>
    </row>
    <row r="356" spans="1:36" x14ac:dyDescent="0.25">
      <c r="A356" s="1"/>
      <c r="B356" s="2"/>
      <c r="AA356" s="3"/>
      <c r="AD356" s="3"/>
      <c r="AG356" s="3"/>
      <c r="AJ356" s="3"/>
    </row>
    <row r="357" spans="1:36" x14ac:dyDescent="0.25">
      <c r="A357" s="1"/>
      <c r="B357" s="2"/>
      <c r="AA357" s="3"/>
      <c r="AD357" s="3"/>
      <c r="AG357" s="3"/>
      <c r="AJ357" s="3"/>
    </row>
    <row r="358" spans="1:36" x14ac:dyDescent="0.25">
      <c r="A358" s="1"/>
      <c r="B358" s="2"/>
      <c r="AA358" s="3"/>
      <c r="AD358" s="3"/>
      <c r="AG358" s="3"/>
      <c r="AJ358" s="3"/>
    </row>
    <row r="359" spans="1:36" x14ac:dyDescent="0.25">
      <c r="A359" s="1"/>
      <c r="B359" s="2"/>
      <c r="AA359" s="3"/>
      <c r="AD359" s="3"/>
      <c r="AG359" s="3"/>
      <c r="AJ359" s="3"/>
    </row>
    <row r="360" spans="1:36" x14ac:dyDescent="0.25">
      <c r="A360" s="1"/>
      <c r="B360" s="2"/>
      <c r="AA360" s="3"/>
      <c r="AD360" s="3"/>
      <c r="AG360" s="3"/>
      <c r="AJ360" s="3"/>
    </row>
    <row r="361" spans="1:36" x14ac:dyDescent="0.25">
      <c r="A361" s="1"/>
      <c r="B361" s="2"/>
      <c r="AA361" s="3"/>
      <c r="AD361" s="3"/>
      <c r="AG361" s="3"/>
      <c r="AJ361" s="3"/>
    </row>
    <row r="362" spans="1:36" x14ac:dyDescent="0.25">
      <c r="A362" s="1"/>
      <c r="B362" s="2"/>
      <c r="AA362" s="3"/>
      <c r="AD362" s="3"/>
      <c r="AG362" s="3"/>
      <c r="AJ362" s="3"/>
    </row>
    <row r="363" spans="1:36" x14ac:dyDescent="0.25">
      <c r="A363" s="1"/>
      <c r="B363" s="2"/>
      <c r="AA363" s="3"/>
      <c r="AD363" s="3"/>
      <c r="AG363" s="3"/>
      <c r="AJ363" s="3"/>
    </row>
    <row r="364" spans="1:36" x14ac:dyDescent="0.25">
      <c r="A364" s="1"/>
      <c r="B364" s="2"/>
      <c r="AA364" s="3"/>
      <c r="AD364" s="3"/>
      <c r="AG364" s="3"/>
      <c r="AJ364" s="3"/>
    </row>
    <row r="365" spans="1:36" x14ac:dyDescent="0.25">
      <c r="A365" s="1"/>
      <c r="B365" s="2"/>
      <c r="AA365" s="3"/>
      <c r="AD365" s="3"/>
      <c r="AG365" s="3"/>
      <c r="AJ365" s="3"/>
    </row>
    <row r="366" spans="1:36" x14ac:dyDescent="0.25">
      <c r="A366" s="1"/>
      <c r="B366" s="2"/>
      <c r="AA366" s="3"/>
      <c r="AD366" s="3"/>
      <c r="AG366" s="3"/>
      <c r="AJ366" s="3"/>
    </row>
    <row r="367" spans="1:36" x14ac:dyDescent="0.25">
      <c r="A367" s="1"/>
      <c r="B367" s="2"/>
      <c r="AA367" s="3"/>
      <c r="AD367" s="3"/>
      <c r="AG367" s="3"/>
      <c r="AJ367" s="3"/>
    </row>
    <row r="368" spans="1:36" x14ac:dyDescent="0.25">
      <c r="A368" s="1"/>
      <c r="B368" s="2"/>
      <c r="AA368" s="3"/>
      <c r="AD368" s="3"/>
      <c r="AG368" s="3"/>
      <c r="AJ368" s="3"/>
    </row>
    <row r="369" spans="1:36" x14ac:dyDescent="0.25">
      <c r="A369" s="1"/>
      <c r="B369" s="2"/>
      <c r="AA369" s="3"/>
      <c r="AD369" s="3"/>
      <c r="AG369" s="3"/>
      <c r="AJ369" s="3"/>
    </row>
    <row r="370" spans="1:36" x14ac:dyDescent="0.25">
      <c r="A370" s="1"/>
      <c r="B370" s="2"/>
      <c r="AA370" s="3"/>
      <c r="AD370" s="3"/>
      <c r="AG370" s="3"/>
      <c r="AJ370" s="3"/>
    </row>
    <row r="371" spans="1:36" x14ac:dyDescent="0.25">
      <c r="A371" s="1"/>
      <c r="B371" s="2"/>
      <c r="AA371" s="3"/>
      <c r="AD371" s="3"/>
      <c r="AG371" s="3"/>
      <c r="AJ371" s="3"/>
    </row>
    <row r="372" spans="1:36" x14ac:dyDescent="0.25">
      <c r="A372" s="1"/>
      <c r="B372" s="2"/>
      <c r="AA372" s="3"/>
      <c r="AD372" s="3"/>
      <c r="AG372" s="3"/>
      <c r="AJ372" s="3"/>
    </row>
    <row r="373" spans="1:36" x14ac:dyDescent="0.25">
      <c r="A373" s="1"/>
      <c r="B373" s="2"/>
      <c r="AA373" s="3"/>
      <c r="AD373" s="3"/>
      <c r="AG373" s="3"/>
      <c r="AJ373" s="3"/>
    </row>
    <row r="374" spans="1:36" x14ac:dyDescent="0.25">
      <c r="A374" s="1"/>
      <c r="B374" s="2"/>
      <c r="AA374" s="3"/>
      <c r="AD374" s="3"/>
      <c r="AG374" s="3"/>
      <c r="AJ374" s="3"/>
    </row>
    <row r="375" spans="1:36" x14ac:dyDescent="0.25">
      <c r="A375" s="1"/>
      <c r="B375" s="2"/>
      <c r="AA375" s="3"/>
      <c r="AD375" s="3"/>
      <c r="AG375" s="3"/>
      <c r="AJ375" s="3"/>
    </row>
    <row r="376" spans="1:36" x14ac:dyDescent="0.25">
      <c r="A376" s="1"/>
      <c r="B376" s="2"/>
      <c r="AA376" s="3"/>
      <c r="AD376" s="3"/>
      <c r="AG376" s="3"/>
      <c r="AJ376" s="3"/>
    </row>
    <row r="377" spans="1:36" x14ac:dyDescent="0.25">
      <c r="A377" s="1"/>
      <c r="B377" s="2"/>
      <c r="AA377" s="3"/>
      <c r="AD377" s="3"/>
      <c r="AG377" s="3"/>
      <c r="AJ377" s="3"/>
    </row>
    <row r="378" spans="1:36" x14ac:dyDescent="0.25">
      <c r="A378" s="1"/>
      <c r="B378" s="2"/>
      <c r="AA378" s="3"/>
      <c r="AD378" s="3"/>
      <c r="AG378" s="3"/>
      <c r="AJ378" s="3"/>
    </row>
    <row r="379" spans="1:36" x14ac:dyDescent="0.25">
      <c r="A379" s="1"/>
      <c r="B379" s="2"/>
      <c r="AA379" s="3"/>
      <c r="AD379" s="3"/>
      <c r="AG379" s="3"/>
      <c r="AJ379" s="3"/>
    </row>
    <row r="380" spans="1:36" x14ac:dyDescent="0.25">
      <c r="A380" s="1"/>
      <c r="B380" s="2"/>
      <c r="AA380" s="3"/>
      <c r="AD380" s="3"/>
      <c r="AG380" s="3"/>
      <c r="AJ380" s="3"/>
    </row>
    <row r="381" spans="1:36" x14ac:dyDescent="0.25">
      <c r="A381" s="1"/>
      <c r="B381" s="2"/>
      <c r="AA381" s="3"/>
      <c r="AD381" s="3"/>
      <c r="AG381" s="3"/>
      <c r="AJ381" s="3"/>
    </row>
    <row r="382" spans="1:36" x14ac:dyDescent="0.25">
      <c r="A382" s="1"/>
      <c r="B382" s="2"/>
      <c r="AA382" s="3"/>
      <c r="AD382" s="3"/>
      <c r="AG382" s="3"/>
      <c r="AJ382" s="3"/>
    </row>
    <row r="383" spans="1:36" x14ac:dyDescent="0.25">
      <c r="A383" s="1"/>
      <c r="B383" s="2"/>
      <c r="AA383" s="3"/>
      <c r="AD383" s="3"/>
      <c r="AG383" s="3"/>
      <c r="AJ383" s="3"/>
    </row>
    <row r="384" spans="1:36" x14ac:dyDescent="0.25">
      <c r="A384" s="1"/>
      <c r="B384" s="2"/>
      <c r="AA384" s="3"/>
      <c r="AD384" s="3"/>
      <c r="AG384" s="3"/>
      <c r="AJ384" s="3"/>
    </row>
    <row r="385" spans="1:36" x14ac:dyDescent="0.25">
      <c r="A385" s="1"/>
      <c r="B385" s="2"/>
      <c r="AA385" s="3"/>
      <c r="AD385" s="3"/>
      <c r="AG385" s="3"/>
      <c r="AJ385" s="3"/>
    </row>
    <row r="386" spans="1:36" x14ac:dyDescent="0.25">
      <c r="A386" s="1"/>
      <c r="B386" s="2"/>
      <c r="AA386" s="3"/>
      <c r="AD386" s="3"/>
      <c r="AG386" s="3"/>
      <c r="AJ386" s="3"/>
    </row>
    <row r="387" spans="1:36" x14ac:dyDescent="0.25">
      <c r="A387" s="1"/>
      <c r="B387" s="2"/>
      <c r="AA387" s="3"/>
      <c r="AD387" s="3"/>
      <c r="AG387" s="3"/>
      <c r="AJ387" s="3"/>
    </row>
    <row r="388" spans="1:36" x14ac:dyDescent="0.25">
      <c r="A388" s="1"/>
      <c r="B388" s="2"/>
      <c r="AA388" s="3"/>
      <c r="AD388" s="3"/>
      <c r="AG388" s="3"/>
      <c r="AJ388" s="3"/>
    </row>
    <row r="389" spans="1:36" x14ac:dyDescent="0.25">
      <c r="A389" s="1"/>
      <c r="B389" s="2"/>
      <c r="AA389" s="3"/>
      <c r="AD389" s="3"/>
      <c r="AG389" s="3"/>
      <c r="AJ389" s="3"/>
    </row>
    <row r="390" spans="1:36" x14ac:dyDescent="0.25">
      <c r="A390" s="1"/>
      <c r="B390" s="2"/>
      <c r="AA390" s="3"/>
      <c r="AD390" s="3"/>
      <c r="AG390" s="3"/>
      <c r="AJ390" s="3"/>
    </row>
    <row r="391" spans="1:36" x14ac:dyDescent="0.25">
      <c r="A391" s="1"/>
      <c r="B391" s="2"/>
      <c r="AA391" s="3"/>
      <c r="AD391" s="3"/>
      <c r="AG391" s="3"/>
      <c r="AJ391" s="3"/>
    </row>
    <row r="392" spans="1:36" x14ac:dyDescent="0.25">
      <c r="A392" s="1"/>
      <c r="B392" s="2"/>
      <c r="AA392" s="3"/>
      <c r="AD392" s="3"/>
      <c r="AG392" s="3"/>
      <c r="AJ392" s="3"/>
    </row>
    <row r="393" spans="1:36" x14ac:dyDescent="0.25">
      <c r="A393" s="1"/>
      <c r="B393" s="2"/>
      <c r="AA393" s="3"/>
      <c r="AD393" s="3"/>
      <c r="AG393" s="3"/>
      <c r="AJ393" s="3"/>
    </row>
    <row r="394" spans="1:36" x14ac:dyDescent="0.25">
      <c r="A394" s="1"/>
      <c r="B394" s="2"/>
      <c r="AA394" s="3"/>
      <c r="AD394" s="3"/>
      <c r="AG394" s="3"/>
      <c r="AJ394" s="3"/>
    </row>
    <row r="395" spans="1:36" x14ac:dyDescent="0.25">
      <c r="A395" s="1"/>
      <c r="B395" s="2"/>
      <c r="AA395" s="3"/>
      <c r="AD395" s="3"/>
      <c r="AG395" s="3"/>
      <c r="AJ395" s="3"/>
    </row>
    <row r="396" spans="1:36" x14ac:dyDescent="0.25">
      <c r="A396" s="1"/>
      <c r="B396" s="2"/>
      <c r="AA396" s="3"/>
      <c r="AD396" s="3"/>
      <c r="AG396" s="3"/>
      <c r="AJ396" s="3"/>
    </row>
    <row r="397" spans="1:36" x14ac:dyDescent="0.25">
      <c r="A397" s="1"/>
      <c r="B397" s="2"/>
      <c r="AA397" s="3"/>
      <c r="AD397" s="3"/>
      <c r="AG397" s="3"/>
      <c r="AJ397" s="3"/>
    </row>
    <row r="398" spans="1:36" x14ac:dyDescent="0.25">
      <c r="A398" s="1"/>
      <c r="B398" s="2"/>
      <c r="AA398" s="3"/>
      <c r="AD398" s="3"/>
      <c r="AG398" s="3"/>
      <c r="AJ398" s="3"/>
    </row>
    <row r="399" spans="1:36" x14ac:dyDescent="0.25">
      <c r="A399" s="1"/>
      <c r="B399" s="2"/>
      <c r="AA399" s="3"/>
      <c r="AD399" s="3"/>
      <c r="AG399" s="3"/>
      <c r="AJ399" s="3"/>
    </row>
    <row r="400" spans="1:36" x14ac:dyDescent="0.25">
      <c r="A400" s="1"/>
      <c r="B400" s="2"/>
      <c r="AA400" s="3"/>
      <c r="AD400" s="3"/>
      <c r="AG400" s="3"/>
      <c r="AJ400" s="3"/>
    </row>
    <row r="401" spans="1:36" x14ac:dyDescent="0.25">
      <c r="A401" s="1"/>
      <c r="B401" s="2"/>
      <c r="AA401" s="3"/>
      <c r="AD401" s="3"/>
      <c r="AG401" s="3"/>
      <c r="AJ401" s="3"/>
    </row>
    <row r="402" spans="1:36" x14ac:dyDescent="0.25">
      <c r="A402" s="1"/>
      <c r="B402" s="2"/>
      <c r="AA402" s="3"/>
      <c r="AD402" s="3"/>
      <c r="AG402" s="3"/>
      <c r="AJ402" s="3"/>
    </row>
    <row r="403" spans="1:36" x14ac:dyDescent="0.25">
      <c r="A403" s="1"/>
      <c r="B403" s="2"/>
      <c r="AA403" s="3"/>
      <c r="AD403" s="3"/>
      <c r="AG403" s="3"/>
      <c r="AJ403" s="3"/>
    </row>
    <row r="404" spans="1:36" x14ac:dyDescent="0.25">
      <c r="A404" s="1"/>
      <c r="B404" s="2"/>
      <c r="AA404" s="3"/>
      <c r="AD404" s="3"/>
      <c r="AG404" s="3"/>
      <c r="AJ404" s="3"/>
    </row>
    <row r="405" spans="1:36" x14ac:dyDescent="0.25">
      <c r="A405" s="1"/>
      <c r="B405" s="2"/>
      <c r="AA405" s="3"/>
      <c r="AD405" s="3"/>
      <c r="AG405" s="3"/>
      <c r="AJ405" s="3"/>
    </row>
    <row r="406" spans="1:36" x14ac:dyDescent="0.25">
      <c r="A406" s="1"/>
      <c r="B406" s="2"/>
      <c r="AA406" s="3"/>
      <c r="AD406" s="3"/>
      <c r="AG406" s="3"/>
      <c r="AJ406" s="3"/>
    </row>
    <row r="407" spans="1:36" x14ac:dyDescent="0.25">
      <c r="A407" s="1"/>
      <c r="B407" s="2"/>
      <c r="AA407" s="3"/>
      <c r="AD407" s="3"/>
      <c r="AG407" s="3"/>
      <c r="AJ407" s="3"/>
    </row>
    <row r="408" spans="1:36" x14ac:dyDescent="0.25">
      <c r="A408" s="1"/>
      <c r="B408" s="2"/>
      <c r="AA408" s="3"/>
      <c r="AD408" s="3"/>
      <c r="AG408" s="3"/>
      <c r="AJ408" s="3"/>
    </row>
    <row r="409" spans="1:36" x14ac:dyDescent="0.25">
      <c r="A409" s="1"/>
      <c r="B409" s="2"/>
      <c r="AA409" s="3"/>
      <c r="AD409" s="3"/>
      <c r="AG409" s="3"/>
      <c r="AJ409" s="3"/>
    </row>
    <row r="410" spans="1:36" x14ac:dyDescent="0.25">
      <c r="A410" s="1"/>
      <c r="B410" s="2"/>
      <c r="AA410" s="3"/>
      <c r="AD410" s="3"/>
      <c r="AG410" s="3"/>
      <c r="AJ410" s="3"/>
    </row>
    <row r="411" spans="1:36" x14ac:dyDescent="0.25">
      <c r="A411" s="1"/>
      <c r="B411" s="2"/>
      <c r="AA411" s="3"/>
      <c r="AD411" s="3"/>
      <c r="AG411" s="3"/>
      <c r="AJ411" s="3"/>
    </row>
    <row r="412" spans="1:36" x14ac:dyDescent="0.25">
      <c r="A412" s="1"/>
      <c r="B412" s="2"/>
      <c r="AA412" s="3"/>
      <c r="AD412" s="3"/>
      <c r="AG412" s="3"/>
      <c r="AJ412" s="3"/>
    </row>
    <row r="413" spans="1:36" x14ac:dyDescent="0.25">
      <c r="A413" s="1"/>
      <c r="B413" s="2"/>
      <c r="AA413" s="3"/>
      <c r="AD413" s="3"/>
      <c r="AG413" s="3"/>
      <c r="AJ413" s="3"/>
    </row>
    <row r="414" spans="1:36" x14ac:dyDescent="0.25">
      <c r="A414" s="1"/>
      <c r="B414" s="2"/>
      <c r="AA414" s="3"/>
      <c r="AD414" s="3"/>
      <c r="AG414" s="3"/>
      <c r="AJ414" s="3"/>
    </row>
    <row r="415" spans="1:36" x14ac:dyDescent="0.25">
      <c r="A415" s="1"/>
      <c r="B415" s="2"/>
      <c r="AA415" s="3"/>
      <c r="AD415" s="3"/>
      <c r="AG415" s="3"/>
      <c r="AJ415" s="3"/>
    </row>
    <row r="416" spans="1:36" x14ac:dyDescent="0.25">
      <c r="A416" s="1"/>
      <c r="B416" s="2"/>
      <c r="AA416" s="3"/>
      <c r="AD416" s="3"/>
      <c r="AG416" s="3"/>
      <c r="AJ416" s="3"/>
    </row>
    <row r="417" spans="1:36" x14ac:dyDescent="0.25">
      <c r="A417" s="1"/>
      <c r="B417" s="2"/>
      <c r="AA417" s="3"/>
      <c r="AD417" s="3"/>
      <c r="AG417" s="3"/>
      <c r="AJ417" s="3"/>
    </row>
    <row r="418" spans="1:36" x14ac:dyDescent="0.25">
      <c r="A418" s="1"/>
      <c r="B418" s="2"/>
      <c r="AA418" s="3"/>
      <c r="AD418" s="3"/>
      <c r="AG418" s="3"/>
      <c r="AJ418" s="3"/>
    </row>
    <row r="419" spans="1:36" x14ac:dyDescent="0.25">
      <c r="A419" s="1"/>
      <c r="B419" s="2"/>
      <c r="AA419" s="3"/>
      <c r="AD419" s="3"/>
      <c r="AG419" s="3"/>
      <c r="AJ419" s="3"/>
    </row>
    <row r="420" spans="1:36" x14ac:dyDescent="0.25">
      <c r="A420" s="1"/>
      <c r="B420" s="2"/>
      <c r="AA420" s="3"/>
      <c r="AD420" s="3"/>
      <c r="AG420" s="3"/>
      <c r="AJ420" s="3"/>
    </row>
    <row r="421" spans="1:36" x14ac:dyDescent="0.25">
      <c r="A421" s="1"/>
      <c r="B421" s="2"/>
      <c r="AA421" s="3"/>
      <c r="AD421" s="3"/>
      <c r="AG421" s="3"/>
      <c r="AJ421" s="3"/>
    </row>
    <row r="422" spans="1:36" x14ac:dyDescent="0.25">
      <c r="A422" s="1"/>
      <c r="B422" s="2"/>
      <c r="AA422" s="3"/>
      <c r="AD422" s="3"/>
      <c r="AG422" s="3"/>
      <c r="AJ422" s="3"/>
    </row>
    <row r="423" spans="1:36" x14ac:dyDescent="0.25">
      <c r="A423" s="1"/>
      <c r="B423" s="2"/>
      <c r="AA423" s="3"/>
      <c r="AD423" s="3"/>
      <c r="AG423" s="3"/>
      <c r="AJ423" s="3"/>
    </row>
    <row r="424" spans="1:36" x14ac:dyDescent="0.25">
      <c r="A424" s="1"/>
      <c r="B424" s="2"/>
      <c r="AA424" s="3"/>
      <c r="AD424" s="3"/>
      <c r="AG424" s="3"/>
      <c r="AJ424" s="3"/>
    </row>
    <row r="425" spans="1:36" x14ac:dyDescent="0.25">
      <c r="A425" s="1"/>
      <c r="B425" s="2"/>
      <c r="AA425" s="3"/>
      <c r="AD425" s="3"/>
      <c r="AG425" s="3"/>
      <c r="AJ425" s="3"/>
    </row>
    <row r="426" spans="1:36" x14ac:dyDescent="0.25">
      <c r="A426" s="1"/>
      <c r="B426" s="2"/>
      <c r="AA426" s="3"/>
      <c r="AD426" s="3"/>
      <c r="AG426" s="3"/>
      <c r="AJ426" s="3"/>
    </row>
    <row r="427" spans="1:36" x14ac:dyDescent="0.25">
      <c r="A427" s="1"/>
      <c r="B427" s="2"/>
      <c r="AA427" s="3"/>
      <c r="AD427" s="3"/>
      <c r="AG427" s="3"/>
      <c r="AJ427" s="3"/>
    </row>
    <row r="428" spans="1:36" x14ac:dyDescent="0.25">
      <c r="A428" s="1"/>
      <c r="B428" s="2"/>
      <c r="AA428" s="3"/>
      <c r="AD428" s="3"/>
      <c r="AG428" s="3"/>
      <c r="AJ428" s="3"/>
    </row>
    <row r="429" spans="1:36" x14ac:dyDescent="0.25">
      <c r="A429" s="1"/>
      <c r="B429" s="2"/>
      <c r="AA429" s="3"/>
      <c r="AD429" s="3"/>
      <c r="AG429" s="3"/>
      <c r="AJ429" s="3"/>
    </row>
    <row r="430" spans="1:36" x14ac:dyDescent="0.25">
      <c r="A430" s="1"/>
      <c r="B430" s="2"/>
      <c r="AA430" s="3"/>
      <c r="AD430" s="3"/>
      <c r="AG430" s="3"/>
      <c r="AJ430" s="3"/>
    </row>
    <row r="431" spans="1:36" x14ac:dyDescent="0.25">
      <c r="A431" s="1"/>
      <c r="B431" s="2"/>
      <c r="AA431" s="3"/>
      <c r="AD431" s="3"/>
      <c r="AG431" s="3"/>
      <c r="AJ431" s="3"/>
    </row>
    <row r="432" spans="1:36" x14ac:dyDescent="0.25">
      <c r="A432" s="1"/>
      <c r="B432" s="2"/>
      <c r="AA432" s="3"/>
      <c r="AD432" s="3"/>
      <c r="AG432" s="3"/>
      <c r="AJ432" s="3"/>
    </row>
    <row r="433" spans="1:36" x14ac:dyDescent="0.25">
      <c r="A433" s="1"/>
      <c r="B433" s="2"/>
      <c r="AA433" s="3"/>
      <c r="AD433" s="3"/>
      <c r="AG433" s="3"/>
      <c r="AJ433" s="3"/>
    </row>
    <row r="434" spans="1:36" x14ac:dyDescent="0.25">
      <c r="A434" s="1"/>
      <c r="B434" s="2"/>
      <c r="AA434" s="3"/>
      <c r="AD434" s="3"/>
      <c r="AG434" s="3"/>
      <c r="AJ434" s="3"/>
    </row>
    <row r="435" spans="1:36" x14ac:dyDescent="0.25">
      <c r="A435" s="1"/>
      <c r="B435" s="2"/>
      <c r="AA435" s="3"/>
      <c r="AD435" s="3"/>
      <c r="AG435" s="3"/>
      <c r="AJ435" s="3"/>
    </row>
    <row r="436" spans="1:36" x14ac:dyDescent="0.25">
      <c r="A436" s="1"/>
      <c r="B436" s="2"/>
      <c r="AA436" s="3"/>
      <c r="AD436" s="3"/>
      <c r="AG436" s="3"/>
      <c r="AJ436" s="3"/>
    </row>
    <row r="437" spans="1:36" x14ac:dyDescent="0.25">
      <c r="A437" s="1"/>
      <c r="B437" s="2"/>
      <c r="AA437" s="3"/>
      <c r="AD437" s="3"/>
      <c r="AG437" s="3"/>
      <c r="AJ437" s="3"/>
    </row>
    <row r="438" spans="1:36" x14ac:dyDescent="0.25">
      <c r="A438" s="1"/>
      <c r="B438" s="2"/>
      <c r="AA438" s="3"/>
      <c r="AD438" s="3"/>
      <c r="AG438" s="3"/>
      <c r="AJ438" s="3"/>
    </row>
    <row r="439" spans="1:36" x14ac:dyDescent="0.25">
      <c r="A439" s="1"/>
      <c r="B439" s="2"/>
      <c r="AA439" s="3"/>
      <c r="AD439" s="3"/>
      <c r="AG439" s="3"/>
      <c r="AJ439" s="3"/>
    </row>
    <row r="440" spans="1:36" x14ac:dyDescent="0.25">
      <c r="A440" s="1"/>
      <c r="B440" s="2"/>
      <c r="AA440" s="3"/>
      <c r="AD440" s="3"/>
      <c r="AG440" s="3"/>
      <c r="AJ440" s="3"/>
    </row>
    <row r="441" spans="1:36" x14ac:dyDescent="0.25">
      <c r="A441" s="1"/>
      <c r="B441" s="2"/>
      <c r="AA441" s="3"/>
      <c r="AD441" s="3"/>
      <c r="AG441" s="3"/>
      <c r="AJ441" s="3"/>
    </row>
    <row r="442" spans="1:36" x14ac:dyDescent="0.25">
      <c r="A442" s="1"/>
      <c r="B442" s="2"/>
      <c r="AA442" s="3"/>
      <c r="AD442" s="3"/>
      <c r="AG442" s="3"/>
      <c r="AJ442" s="3"/>
    </row>
    <row r="443" spans="1:36" x14ac:dyDescent="0.25">
      <c r="A443" s="1"/>
      <c r="B443" s="2"/>
      <c r="AA443" s="3"/>
      <c r="AD443" s="3"/>
      <c r="AG443" s="3"/>
      <c r="AJ443" s="3"/>
    </row>
    <row r="444" spans="1:36" x14ac:dyDescent="0.25">
      <c r="A444" s="1"/>
      <c r="B444" s="2"/>
      <c r="AA444" s="3"/>
      <c r="AD444" s="3"/>
      <c r="AG444" s="3"/>
      <c r="AJ444" s="3"/>
    </row>
    <row r="445" spans="1:36" x14ac:dyDescent="0.25">
      <c r="A445" s="1"/>
      <c r="B445" s="2"/>
      <c r="AA445" s="3"/>
      <c r="AD445" s="3"/>
      <c r="AG445" s="3"/>
      <c r="AJ445" s="3"/>
    </row>
    <row r="446" spans="1:36" x14ac:dyDescent="0.25">
      <c r="A446" s="1"/>
      <c r="B446" s="2"/>
      <c r="AA446" s="3"/>
      <c r="AD446" s="3"/>
      <c r="AG446" s="3"/>
      <c r="AJ446" s="3"/>
    </row>
    <row r="447" spans="1:36" x14ac:dyDescent="0.25">
      <c r="A447" s="1"/>
      <c r="B447" s="2"/>
      <c r="AA447" s="3"/>
      <c r="AD447" s="3"/>
      <c r="AG447" s="3"/>
      <c r="AJ447" s="3"/>
    </row>
    <row r="448" spans="1:36" x14ac:dyDescent="0.25">
      <c r="A448" s="1"/>
      <c r="B448" s="2"/>
      <c r="AA448" s="3"/>
      <c r="AD448" s="3"/>
      <c r="AG448" s="3"/>
      <c r="AJ448" s="3"/>
    </row>
    <row r="449" spans="1:36" x14ac:dyDescent="0.25">
      <c r="A449" s="1"/>
      <c r="B449" s="2"/>
      <c r="AA449" s="3"/>
      <c r="AD449" s="3"/>
      <c r="AG449" s="3"/>
      <c r="AJ449" s="3"/>
    </row>
    <row r="450" spans="1:36" x14ac:dyDescent="0.25">
      <c r="A450" s="1"/>
      <c r="B450" s="2"/>
      <c r="AA450" s="3"/>
      <c r="AD450" s="3"/>
      <c r="AG450" s="3"/>
      <c r="AJ450" s="3"/>
    </row>
    <row r="451" spans="1:36" x14ac:dyDescent="0.25">
      <c r="A451" s="1"/>
      <c r="B451" s="2"/>
      <c r="AA451" s="3"/>
      <c r="AD451" s="3"/>
      <c r="AG451" s="3"/>
      <c r="AJ451" s="3"/>
    </row>
    <row r="452" spans="1:36" x14ac:dyDescent="0.25">
      <c r="A452" s="1"/>
      <c r="B452" s="2"/>
      <c r="AA452" s="3"/>
      <c r="AD452" s="3"/>
      <c r="AG452" s="3"/>
      <c r="AJ452" s="3"/>
    </row>
    <row r="453" spans="1:36" x14ac:dyDescent="0.25">
      <c r="A453" s="1"/>
      <c r="B453" s="2"/>
      <c r="AA453" s="3"/>
      <c r="AD453" s="3"/>
      <c r="AG453" s="3"/>
      <c r="AJ453" s="3"/>
    </row>
    <row r="454" spans="1:36" x14ac:dyDescent="0.25">
      <c r="A454" s="1"/>
      <c r="B454" s="2"/>
      <c r="AA454" s="3"/>
      <c r="AD454" s="3"/>
      <c r="AG454" s="3"/>
      <c r="AJ454" s="3"/>
    </row>
    <row r="455" spans="1:36" x14ac:dyDescent="0.25">
      <c r="A455" s="1"/>
      <c r="B455" s="2"/>
      <c r="AA455" s="3"/>
      <c r="AD455" s="3"/>
      <c r="AG455" s="3"/>
      <c r="AJ455" s="3"/>
    </row>
    <row r="456" spans="1:36" x14ac:dyDescent="0.25">
      <c r="A456" s="1"/>
      <c r="B456" s="2"/>
      <c r="AA456" s="3"/>
      <c r="AD456" s="3"/>
      <c r="AG456" s="3"/>
      <c r="AJ456" s="3"/>
    </row>
    <row r="457" spans="1:36" x14ac:dyDescent="0.25">
      <c r="A457" s="1"/>
      <c r="B457" s="2"/>
      <c r="AA457" s="3"/>
      <c r="AD457" s="3"/>
      <c r="AG457" s="3"/>
      <c r="AJ457" s="3"/>
    </row>
    <row r="458" spans="1:36" x14ac:dyDescent="0.25">
      <c r="A458" s="1"/>
      <c r="B458" s="2"/>
      <c r="AA458" s="3"/>
      <c r="AD458" s="3"/>
      <c r="AG458" s="3"/>
      <c r="AJ458" s="3"/>
    </row>
    <row r="459" spans="1:36" x14ac:dyDescent="0.25">
      <c r="A459" s="1"/>
      <c r="B459" s="2"/>
      <c r="AA459" s="3"/>
      <c r="AD459" s="3"/>
      <c r="AG459" s="3"/>
      <c r="AJ459" s="3"/>
    </row>
    <row r="460" spans="1:36" x14ac:dyDescent="0.25">
      <c r="A460" s="1"/>
      <c r="B460" s="2"/>
      <c r="AA460" s="3"/>
      <c r="AD460" s="3"/>
      <c r="AG460" s="3"/>
      <c r="AJ460" s="3"/>
    </row>
    <row r="461" spans="1:36" x14ac:dyDescent="0.25">
      <c r="A461" s="1"/>
      <c r="B461" s="2"/>
      <c r="AA461" s="3"/>
      <c r="AD461" s="3"/>
      <c r="AG461" s="3"/>
      <c r="AJ461" s="3"/>
    </row>
    <row r="462" spans="1:36" x14ac:dyDescent="0.25">
      <c r="A462" s="1"/>
      <c r="B462" s="2"/>
      <c r="AA462" s="3"/>
      <c r="AD462" s="3"/>
      <c r="AG462" s="3"/>
      <c r="AJ462" s="3"/>
    </row>
    <row r="463" spans="1:36" x14ac:dyDescent="0.25">
      <c r="A463" s="1"/>
      <c r="B463" s="2"/>
      <c r="AA463" s="3"/>
      <c r="AD463" s="3"/>
      <c r="AG463" s="3"/>
      <c r="AJ463" s="3"/>
    </row>
    <row r="464" spans="1:36" x14ac:dyDescent="0.25">
      <c r="A464" s="1"/>
      <c r="B464" s="2"/>
      <c r="AA464" s="3"/>
      <c r="AD464" s="3"/>
      <c r="AG464" s="3"/>
      <c r="AJ464" s="3"/>
    </row>
    <row r="465" spans="1:36" x14ac:dyDescent="0.25">
      <c r="A465" s="1"/>
      <c r="B465" s="2"/>
      <c r="AA465" s="3"/>
      <c r="AD465" s="3"/>
      <c r="AG465" s="3"/>
      <c r="AJ465" s="3"/>
    </row>
    <row r="466" spans="1:36" x14ac:dyDescent="0.25">
      <c r="A466" s="1"/>
      <c r="B466" s="2"/>
      <c r="AA466" s="3"/>
      <c r="AD466" s="3"/>
      <c r="AG466" s="3"/>
      <c r="AJ466" s="3"/>
    </row>
    <row r="467" spans="1:36" x14ac:dyDescent="0.25">
      <c r="A467" s="1"/>
      <c r="B467" s="2"/>
      <c r="AA467" s="3"/>
      <c r="AD467" s="3"/>
      <c r="AG467" s="3"/>
      <c r="AJ467" s="3"/>
    </row>
    <row r="468" spans="1:36" x14ac:dyDescent="0.25">
      <c r="A468" s="1"/>
      <c r="B468" s="2"/>
      <c r="AA468" s="3"/>
      <c r="AD468" s="3"/>
      <c r="AG468" s="3"/>
      <c r="AJ468" s="3"/>
    </row>
    <row r="469" spans="1:36" x14ac:dyDescent="0.25">
      <c r="A469" s="1"/>
      <c r="B469" s="2"/>
      <c r="AA469" s="3"/>
      <c r="AD469" s="3"/>
      <c r="AG469" s="3"/>
      <c r="AJ469" s="3"/>
    </row>
    <row r="470" spans="1:36" x14ac:dyDescent="0.25">
      <c r="A470" s="1"/>
      <c r="B470" s="2"/>
      <c r="AA470" s="3"/>
      <c r="AD470" s="3"/>
      <c r="AG470" s="3"/>
      <c r="AJ470" s="3"/>
    </row>
    <row r="471" spans="1:36" x14ac:dyDescent="0.25">
      <c r="A471" s="1"/>
      <c r="B471" s="2"/>
      <c r="AA471" s="3"/>
      <c r="AD471" s="3"/>
      <c r="AG471" s="3"/>
      <c r="AJ471" s="3"/>
    </row>
    <row r="472" spans="1:36" x14ac:dyDescent="0.25">
      <c r="A472" s="1"/>
      <c r="B472" s="2"/>
      <c r="AA472" s="3"/>
      <c r="AD472" s="3"/>
      <c r="AG472" s="3"/>
      <c r="AJ472" s="3"/>
    </row>
    <row r="473" spans="1:36" x14ac:dyDescent="0.25">
      <c r="A473" s="1"/>
      <c r="B473" s="2"/>
      <c r="AA473" s="3"/>
      <c r="AD473" s="3"/>
      <c r="AG473" s="3"/>
      <c r="AJ473" s="3"/>
    </row>
    <row r="474" spans="1:36" x14ac:dyDescent="0.25">
      <c r="A474" s="1"/>
      <c r="B474" s="2"/>
      <c r="AA474" s="3"/>
      <c r="AD474" s="3"/>
      <c r="AG474" s="3"/>
      <c r="AJ474" s="3"/>
    </row>
    <row r="475" spans="1:36" x14ac:dyDescent="0.25">
      <c r="A475" s="1"/>
      <c r="B475" s="2"/>
      <c r="AA475" s="3"/>
      <c r="AD475" s="3"/>
      <c r="AG475" s="3"/>
      <c r="AJ475" s="3"/>
    </row>
    <row r="476" spans="1:36" x14ac:dyDescent="0.25">
      <c r="A476" s="1"/>
      <c r="B476" s="2"/>
      <c r="AA476" s="3"/>
      <c r="AD476" s="3"/>
      <c r="AG476" s="3"/>
      <c r="AJ476" s="3"/>
    </row>
    <row r="477" spans="1:36" x14ac:dyDescent="0.25">
      <c r="A477" s="1"/>
      <c r="B477" s="2"/>
      <c r="AA477" s="3"/>
      <c r="AD477" s="3"/>
      <c r="AG477" s="3"/>
      <c r="AJ477" s="3"/>
    </row>
    <row r="478" spans="1:36" x14ac:dyDescent="0.25">
      <c r="A478" s="1"/>
      <c r="B478" s="2"/>
      <c r="AA478" s="3"/>
      <c r="AD478" s="3"/>
      <c r="AG478" s="3"/>
      <c r="AJ478" s="3"/>
    </row>
    <row r="479" spans="1:36" x14ac:dyDescent="0.25">
      <c r="A479" s="1"/>
      <c r="B479" s="2"/>
      <c r="AA479" s="3"/>
      <c r="AD479" s="3"/>
      <c r="AG479" s="3"/>
      <c r="AJ479" s="3"/>
    </row>
    <row r="480" spans="1:36" x14ac:dyDescent="0.25">
      <c r="A480" s="1"/>
      <c r="B480" s="2"/>
      <c r="AA480" s="3"/>
      <c r="AD480" s="3"/>
      <c r="AG480" s="3"/>
      <c r="AJ480" s="3"/>
    </row>
    <row r="481" spans="1:36" x14ac:dyDescent="0.25">
      <c r="A481" s="1"/>
      <c r="B481" s="2"/>
      <c r="AA481" s="3"/>
      <c r="AD481" s="3"/>
      <c r="AG481" s="3"/>
      <c r="AJ481" s="3"/>
    </row>
    <row r="482" spans="1:36" x14ac:dyDescent="0.25">
      <c r="A482" s="1"/>
      <c r="B482" s="2"/>
      <c r="AA482" s="3"/>
      <c r="AD482" s="3"/>
      <c r="AG482" s="3"/>
      <c r="AJ482" s="3"/>
    </row>
    <row r="483" spans="1:36" x14ac:dyDescent="0.25">
      <c r="A483" s="1"/>
      <c r="B483" s="2"/>
      <c r="AA483" s="3"/>
      <c r="AD483" s="3"/>
      <c r="AG483" s="3"/>
      <c r="AJ483" s="3"/>
    </row>
    <row r="484" spans="1:36" x14ac:dyDescent="0.25">
      <c r="A484" s="1"/>
      <c r="B484" s="2"/>
      <c r="AA484" s="3"/>
      <c r="AD484" s="3"/>
      <c r="AG484" s="3"/>
      <c r="AJ484" s="3"/>
    </row>
    <row r="485" spans="1:36" x14ac:dyDescent="0.25">
      <c r="A485" s="1"/>
      <c r="B485" s="2"/>
      <c r="AA485" s="3"/>
      <c r="AD485" s="3"/>
      <c r="AG485" s="3"/>
      <c r="AJ485" s="3"/>
    </row>
    <row r="486" spans="1:36" x14ac:dyDescent="0.25">
      <c r="A486" s="1"/>
      <c r="B486" s="2"/>
      <c r="AA486" s="3"/>
      <c r="AD486" s="3"/>
      <c r="AG486" s="3"/>
      <c r="AJ486" s="3"/>
    </row>
    <row r="487" spans="1:36" x14ac:dyDescent="0.25">
      <c r="A487" s="1"/>
      <c r="B487" s="2"/>
      <c r="AA487" s="3"/>
      <c r="AD487" s="3"/>
      <c r="AG487" s="3"/>
      <c r="AJ487" s="3"/>
    </row>
    <row r="488" spans="1:36" x14ac:dyDescent="0.25">
      <c r="A488" s="1"/>
      <c r="B488" s="2"/>
      <c r="AA488" s="3"/>
      <c r="AD488" s="3"/>
      <c r="AG488" s="3"/>
      <c r="AJ488" s="3"/>
    </row>
    <row r="489" spans="1:36" x14ac:dyDescent="0.25">
      <c r="A489" s="1"/>
      <c r="B489" s="2"/>
      <c r="AA489" s="3"/>
      <c r="AD489" s="3"/>
      <c r="AG489" s="3"/>
      <c r="AJ489" s="3"/>
    </row>
    <row r="490" spans="1:36" x14ac:dyDescent="0.25">
      <c r="A490" s="1"/>
      <c r="B490" s="2"/>
      <c r="AA490" s="3"/>
      <c r="AD490" s="3"/>
      <c r="AG490" s="3"/>
      <c r="AJ490" s="3"/>
    </row>
    <row r="491" spans="1:36" x14ac:dyDescent="0.25">
      <c r="A491" s="1"/>
      <c r="B491" s="2"/>
      <c r="AA491" s="3"/>
      <c r="AD491" s="3"/>
      <c r="AG491" s="3"/>
      <c r="AJ491" s="3"/>
    </row>
    <row r="492" spans="1:36" x14ac:dyDescent="0.25">
      <c r="A492" s="1"/>
      <c r="B492" s="2"/>
      <c r="AA492" s="3"/>
      <c r="AD492" s="3"/>
      <c r="AG492" s="3"/>
      <c r="AJ492" s="3"/>
    </row>
    <row r="493" spans="1:36" x14ac:dyDescent="0.25">
      <c r="A493" s="1"/>
      <c r="B493" s="2"/>
      <c r="AA493" s="3"/>
      <c r="AD493" s="3"/>
      <c r="AG493" s="3"/>
      <c r="AJ493" s="3"/>
    </row>
    <row r="494" spans="1:36" x14ac:dyDescent="0.25">
      <c r="A494" s="1"/>
      <c r="B494" s="2"/>
      <c r="AA494" s="3"/>
      <c r="AD494" s="3"/>
      <c r="AG494" s="3"/>
      <c r="AJ494" s="3"/>
    </row>
    <row r="495" spans="1:36" x14ac:dyDescent="0.25">
      <c r="A495" s="1"/>
      <c r="B495" s="2"/>
      <c r="AA495" s="3"/>
      <c r="AD495" s="3"/>
      <c r="AG495" s="3"/>
      <c r="AJ495" s="3"/>
    </row>
    <row r="496" spans="1:36" x14ac:dyDescent="0.25">
      <c r="A496" s="1"/>
      <c r="B496" s="2"/>
      <c r="AA496" s="3"/>
      <c r="AD496" s="3"/>
      <c r="AG496" s="3"/>
      <c r="AJ496" s="3"/>
    </row>
    <row r="497" spans="1:36" x14ac:dyDescent="0.25">
      <c r="A497" s="1"/>
      <c r="B497" s="2"/>
      <c r="AA497" s="3"/>
      <c r="AD497" s="3"/>
      <c r="AG497" s="3"/>
      <c r="AJ497" s="3"/>
    </row>
    <row r="498" spans="1:36" x14ac:dyDescent="0.25">
      <c r="A498" s="1"/>
      <c r="B498" s="2"/>
      <c r="AA498" s="3"/>
      <c r="AD498" s="3"/>
      <c r="AG498" s="3"/>
      <c r="AJ498" s="3"/>
    </row>
    <row r="499" spans="1:36" x14ac:dyDescent="0.25">
      <c r="A499" s="1"/>
      <c r="B499" s="2"/>
      <c r="AA499" s="3"/>
      <c r="AD499" s="3"/>
      <c r="AG499" s="3"/>
      <c r="AJ499" s="3"/>
    </row>
    <row r="500" spans="1:36" x14ac:dyDescent="0.25">
      <c r="A500" s="1"/>
      <c r="B500" s="2"/>
      <c r="AA500" s="3"/>
      <c r="AD500" s="3"/>
      <c r="AG500" s="3"/>
      <c r="AJ500" s="3"/>
    </row>
    <row r="501" spans="1:36" x14ac:dyDescent="0.25">
      <c r="A501" s="1"/>
      <c r="B501" s="2"/>
      <c r="AA501" s="3"/>
      <c r="AD501" s="3"/>
      <c r="AG501" s="3"/>
      <c r="AJ501" s="3"/>
    </row>
    <row r="502" spans="1:36" x14ac:dyDescent="0.25">
      <c r="A502" s="1"/>
      <c r="B502" s="2"/>
      <c r="AA502" s="3"/>
      <c r="AD502" s="3"/>
      <c r="AG502" s="3"/>
      <c r="AJ502" s="3"/>
    </row>
    <row r="503" spans="1:36" x14ac:dyDescent="0.25">
      <c r="A503" s="1"/>
      <c r="B503" s="2"/>
      <c r="AA503" s="3"/>
      <c r="AD503" s="3"/>
      <c r="AG503" s="3"/>
      <c r="AJ503" s="3"/>
    </row>
    <row r="504" spans="1:36" x14ac:dyDescent="0.25">
      <c r="A504" s="1"/>
      <c r="B504" s="2"/>
      <c r="AA504" s="3"/>
      <c r="AD504" s="3"/>
      <c r="AG504" s="3"/>
      <c r="AJ504" s="3"/>
    </row>
    <row r="505" spans="1:36" x14ac:dyDescent="0.25">
      <c r="A505" s="1"/>
      <c r="B505" s="2"/>
      <c r="AA505" s="3"/>
      <c r="AD505" s="3"/>
      <c r="AG505" s="3"/>
      <c r="AJ505" s="3"/>
    </row>
    <row r="506" spans="1:36" x14ac:dyDescent="0.25">
      <c r="A506" s="1"/>
      <c r="B506" s="2"/>
      <c r="AA506" s="3"/>
      <c r="AD506" s="3"/>
      <c r="AG506" s="3"/>
      <c r="AJ506" s="3"/>
    </row>
    <row r="507" spans="1:36" x14ac:dyDescent="0.25">
      <c r="A507" s="1"/>
      <c r="B507" s="2"/>
      <c r="AA507" s="3"/>
      <c r="AD507" s="3"/>
      <c r="AG507" s="3"/>
      <c r="AJ507" s="3"/>
    </row>
    <row r="508" spans="1:36" x14ac:dyDescent="0.25">
      <c r="A508" s="1"/>
      <c r="B508" s="2"/>
      <c r="AA508" s="3"/>
      <c r="AD508" s="3"/>
      <c r="AG508" s="3"/>
      <c r="AJ508" s="3"/>
    </row>
    <row r="509" spans="1:36" x14ac:dyDescent="0.25">
      <c r="A509" s="1"/>
      <c r="B509" s="2"/>
      <c r="AA509" s="3"/>
      <c r="AD509" s="3"/>
      <c r="AG509" s="3"/>
      <c r="AJ509" s="3"/>
    </row>
    <row r="510" spans="1:36" x14ac:dyDescent="0.25">
      <c r="A510" s="1"/>
      <c r="B510" s="2"/>
      <c r="AA510" s="3"/>
      <c r="AD510" s="3"/>
      <c r="AG510" s="3"/>
      <c r="AJ510" s="3"/>
    </row>
    <row r="511" spans="1:36" x14ac:dyDescent="0.25">
      <c r="A511" s="1"/>
      <c r="B511" s="2"/>
      <c r="AA511" s="3"/>
      <c r="AD511" s="3"/>
      <c r="AG511" s="3"/>
      <c r="AJ511" s="3"/>
    </row>
    <row r="512" spans="1:36" x14ac:dyDescent="0.25">
      <c r="A512" s="1"/>
      <c r="B512" s="2"/>
      <c r="AA512" s="3"/>
      <c r="AD512" s="3"/>
      <c r="AG512" s="3"/>
      <c r="AJ512" s="3"/>
    </row>
    <row r="513" spans="1:36" x14ac:dyDescent="0.25">
      <c r="A513" s="1"/>
      <c r="B513" s="2"/>
      <c r="AA513" s="3"/>
      <c r="AD513" s="3"/>
      <c r="AG513" s="3"/>
      <c r="AJ513" s="3"/>
    </row>
    <row r="514" spans="1:36" x14ac:dyDescent="0.25">
      <c r="A514" s="1"/>
      <c r="B514" s="2"/>
      <c r="AA514" s="3"/>
      <c r="AD514" s="3"/>
      <c r="AG514" s="3"/>
      <c r="AJ514" s="3"/>
    </row>
    <row r="515" spans="1:36" x14ac:dyDescent="0.25">
      <c r="A515" s="1"/>
      <c r="B515" s="2"/>
      <c r="AA515" s="3"/>
      <c r="AD515" s="3"/>
      <c r="AG515" s="3"/>
      <c r="AJ515" s="3"/>
    </row>
    <row r="516" spans="1:36" x14ac:dyDescent="0.25">
      <c r="A516" s="1"/>
      <c r="B516" s="2"/>
      <c r="AA516" s="3"/>
      <c r="AD516" s="3"/>
      <c r="AG516" s="3"/>
      <c r="AJ516" s="3"/>
    </row>
    <row r="517" spans="1:36" x14ac:dyDescent="0.25">
      <c r="A517" s="1"/>
      <c r="B517" s="2"/>
      <c r="AA517" s="3"/>
      <c r="AD517" s="3"/>
      <c r="AG517" s="3"/>
      <c r="AJ517" s="3"/>
    </row>
    <row r="518" spans="1:36" x14ac:dyDescent="0.25">
      <c r="A518" s="1"/>
      <c r="B518" s="2"/>
      <c r="AA518" s="3"/>
      <c r="AD518" s="3"/>
      <c r="AG518" s="3"/>
      <c r="AJ518" s="3"/>
    </row>
    <row r="519" spans="1:36" x14ac:dyDescent="0.25">
      <c r="A519" s="1"/>
      <c r="B519" s="2"/>
      <c r="AA519" s="3"/>
      <c r="AD519" s="3"/>
      <c r="AG519" s="3"/>
      <c r="AJ519" s="3"/>
    </row>
    <row r="520" spans="1:36" x14ac:dyDescent="0.25">
      <c r="A520" s="1"/>
      <c r="B520" s="2"/>
      <c r="AA520" s="3"/>
      <c r="AD520" s="3"/>
      <c r="AG520" s="3"/>
      <c r="AJ520" s="3"/>
    </row>
    <row r="521" spans="1:36" x14ac:dyDescent="0.25">
      <c r="A521" s="1"/>
      <c r="B521" s="2"/>
      <c r="AA521" s="3"/>
      <c r="AD521" s="3"/>
      <c r="AG521" s="3"/>
      <c r="AJ521" s="3"/>
    </row>
    <row r="522" spans="1:36" x14ac:dyDescent="0.25">
      <c r="A522" s="1"/>
      <c r="B522" s="2"/>
      <c r="AA522" s="3"/>
      <c r="AD522" s="3"/>
      <c r="AG522" s="3"/>
      <c r="AJ522" s="3"/>
    </row>
    <row r="523" spans="1:36" x14ac:dyDescent="0.25">
      <c r="A523" s="1"/>
      <c r="B523" s="2"/>
      <c r="AA523" s="3"/>
      <c r="AD523" s="3"/>
      <c r="AG523" s="3"/>
      <c r="AJ523" s="3"/>
    </row>
    <row r="524" spans="1:36" x14ac:dyDescent="0.25">
      <c r="A524" s="1"/>
      <c r="B524" s="2"/>
      <c r="AA524" s="3"/>
      <c r="AD524" s="3"/>
      <c r="AG524" s="3"/>
      <c r="AJ524" s="3"/>
    </row>
    <row r="525" spans="1:36" x14ac:dyDescent="0.25">
      <c r="A525" s="1"/>
      <c r="B525" s="2"/>
      <c r="AA525" s="3"/>
      <c r="AD525" s="3"/>
      <c r="AG525" s="3"/>
      <c r="AJ525" s="3"/>
    </row>
    <row r="526" spans="1:36" x14ac:dyDescent="0.25">
      <c r="A526" s="1"/>
      <c r="B526" s="2"/>
      <c r="AA526" s="3"/>
      <c r="AD526" s="3"/>
      <c r="AG526" s="3"/>
      <c r="AJ526" s="3"/>
    </row>
    <row r="527" spans="1:36" x14ac:dyDescent="0.25">
      <c r="A527" s="1"/>
      <c r="B527" s="2"/>
      <c r="AA527" s="3"/>
      <c r="AD527" s="3"/>
      <c r="AG527" s="3"/>
      <c r="AJ527" s="3"/>
    </row>
    <row r="528" spans="1:36" x14ac:dyDescent="0.25">
      <c r="A528" s="1"/>
      <c r="B528" s="2"/>
      <c r="AA528" s="3"/>
      <c r="AD528" s="3"/>
      <c r="AG528" s="3"/>
      <c r="AJ528" s="3"/>
    </row>
    <row r="529" spans="1:36" x14ac:dyDescent="0.25">
      <c r="A529" s="1"/>
      <c r="B529" s="2"/>
      <c r="AA529" s="3"/>
      <c r="AD529" s="3"/>
      <c r="AG529" s="3"/>
      <c r="AJ529" s="3"/>
    </row>
    <row r="530" spans="1:36" x14ac:dyDescent="0.25">
      <c r="A530" s="1"/>
      <c r="B530" s="2"/>
      <c r="AA530" s="3"/>
      <c r="AD530" s="3"/>
      <c r="AG530" s="3"/>
      <c r="AJ530" s="3"/>
    </row>
    <row r="531" spans="1:36" x14ac:dyDescent="0.25">
      <c r="A531" s="1"/>
      <c r="B531" s="2"/>
      <c r="AA531" s="3"/>
      <c r="AD531" s="3"/>
      <c r="AG531" s="3"/>
      <c r="AJ531" s="3"/>
    </row>
    <row r="532" spans="1:36" x14ac:dyDescent="0.25">
      <c r="A532" s="1"/>
      <c r="B532" s="2"/>
      <c r="AA532" s="3"/>
      <c r="AD532" s="3"/>
      <c r="AG532" s="3"/>
      <c r="AJ532" s="3"/>
    </row>
    <row r="533" spans="1:36" x14ac:dyDescent="0.25">
      <c r="A533" s="1"/>
      <c r="B533" s="2"/>
      <c r="AA533" s="3"/>
      <c r="AD533" s="3"/>
      <c r="AG533" s="3"/>
      <c r="AJ533" s="3"/>
    </row>
    <row r="534" spans="1:36" x14ac:dyDescent="0.25">
      <c r="A534" s="1"/>
      <c r="B534" s="2"/>
      <c r="AA534" s="3"/>
      <c r="AD534" s="3"/>
      <c r="AG534" s="3"/>
      <c r="AJ534" s="3"/>
    </row>
    <row r="535" spans="1:36" x14ac:dyDescent="0.25">
      <c r="A535" s="1"/>
      <c r="B535" s="2"/>
      <c r="AA535" s="3"/>
      <c r="AD535" s="3"/>
      <c r="AG535" s="3"/>
      <c r="AJ535" s="3"/>
    </row>
    <row r="536" spans="1:36" x14ac:dyDescent="0.25">
      <c r="A536" s="1"/>
      <c r="B536" s="2"/>
      <c r="AA536" s="3"/>
      <c r="AD536" s="3"/>
      <c r="AG536" s="3"/>
      <c r="AJ536" s="3"/>
    </row>
    <row r="537" spans="1:36" x14ac:dyDescent="0.25">
      <c r="A537" s="1"/>
      <c r="B537" s="2"/>
      <c r="AA537" s="3"/>
      <c r="AD537" s="3"/>
      <c r="AG537" s="3"/>
      <c r="AJ537" s="3"/>
    </row>
    <row r="538" spans="1:36" x14ac:dyDescent="0.25">
      <c r="A538" s="1"/>
      <c r="B538" s="2"/>
      <c r="AA538" s="3"/>
      <c r="AD538" s="3"/>
      <c r="AG538" s="3"/>
      <c r="AJ538" s="3"/>
    </row>
    <row r="539" spans="1:36" x14ac:dyDescent="0.25">
      <c r="A539" s="1"/>
      <c r="B539" s="2"/>
      <c r="AA539" s="3"/>
      <c r="AD539" s="3"/>
      <c r="AG539" s="3"/>
      <c r="AJ539" s="3"/>
    </row>
    <row r="540" spans="1:36" x14ac:dyDescent="0.25">
      <c r="A540" s="1"/>
      <c r="B540" s="2"/>
      <c r="AA540" s="3"/>
      <c r="AD540" s="3"/>
      <c r="AG540" s="3"/>
      <c r="AJ540" s="3"/>
    </row>
    <row r="541" spans="1:36" x14ac:dyDescent="0.25">
      <c r="A541" s="1"/>
      <c r="B541" s="2"/>
      <c r="AA541" s="3"/>
      <c r="AD541" s="3"/>
      <c r="AG541" s="3"/>
      <c r="AJ541" s="3"/>
    </row>
    <row r="542" spans="1:36" x14ac:dyDescent="0.25">
      <c r="A542" s="1"/>
      <c r="B542" s="2"/>
      <c r="AA542" s="3"/>
      <c r="AD542" s="3"/>
      <c r="AG542" s="3"/>
      <c r="AJ542" s="3"/>
    </row>
    <row r="543" spans="1:36" x14ac:dyDescent="0.25">
      <c r="A543" s="1"/>
      <c r="B543" s="2"/>
      <c r="AA543" s="3"/>
      <c r="AD543" s="3"/>
      <c r="AG543" s="3"/>
      <c r="AJ543" s="3"/>
    </row>
    <row r="544" spans="1:36" x14ac:dyDescent="0.25">
      <c r="A544" s="1"/>
      <c r="B544" s="2"/>
      <c r="AA544" s="3"/>
      <c r="AD544" s="3"/>
      <c r="AG544" s="3"/>
      <c r="AJ544" s="3"/>
    </row>
    <row r="545" spans="1:36" x14ac:dyDescent="0.25">
      <c r="A545" s="1"/>
      <c r="B545" s="2"/>
      <c r="AA545" s="3"/>
      <c r="AD545" s="3"/>
      <c r="AG545" s="3"/>
      <c r="AJ545" s="3"/>
    </row>
    <row r="546" spans="1:36" x14ac:dyDescent="0.25">
      <c r="A546" s="1"/>
      <c r="B546" s="2"/>
      <c r="AA546" s="3"/>
      <c r="AD546" s="3"/>
      <c r="AG546" s="3"/>
      <c r="AJ546" s="3"/>
    </row>
    <row r="547" spans="1:36" x14ac:dyDescent="0.25">
      <c r="A547" s="1"/>
      <c r="B547" s="2"/>
      <c r="AA547" s="3"/>
      <c r="AD547" s="3"/>
      <c r="AG547" s="3"/>
      <c r="AJ547" s="3"/>
    </row>
    <row r="548" spans="1:36" x14ac:dyDescent="0.25">
      <c r="A548" s="1"/>
      <c r="B548" s="2"/>
      <c r="AA548" s="3"/>
      <c r="AD548" s="3"/>
      <c r="AG548" s="3"/>
      <c r="AJ548" s="3"/>
    </row>
    <row r="549" spans="1:36" x14ac:dyDescent="0.25">
      <c r="A549" s="1"/>
      <c r="B549" s="2"/>
      <c r="AA549" s="3"/>
      <c r="AD549" s="3"/>
      <c r="AG549" s="3"/>
      <c r="AJ549" s="3"/>
    </row>
    <row r="550" spans="1:36" x14ac:dyDescent="0.25">
      <c r="A550" s="1"/>
      <c r="B550" s="2"/>
      <c r="AA550" s="3"/>
      <c r="AD550" s="3"/>
      <c r="AG550" s="3"/>
      <c r="AJ550" s="3"/>
    </row>
    <row r="551" spans="1:36" x14ac:dyDescent="0.25">
      <c r="A551" s="1"/>
      <c r="B551" s="2"/>
      <c r="AA551" s="3"/>
      <c r="AD551" s="3"/>
      <c r="AG551" s="3"/>
      <c r="AJ551" s="3"/>
    </row>
    <row r="552" spans="1:36" x14ac:dyDescent="0.25">
      <c r="A552" s="1"/>
      <c r="B552" s="2"/>
      <c r="AA552" s="3"/>
      <c r="AD552" s="3"/>
      <c r="AG552" s="3"/>
      <c r="AJ552" s="3"/>
    </row>
    <row r="553" spans="1:36" x14ac:dyDescent="0.25">
      <c r="A553" s="1"/>
      <c r="B553" s="2"/>
      <c r="AA553" s="3"/>
      <c r="AD553" s="3"/>
      <c r="AG553" s="3"/>
      <c r="AJ553" s="3"/>
    </row>
    <row r="554" spans="1:36" x14ac:dyDescent="0.25">
      <c r="A554" s="1"/>
      <c r="B554" s="2"/>
      <c r="AA554" s="3"/>
      <c r="AD554" s="3"/>
      <c r="AG554" s="3"/>
      <c r="AJ554" s="3"/>
    </row>
    <row r="555" spans="1:36" x14ac:dyDescent="0.25">
      <c r="A555" s="1"/>
      <c r="B555" s="2"/>
      <c r="AA555" s="3"/>
      <c r="AD555" s="3"/>
      <c r="AG555" s="3"/>
      <c r="AJ555" s="3"/>
    </row>
    <row r="556" spans="1:36" x14ac:dyDescent="0.25">
      <c r="A556" s="1"/>
      <c r="B556" s="2"/>
      <c r="AA556" s="3"/>
      <c r="AD556" s="3"/>
      <c r="AG556" s="3"/>
      <c r="AJ556" s="3"/>
    </row>
    <row r="557" spans="1:36" x14ac:dyDescent="0.25">
      <c r="A557" s="1"/>
      <c r="B557" s="2"/>
      <c r="AA557" s="3"/>
      <c r="AD557" s="3"/>
      <c r="AG557" s="3"/>
      <c r="AJ557" s="3"/>
    </row>
    <row r="558" spans="1:36" x14ac:dyDescent="0.25">
      <c r="A558" s="1"/>
      <c r="B558" s="2"/>
      <c r="AA558" s="3"/>
      <c r="AD558" s="3"/>
      <c r="AG558" s="3"/>
      <c r="AJ558" s="3"/>
    </row>
    <row r="559" spans="1:36" x14ac:dyDescent="0.25">
      <c r="A559" s="1"/>
      <c r="B559" s="2"/>
      <c r="AA559" s="3"/>
      <c r="AD559" s="3"/>
      <c r="AG559" s="3"/>
      <c r="AJ559" s="3"/>
    </row>
    <row r="560" spans="1:36" x14ac:dyDescent="0.25">
      <c r="A560" s="1"/>
      <c r="B560" s="2"/>
      <c r="AA560" s="3"/>
      <c r="AD560" s="3"/>
      <c r="AG560" s="3"/>
      <c r="AJ560" s="3"/>
    </row>
    <row r="561" spans="1:36" x14ac:dyDescent="0.25">
      <c r="A561" s="1"/>
      <c r="B561" s="2"/>
      <c r="AA561" s="3"/>
      <c r="AD561" s="3"/>
      <c r="AG561" s="3"/>
      <c r="AJ561" s="3"/>
    </row>
    <row r="562" spans="1:36" x14ac:dyDescent="0.25">
      <c r="A562" s="1"/>
      <c r="B562" s="2"/>
      <c r="AA562" s="3"/>
      <c r="AD562" s="3"/>
      <c r="AG562" s="3"/>
      <c r="AJ562" s="3"/>
    </row>
    <row r="563" spans="1:36" x14ac:dyDescent="0.25">
      <c r="A563" s="1"/>
      <c r="B563" s="2"/>
      <c r="AA563" s="3"/>
      <c r="AD563" s="3"/>
      <c r="AG563" s="3"/>
      <c r="AJ563" s="3"/>
    </row>
    <row r="564" spans="1:36" x14ac:dyDescent="0.25">
      <c r="A564" s="1"/>
      <c r="B564" s="2"/>
      <c r="AA564" s="3"/>
      <c r="AD564" s="3"/>
      <c r="AG564" s="3"/>
      <c r="AJ564" s="3"/>
    </row>
    <row r="565" spans="1:36" x14ac:dyDescent="0.25">
      <c r="A565" s="1"/>
      <c r="B565" s="2"/>
      <c r="AA565" s="3"/>
      <c r="AD565" s="3"/>
      <c r="AG565" s="3"/>
      <c r="AJ565" s="3"/>
    </row>
    <row r="566" spans="1:36" x14ac:dyDescent="0.25">
      <c r="A566" s="1"/>
      <c r="B566" s="2"/>
      <c r="AA566" s="3"/>
      <c r="AD566" s="3"/>
      <c r="AG566" s="3"/>
      <c r="AJ566" s="3"/>
    </row>
    <row r="567" spans="1:36" x14ac:dyDescent="0.25">
      <c r="A567" s="1"/>
      <c r="B567" s="2"/>
      <c r="AA567" s="3"/>
      <c r="AD567" s="3"/>
      <c r="AG567" s="3"/>
      <c r="AJ567" s="3"/>
    </row>
    <row r="568" spans="1:36" x14ac:dyDescent="0.25">
      <c r="A568" s="1"/>
      <c r="B568" s="2"/>
      <c r="AA568" s="3"/>
      <c r="AD568" s="3"/>
      <c r="AG568" s="3"/>
      <c r="AJ568" s="3"/>
    </row>
    <row r="569" spans="1:36" x14ac:dyDescent="0.25">
      <c r="A569" s="1"/>
      <c r="B569" s="2"/>
      <c r="AA569" s="3"/>
      <c r="AD569" s="3"/>
      <c r="AG569" s="3"/>
      <c r="AJ569" s="3"/>
    </row>
    <row r="570" spans="1:36" x14ac:dyDescent="0.25">
      <c r="A570" s="1"/>
      <c r="B570" s="2"/>
      <c r="AA570" s="3"/>
      <c r="AD570" s="3"/>
      <c r="AG570" s="3"/>
      <c r="AJ570" s="3"/>
    </row>
    <row r="571" spans="1:36" x14ac:dyDescent="0.25">
      <c r="A571" s="1"/>
      <c r="B571" s="2"/>
      <c r="AA571" s="3"/>
      <c r="AD571" s="3"/>
      <c r="AG571" s="3"/>
      <c r="AJ571" s="3"/>
    </row>
    <row r="572" spans="1:36" x14ac:dyDescent="0.25">
      <c r="A572" s="1"/>
      <c r="B572" s="2"/>
      <c r="AA572" s="3"/>
      <c r="AD572" s="3"/>
      <c r="AG572" s="3"/>
      <c r="AJ572" s="3"/>
    </row>
    <row r="573" spans="1:36" x14ac:dyDescent="0.25">
      <c r="A573" s="1"/>
      <c r="B573" s="2"/>
      <c r="AA573" s="3"/>
      <c r="AD573" s="3"/>
      <c r="AG573" s="3"/>
      <c r="AJ573" s="3"/>
    </row>
    <row r="574" spans="1:36" x14ac:dyDescent="0.25">
      <c r="A574" s="1"/>
      <c r="B574" s="2"/>
      <c r="AA574" s="3"/>
      <c r="AD574" s="3"/>
      <c r="AG574" s="3"/>
      <c r="AJ574" s="3"/>
    </row>
    <row r="575" spans="1:36" x14ac:dyDescent="0.25">
      <c r="A575" s="1"/>
      <c r="B575" s="2"/>
      <c r="AA575" s="3"/>
      <c r="AD575" s="3"/>
      <c r="AG575" s="3"/>
      <c r="AJ575" s="3"/>
    </row>
    <row r="576" spans="1:36" x14ac:dyDescent="0.25">
      <c r="A576" s="1"/>
      <c r="B576" s="2"/>
      <c r="AA576" s="3"/>
      <c r="AD576" s="3"/>
      <c r="AG576" s="3"/>
      <c r="AJ576" s="3"/>
    </row>
    <row r="577" spans="1:36" x14ac:dyDescent="0.25">
      <c r="A577" s="1"/>
      <c r="B577" s="2"/>
      <c r="AA577" s="3"/>
      <c r="AD577" s="3"/>
      <c r="AG577" s="3"/>
      <c r="AJ577" s="3"/>
    </row>
    <row r="578" spans="1:36" x14ac:dyDescent="0.25">
      <c r="A578" s="1"/>
      <c r="B578" s="2"/>
      <c r="AA578" s="3"/>
      <c r="AD578" s="3"/>
      <c r="AG578" s="3"/>
      <c r="AJ578" s="3"/>
    </row>
    <row r="579" spans="1:36" x14ac:dyDescent="0.25">
      <c r="A579" s="1"/>
      <c r="B579" s="2"/>
      <c r="AA579" s="3"/>
      <c r="AD579" s="3"/>
      <c r="AG579" s="3"/>
      <c r="AJ579" s="3"/>
    </row>
    <row r="580" spans="1:36" x14ac:dyDescent="0.25">
      <c r="A580" s="1"/>
      <c r="B580" s="2"/>
      <c r="AA580" s="3"/>
      <c r="AD580" s="3"/>
      <c r="AG580" s="3"/>
      <c r="AJ580" s="3"/>
    </row>
    <row r="581" spans="1:36" x14ac:dyDescent="0.25">
      <c r="A581" s="1"/>
      <c r="B581" s="2"/>
      <c r="AA581" s="3"/>
      <c r="AD581" s="3"/>
      <c r="AG581" s="3"/>
      <c r="AJ581" s="3"/>
    </row>
    <row r="582" spans="1:36" x14ac:dyDescent="0.25">
      <c r="A582" s="1"/>
      <c r="B582" s="2"/>
      <c r="AA582" s="3"/>
      <c r="AD582" s="3"/>
      <c r="AG582" s="3"/>
      <c r="AJ582" s="3"/>
    </row>
    <row r="583" spans="1:36" x14ac:dyDescent="0.25">
      <c r="A583" s="1"/>
      <c r="B583" s="2"/>
      <c r="AA583" s="3"/>
      <c r="AD583" s="3"/>
      <c r="AG583" s="3"/>
      <c r="AJ583" s="3"/>
    </row>
    <row r="584" spans="1:36" x14ac:dyDescent="0.25">
      <c r="A584" s="1"/>
      <c r="B584" s="2"/>
      <c r="AA584" s="3"/>
      <c r="AD584" s="3"/>
      <c r="AG584" s="3"/>
      <c r="AJ584" s="3"/>
    </row>
    <row r="585" spans="1:36" x14ac:dyDescent="0.25">
      <c r="A585" s="1"/>
      <c r="B585" s="2"/>
      <c r="AA585" s="3"/>
      <c r="AD585" s="3"/>
      <c r="AG585" s="3"/>
      <c r="AJ585" s="3"/>
    </row>
    <row r="586" spans="1:36" x14ac:dyDescent="0.25">
      <c r="A586" s="1"/>
      <c r="B586" s="2"/>
      <c r="AA586" s="3"/>
      <c r="AD586" s="3"/>
      <c r="AG586" s="3"/>
      <c r="AJ586" s="3"/>
    </row>
    <row r="587" spans="1:36" x14ac:dyDescent="0.25">
      <c r="A587" s="1"/>
      <c r="B587" s="2"/>
      <c r="AA587" s="3"/>
      <c r="AD587" s="3"/>
      <c r="AG587" s="3"/>
      <c r="AJ587" s="3"/>
    </row>
    <row r="588" spans="1:36" x14ac:dyDescent="0.25">
      <c r="A588" s="1"/>
      <c r="B588" s="2"/>
      <c r="AA588" s="3"/>
      <c r="AD588" s="3"/>
      <c r="AG588" s="3"/>
      <c r="AJ588" s="3"/>
    </row>
    <row r="589" spans="1:36" x14ac:dyDescent="0.25">
      <c r="A589" s="1"/>
      <c r="B589" s="2"/>
      <c r="AA589" s="3"/>
      <c r="AD589" s="3"/>
      <c r="AG589" s="3"/>
      <c r="AJ589" s="3"/>
    </row>
    <row r="590" spans="1:36" x14ac:dyDescent="0.25">
      <c r="A590" s="1"/>
      <c r="B590" s="2"/>
      <c r="AA590" s="3"/>
      <c r="AD590" s="3"/>
      <c r="AG590" s="3"/>
      <c r="AJ590" s="3"/>
    </row>
    <row r="591" spans="1:36" x14ac:dyDescent="0.25">
      <c r="A591" s="1"/>
      <c r="B591" s="2"/>
      <c r="AA591" s="3"/>
      <c r="AD591" s="3"/>
      <c r="AG591" s="3"/>
      <c r="AJ591" s="3"/>
    </row>
    <row r="592" spans="1:36" x14ac:dyDescent="0.25">
      <c r="A592" s="1"/>
      <c r="B592" s="2"/>
      <c r="AA592" s="3"/>
      <c r="AD592" s="3"/>
      <c r="AG592" s="3"/>
      <c r="AJ592" s="3"/>
    </row>
    <row r="593" spans="1:36" x14ac:dyDescent="0.25">
      <c r="A593" s="1"/>
      <c r="B593" s="2"/>
      <c r="AA593" s="3"/>
      <c r="AD593" s="3"/>
      <c r="AG593" s="3"/>
      <c r="AJ593" s="3"/>
    </row>
    <row r="594" spans="1:36" x14ac:dyDescent="0.25">
      <c r="A594" s="1"/>
      <c r="B594" s="2"/>
      <c r="AA594" s="3"/>
      <c r="AD594" s="3"/>
      <c r="AG594" s="3"/>
      <c r="AJ594" s="3"/>
    </row>
    <row r="595" spans="1:36" x14ac:dyDescent="0.25">
      <c r="A595" s="1"/>
      <c r="B595" s="2"/>
      <c r="AA595" s="3"/>
      <c r="AD595" s="3"/>
      <c r="AG595" s="3"/>
      <c r="AJ595" s="3"/>
    </row>
    <row r="596" spans="1:36" x14ac:dyDescent="0.25">
      <c r="A596" s="1"/>
      <c r="B596" s="2"/>
      <c r="AA596" s="3"/>
      <c r="AD596" s="3"/>
      <c r="AG596" s="3"/>
      <c r="AJ596" s="3"/>
    </row>
    <row r="597" spans="1:36" x14ac:dyDescent="0.25">
      <c r="A597" s="1"/>
      <c r="B597" s="2"/>
      <c r="AA597" s="3"/>
      <c r="AD597" s="3"/>
      <c r="AG597" s="3"/>
      <c r="AJ597" s="3"/>
    </row>
    <row r="598" spans="1:36" x14ac:dyDescent="0.25">
      <c r="A598" s="1"/>
      <c r="B598" s="2"/>
      <c r="AA598" s="3"/>
      <c r="AD598" s="3"/>
      <c r="AG598" s="3"/>
      <c r="AJ598" s="3"/>
    </row>
    <row r="599" spans="1:36" x14ac:dyDescent="0.25">
      <c r="A599" s="1"/>
      <c r="B599" s="2"/>
      <c r="AA599" s="3"/>
      <c r="AD599" s="3"/>
      <c r="AG599" s="3"/>
      <c r="AJ599" s="3"/>
    </row>
    <row r="600" spans="1:36" x14ac:dyDescent="0.25">
      <c r="A600" s="1"/>
      <c r="B600" s="2"/>
      <c r="AA600" s="3"/>
      <c r="AD600" s="3"/>
      <c r="AG600" s="3"/>
      <c r="AJ600" s="3"/>
    </row>
    <row r="601" spans="1:36" x14ac:dyDescent="0.25">
      <c r="A601" s="1"/>
      <c r="B601" s="2"/>
      <c r="AA601" s="3"/>
      <c r="AD601" s="3"/>
      <c r="AG601" s="3"/>
      <c r="AJ601" s="3"/>
    </row>
    <row r="602" spans="1:36" x14ac:dyDescent="0.25">
      <c r="A602" s="1"/>
      <c r="B602" s="2"/>
      <c r="AA602" s="3"/>
      <c r="AD602" s="3"/>
      <c r="AG602" s="3"/>
      <c r="AJ602" s="3"/>
    </row>
    <row r="603" spans="1:36" x14ac:dyDescent="0.25">
      <c r="A603" s="1"/>
      <c r="B603" s="2"/>
      <c r="AA603" s="3"/>
      <c r="AD603" s="3"/>
      <c r="AG603" s="3"/>
      <c r="AJ603" s="3"/>
    </row>
    <row r="604" spans="1:36" x14ac:dyDescent="0.25">
      <c r="A604" s="1"/>
      <c r="B604" s="2"/>
      <c r="AA604" s="3"/>
      <c r="AD604" s="3"/>
      <c r="AG604" s="3"/>
      <c r="AJ604" s="3"/>
    </row>
    <row r="605" spans="1:36" x14ac:dyDescent="0.25">
      <c r="A605" s="1"/>
      <c r="B605" s="2"/>
      <c r="AA605" s="3"/>
      <c r="AD605" s="3"/>
      <c r="AG605" s="3"/>
      <c r="AJ605" s="3"/>
    </row>
    <row r="606" spans="1:36" x14ac:dyDescent="0.25">
      <c r="A606" s="1"/>
      <c r="B606" s="2"/>
      <c r="AA606" s="3"/>
      <c r="AD606" s="3"/>
      <c r="AG606" s="3"/>
      <c r="AJ606" s="3"/>
    </row>
    <row r="607" spans="1:36" x14ac:dyDescent="0.25">
      <c r="A607" s="1"/>
      <c r="B607" s="2"/>
      <c r="AA607" s="3"/>
      <c r="AD607" s="3"/>
      <c r="AG607" s="3"/>
      <c r="AJ607" s="3"/>
    </row>
    <row r="608" spans="1:36" x14ac:dyDescent="0.25">
      <c r="A608" s="1"/>
      <c r="B608" s="2"/>
      <c r="AA608" s="3"/>
      <c r="AD608" s="3"/>
      <c r="AG608" s="3"/>
      <c r="AJ608" s="3"/>
    </row>
    <row r="609" spans="1:36" x14ac:dyDescent="0.25">
      <c r="A609" s="1"/>
      <c r="B609" s="2"/>
      <c r="AA609" s="3"/>
      <c r="AD609" s="3"/>
      <c r="AG609" s="3"/>
      <c r="AJ609" s="3"/>
    </row>
    <row r="610" spans="1:36" x14ac:dyDescent="0.25">
      <c r="A610" s="1"/>
      <c r="B610" s="2"/>
      <c r="AA610" s="3"/>
      <c r="AD610" s="3"/>
      <c r="AG610" s="3"/>
      <c r="AJ610" s="3"/>
    </row>
    <row r="611" spans="1:36" x14ac:dyDescent="0.25">
      <c r="A611" s="1"/>
      <c r="B611" s="2"/>
      <c r="AA611" s="3"/>
      <c r="AD611" s="3"/>
      <c r="AG611" s="3"/>
      <c r="AJ611" s="3"/>
    </row>
    <row r="612" spans="1:36" x14ac:dyDescent="0.25">
      <c r="A612" s="1"/>
      <c r="B612" s="2"/>
      <c r="AA612" s="3"/>
      <c r="AD612" s="3"/>
      <c r="AG612" s="3"/>
      <c r="AJ612" s="3"/>
    </row>
    <row r="613" spans="1:36" x14ac:dyDescent="0.25">
      <c r="A613" s="1"/>
      <c r="B613" s="2"/>
      <c r="AA613" s="3"/>
      <c r="AD613" s="3"/>
      <c r="AG613" s="3"/>
      <c r="AJ613" s="3"/>
    </row>
    <row r="614" spans="1:36" x14ac:dyDescent="0.25">
      <c r="A614" s="1"/>
      <c r="B614" s="2"/>
      <c r="AA614" s="3"/>
      <c r="AD614" s="3"/>
      <c r="AG614" s="3"/>
      <c r="AJ614" s="3"/>
    </row>
    <row r="615" spans="1:36" x14ac:dyDescent="0.25">
      <c r="A615" s="1"/>
      <c r="B615" s="2"/>
      <c r="AA615" s="3"/>
      <c r="AD615" s="3"/>
      <c r="AG615" s="3"/>
      <c r="AJ615" s="3"/>
    </row>
    <row r="616" spans="1:36" x14ac:dyDescent="0.25">
      <c r="A616" s="1"/>
      <c r="B616" s="2"/>
      <c r="AA616" s="3"/>
      <c r="AD616" s="3"/>
      <c r="AG616" s="3"/>
      <c r="AJ616" s="3"/>
    </row>
    <row r="617" spans="1:36" x14ac:dyDescent="0.25">
      <c r="A617" s="1"/>
      <c r="B617" s="2"/>
      <c r="AA617" s="3"/>
      <c r="AD617" s="3"/>
      <c r="AG617" s="3"/>
      <c r="AJ617" s="3"/>
    </row>
    <row r="618" spans="1:36" x14ac:dyDescent="0.25">
      <c r="A618" s="1"/>
      <c r="B618" s="2"/>
      <c r="AA618" s="3"/>
      <c r="AD618" s="3"/>
      <c r="AG618" s="3"/>
      <c r="AJ618" s="3"/>
    </row>
    <row r="619" spans="1:36" x14ac:dyDescent="0.25">
      <c r="A619" s="1"/>
      <c r="B619" s="2"/>
      <c r="AA619" s="3"/>
      <c r="AD619" s="3"/>
      <c r="AG619" s="3"/>
      <c r="AJ619" s="3"/>
    </row>
    <row r="620" spans="1:36" x14ac:dyDescent="0.25">
      <c r="A620" s="1"/>
      <c r="B620" s="2"/>
      <c r="AA620" s="3"/>
      <c r="AD620" s="3"/>
      <c r="AG620" s="3"/>
      <c r="AJ620" s="3"/>
    </row>
    <row r="621" spans="1:36" x14ac:dyDescent="0.25">
      <c r="A621" s="1"/>
      <c r="B621" s="2"/>
      <c r="AA621" s="3"/>
      <c r="AD621" s="3"/>
      <c r="AG621" s="3"/>
      <c r="AJ621" s="3"/>
    </row>
    <row r="622" spans="1:36" x14ac:dyDescent="0.25">
      <c r="A622" s="1"/>
      <c r="B622" s="2"/>
      <c r="AA622" s="3"/>
      <c r="AD622" s="3"/>
      <c r="AG622" s="3"/>
      <c r="AJ622" s="3"/>
    </row>
    <row r="623" spans="1:36" x14ac:dyDescent="0.25">
      <c r="A623" s="1"/>
      <c r="B623" s="2"/>
      <c r="AA623" s="3"/>
      <c r="AD623" s="3"/>
      <c r="AG623" s="3"/>
      <c r="AJ623" s="3"/>
    </row>
    <row r="624" spans="1:36" x14ac:dyDescent="0.25">
      <c r="A624" s="1"/>
      <c r="B624" s="2"/>
      <c r="AA624" s="3"/>
      <c r="AD624" s="3"/>
      <c r="AG624" s="3"/>
      <c r="AJ624" s="3"/>
    </row>
    <row r="625" spans="1:36" x14ac:dyDescent="0.25">
      <c r="A625" s="1"/>
      <c r="B625" s="2"/>
      <c r="AA625" s="3"/>
      <c r="AD625" s="3"/>
      <c r="AG625" s="3"/>
      <c r="AJ625" s="3"/>
    </row>
    <row r="626" spans="1:36" x14ac:dyDescent="0.25">
      <c r="A626" s="1"/>
      <c r="B626" s="2"/>
      <c r="AA626" s="3"/>
      <c r="AD626" s="3"/>
      <c r="AG626" s="3"/>
      <c r="AJ626" s="3"/>
    </row>
    <row r="627" spans="1:36" x14ac:dyDescent="0.25">
      <c r="A627" s="1"/>
      <c r="B627" s="2"/>
      <c r="AA627" s="3"/>
      <c r="AD627" s="3"/>
      <c r="AG627" s="3"/>
      <c r="AJ627" s="3"/>
    </row>
    <row r="628" spans="1:36" x14ac:dyDescent="0.25">
      <c r="A628" s="1"/>
      <c r="B628" s="2"/>
      <c r="AA628" s="3"/>
      <c r="AD628" s="3"/>
      <c r="AG628" s="3"/>
      <c r="AJ628" s="3"/>
    </row>
    <row r="629" spans="1:36" x14ac:dyDescent="0.25">
      <c r="A629" s="1"/>
      <c r="B629" s="2"/>
      <c r="AA629" s="3"/>
      <c r="AD629" s="3"/>
      <c r="AG629" s="3"/>
      <c r="AJ629" s="3"/>
    </row>
    <row r="630" spans="1:36" x14ac:dyDescent="0.25">
      <c r="A630" s="1"/>
      <c r="B630" s="2"/>
      <c r="AA630" s="3"/>
      <c r="AD630" s="3"/>
      <c r="AG630" s="3"/>
      <c r="AJ630" s="3"/>
    </row>
    <row r="631" spans="1:36" x14ac:dyDescent="0.25">
      <c r="A631" s="1"/>
      <c r="B631" s="2"/>
      <c r="AA631" s="3"/>
      <c r="AD631" s="3"/>
      <c r="AG631" s="3"/>
      <c r="AJ631" s="3"/>
    </row>
    <row r="632" spans="1:36" x14ac:dyDescent="0.25">
      <c r="A632" s="1"/>
      <c r="B632" s="2"/>
      <c r="AA632" s="3"/>
      <c r="AD632" s="3"/>
      <c r="AG632" s="3"/>
      <c r="AJ632" s="3"/>
    </row>
    <row r="633" spans="1:36" x14ac:dyDescent="0.25">
      <c r="A633" s="1"/>
      <c r="B633" s="2"/>
      <c r="AA633" s="3"/>
      <c r="AD633" s="3"/>
      <c r="AG633" s="3"/>
      <c r="AJ633" s="3"/>
    </row>
    <row r="634" spans="1:36" x14ac:dyDescent="0.25">
      <c r="A634" s="1"/>
      <c r="B634" s="2"/>
      <c r="AA634" s="3"/>
      <c r="AD634" s="3"/>
      <c r="AG634" s="3"/>
      <c r="AJ634" s="3"/>
    </row>
    <row r="635" spans="1:36" x14ac:dyDescent="0.25">
      <c r="A635" s="1"/>
      <c r="B635" s="2"/>
      <c r="AA635" s="3"/>
      <c r="AD635" s="3"/>
      <c r="AG635" s="3"/>
      <c r="AJ635" s="3"/>
    </row>
    <row r="636" spans="1:36" x14ac:dyDescent="0.25">
      <c r="A636" s="1"/>
      <c r="B636" s="2"/>
      <c r="AA636" s="3"/>
      <c r="AD636" s="3"/>
      <c r="AG636" s="3"/>
      <c r="AJ636" s="3"/>
    </row>
    <row r="637" spans="1:36" x14ac:dyDescent="0.25">
      <c r="A637" s="1"/>
      <c r="B637" s="2"/>
      <c r="AA637" s="3"/>
      <c r="AD637" s="3"/>
      <c r="AG637" s="3"/>
      <c r="AJ637" s="3"/>
    </row>
    <row r="638" spans="1:36" x14ac:dyDescent="0.25">
      <c r="A638" s="1"/>
      <c r="B638" s="2"/>
      <c r="AA638" s="3"/>
      <c r="AD638" s="3"/>
      <c r="AG638" s="3"/>
      <c r="AJ638" s="3"/>
    </row>
    <row r="639" spans="1:36" x14ac:dyDescent="0.25">
      <c r="A639" s="1"/>
      <c r="B639" s="2"/>
      <c r="AA639" s="3"/>
      <c r="AD639" s="3"/>
      <c r="AG639" s="3"/>
      <c r="AJ639" s="3"/>
    </row>
    <row r="640" spans="1:36" x14ac:dyDescent="0.25">
      <c r="A640" s="1"/>
      <c r="B640" s="2"/>
      <c r="AA640" s="3"/>
      <c r="AD640" s="3"/>
      <c r="AG640" s="3"/>
      <c r="AJ640" s="3"/>
    </row>
    <row r="641" spans="1:36" x14ac:dyDescent="0.25">
      <c r="A641" s="1"/>
      <c r="B641" s="2"/>
      <c r="AA641" s="3"/>
      <c r="AD641" s="3"/>
      <c r="AG641" s="3"/>
      <c r="AJ641" s="3"/>
    </row>
    <row r="642" spans="1:36" x14ac:dyDescent="0.25">
      <c r="A642" s="1"/>
      <c r="B642" s="2"/>
      <c r="AA642" s="3"/>
      <c r="AD642" s="3"/>
      <c r="AG642" s="3"/>
      <c r="AJ642" s="3"/>
    </row>
    <row r="643" spans="1:36" x14ac:dyDescent="0.25">
      <c r="A643" s="1"/>
      <c r="B643" s="2"/>
      <c r="AA643" s="3"/>
      <c r="AD643" s="3"/>
      <c r="AG643" s="3"/>
      <c r="AJ643" s="3"/>
    </row>
    <row r="644" spans="1:36" x14ac:dyDescent="0.25">
      <c r="A644" s="1"/>
      <c r="B644" s="2"/>
      <c r="AA644" s="3"/>
      <c r="AD644" s="3"/>
      <c r="AG644" s="3"/>
      <c r="AJ644" s="3"/>
    </row>
    <row r="645" spans="1:36" x14ac:dyDescent="0.25">
      <c r="A645" s="1"/>
      <c r="B645" s="2"/>
      <c r="AA645" s="3"/>
      <c r="AD645" s="3"/>
      <c r="AG645" s="3"/>
      <c r="AJ645" s="3"/>
    </row>
    <row r="646" spans="1:36" x14ac:dyDescent="0.25">
      <c r="A646" s="1"/>
      <c r="B646" s="2"/>
      <c r="AA646" s="3"/>
      <c r="AD646" s="3"/>
      <c r="AG646" s="3"/>
      <c r="AJ646" s="3"/>
    </row>
    <row r="647" spans="1:36" x14ac:dyDescent="0.25">
      <c r="A647" s="1"/>
      <c r="B647" s="2"/>
      <c r="AA647" s="3"/>
      <c r="AD647" s="3"/>
      <c r="AG647" s="3"/>
      <c r="AJ647" s="3"/>
    </row>
    <row r="648" spans="1:36" x14ac:dyDescent="0.25">
      <c r="A648" s="1"/>
      <c r="B648" s="2"/>
      <c r="AA648" s="3"/>
      <c r="AD648" s="3"/>
      <c r="AG648" s="3"/>
      <c r="AJ648" s="3"/>
    </row>
    <row r="649" spans="1:36" x14ac:dyDescent="0.25">
      <c r="A649" s="1"/>
      <c r="B649" s="2"/>
      <c r="AA649" s="3"/>
      <c r="AD649" s="3"/>
      <c r="AG649" s="3"/>
      <c r="AJ649" s="3"/>
    </row>
    <row r="650" spans="1:36" x14ac:dyDescent="0.25">
      <c r="A650" s="1"/>
      <c r="B650" s="2"/>
      <c r="AA650" s="3"/>
      <c r="AD650" s="3"/>
      <c r="AG650" s="3"/>
      <c r="AJ650" s="3"/>
    </row>
    <row r="651" spans="1:36" x14ac:dyDescent="0.25">
      <c r="A651" s="1"/>
      <c r="B651" s="2"/>
      <c r="AA651" s="3"/>
      <c r="AD651" s="3"/>
      <c r="AG651" s="3"/>
      <c r="AJ651" s="3"/>
    </row>
    <row r="652" spans="1:36" x14ac:dyDescent="0.25">
      <c r="A652" s="1"/>
      <c r="B652" s="2"/>
      <c r="AA652" s="3"/>
      <c r="AD652" s="3"/>
      <c r="AG652" s="3"/>
      <c r="AJ652" s="3"/>
    </row>
    <row r="653" spans="1:36" x14ac:dyDescent="0.25">
      <c r="A653" s="1"/>
      <c r="B653" s="2"/>
      <c r="AA653" s="3"/>
      <c r="AD653" s="3"/>
      <c r="AG653" s="3"/>
      <c r="AJ653" s="3"/>
    </row>
    <row r="654" spans="1:36" x14ac:dyDescent="0.25">
      <c r="A654" s="1"/>
      <c r="B654" s="2"/>
      <c r="AA654" s="3"/>
      <c r="AD654" s="3"/>
      <c r="AG654" s="3"/>
      <c r="AJ654" s="3"/>
    </row>
    <row r="655" spans="1:36" x14ac:dyDescent="0.25">
      <c r="A655" s="1"/>
      <c r="B655" s="2"/>
      <c r="AA655" s="3"/>
      <c r="AD655" s="3"/>
      <c r="AG655" s="3"/>
      <c r="AJ655" s="3"/>
    </row>
    <row r="656" spans="1:36" x14ac:dyDescent="0.25">
      <c r="A656" s="1"/>
      <c r="B656" s="2"/>
      <c r="AA656" s="3"/>
      <c r="AD656" s="3"/>
      <c r="AG656" s="3"/>
      <c r="AJ656" s="3"/>
    </row>
    <row r="657" spans="1:36" x14ac:dyDescent="0.25">
      <c r="A657" s="1"/>
      <c r="B657" s="2"/>
      <c r="AA657" s="3"/>
      <c r="AD657" s="3"/>
      <c r="AG657" s="3"/>
      <c r="AJ657" s="3"/>
    </row>
    <row r="658" spans="1:36" x14ac:dyDescent="0.25">
      <c r="A658" s="1"/>
      <c r="B658" s="2"/>
      <c r="AA658" s="3"/>
      <c r="AD658" s="3"/>
      <c r="AG658" s="3"/>
      <c r="AJ658" s="3"/>
    </row>
    <row r="659" spans="1:36" x14ac:dyDescent="0.25">
      <c r="A659" s="1"/>
      <c r="B659" s="2"/>
      <c r="AA659" s="3"/>
      <c r="AD659" s="3"/>
      <c r="AG659" s="3"/>
      <c r="AJ659" s="3"/>
    </row>
    <row r="660" spans="1:36" x14ac:dyDescent="0.25">
      <c r="A660" s="1"/>
      <c r="B660" s="2"/>
      <c r="AA660" s="3"/>
      <c r="AD660" s="3"/>
      <c r="AG660" s="3"/>
      <c r="AJ660" s="3"/>
    </row>
    <row r="661" spans="1:36" x14ac:dyDescent="0.25">
      <c r="A661" s="1"/>
      <c r="B661" s="2"/>
      <c r="AA661" s="3"/>
      <c r="AD661" s="3"/>
      <c r="AG661" s="3"/>
      <c r="AJ661" s="3"/>
    </row>
    <row r="662" spans="1:36" x14ac:dyDescent="0.25">
      <c r="A662" s="1"/>
      <c r="B662" s="2"/>
      <c r="AA662" s="3"/>
      <c r="AD662" s="3"/>
      <c r="AG662" s="3"/>
      <c r="AJ662" s="3"/>
    </row>
    <row r="663" spans="1:36" x14ac:dyDescent="0.25">
      <c r="A663" s="1"/>
      <c r="B663" s="2"/>
      <c r="AA663" s="3"/>
      <c r="AD663" s="3"/>
      <c r="AG663" s="3"/>
      <c r="AJ663" s="3"/>
    </row>
    <row r="664" spans="1:36" x14ac:dyDescent="0.25">
      <c r="A664" s="1"/>
      <c r="B664" s="2"/>
      <c r="AA664" s="3"/>
      <c r="AD664" s="3"/>
      <c r="AG664" s="3"/>
      <c r="AJ664" s="3"/>
    </row>
    <row r="665" spans="1:36" x14ac:dyDescent="0.25">
      <c r="A665" s="1"/>
      <c r="B665" s="2"/>
      <c r="AA665" s="3"/>
      <c r="AD665" s="3"/>
      <c r="AG665" s="3"/>
      <c r="AJ665" s="3"/>
    </row>
    <row r="666" spans="1:36" x14ac:dyDescent="0.25">
      <c r="A666" s="1"/>
      <c r="B666" s="2"/>
      <c r="AA666" s="3"/>
      <c r="AD666" s="3"/>
      <c r="AG666" s="3"/>
      <c r="AJ666" s="3"/>
    </row>
    <row r="667" spans="1:36" x14ac:dyDescent="0.25">
      <c r="A667" s="1"/>
      <c r="B667" s="2"/>
      <c r="AA667" s="3"/>
      <c r="AD667" s="3"/>
      <c r="AG667" s="3"/>
      <c r="AJ667" s="3"/>
    </row>
    <row r="668" spans="1:36" x14ac:dyDescent="0.25">
      <c r="A668" s="1"/>
      <c r="B668" s="2"/>
      <c r="AA668" s="3"/>
      <c r="AD668" s="3"/>
      <c r="AG668" s="3"/>
      <c r="AJ668" s="3"/>
    </row>
    <row r="669" spans="1:36" x14ac:dyDescent="0.25">
      <c r="A669" s="1"/>
      <c r="B669" s="2"/>
      <c r="AA669" s="3"/>
      <c r="AD669" s="3"/>
      <c r="AG669" s="3"/>
      <c r="AJ669" s="3"/>
    </row>
    <row r="670" spans="1:36" x14ac:dyDescent="0.25">
      <c r="A670" s="1"/>
      <c r="B670" s="2"/>
      <c r="AA670" s="3"/>
      <c r="AD670" s="3"/>
      <c r="AG670" s="3"/>
      <c r="AJ670" s="3"/>
    </row>
    <row r="671" spans="1:36" x14ac:dyDescent="0.25">
      <c r="A671" s="1"/>
      <c r="B671" s="2"/>
      <c r="AA671" s="3"/>
      <c r="AD671" s="3"/>
      <c r="AG671" s="3"/>
      <c r="AJ671" s="3"/>
    </row>
    <row r="672" spans="1:36" x14ac:dyDescent="0.25">
      <c r="A672" s="1"/>
      <c r="B672" s="2"/>
      <c r="AA672" s="3"/>
      <c r="AD672" s="3"/>
      <c r="AG672" s="3"/>
      <c r="AJ672" s="3"/>
    </row>
    <row r="673" spans="1:36" x14ac:dyDescent="0.25">
      <c r="A673" s="1"/>
      <c r="B673" s="2"/>
      <c r="AA673" s="3"/>
      <c r="AD673" s="3"/>
      <c r="AG673" s="3"/>
      <c r="AJ673" s="3"/>
    </row>
    <row r="674" spans="1:36" x14ac:dyDescent="0.25">
      <c r="A674" s="1"/>
      <c r="B674" s="2"/>
      <c r="AA674" s="3"/>
      <c r="AD674" s="3"/>
      <c r="AG674" s="3"/>
      <c r="AJ674" s="3"/>
    </row>
    <row r="675" spans="1:36" x14ac:dyDescent="0.25">
      <c r="A675" s="1"/>
      <c r="B675" s="2"/>
      <c r="AA675" s="3"/>
      <c r="AD675" s="3"/>
      <c r="AG675" s="3"/>
      <c r="AJ675" s="3"/>
    </row>
    <row r="676" spans="1:36" x14ac:dyDescent="0.25">
      <c r="A676" s="1"/>
      <c r="B676" s="2"/>
      <c r="AA676" s="3"/>
      <c r="AD676" s="3"/>
      <c r="AG676" s="3"/>
      <c r="AJ676" s="3"/>
    </row>
    <row r="677" spans="1:36" x14ac:dyDescent="0.25">
      <c r="A677" s="1"/>
      <c r="B677" s="2"/>
      <c r="AA677" s="3"/>
      <c r="AD677" s="3"/>
      <c r="AG677" s="3"/>
      <c r="AJ677" s="3"/>
    </row>
    <row r="678" spans="1:36" x14ac:dyDescent="0.25">
      <c r="A678" s="1"/>
      <c r="B678" s="2"/>
      <c r="AA678" s="3"/>
      <c r="AD678" s="3"/>
      <c r="AG678" s="3"/>
      <c r="AJ678" s="3"/>
    </row>
    <row r="679" spans="1:36" x14ac:dyDescent="0.25">
      <c r="A679" s="1"/>
      <c r="B679" s="2"/>
      <c r="AA679" s="3"/>
      <c r="AD679" s="3"/>
      <c r="AG679" s="3"/>
      <c r="AJ679" s="3"/>
    </row>
    <row r="680" spans="1:36" x14ac:dyDescent="0.25">
      <c r="A680" s="1"/>
      <c r="B680" s="2"/>
      <c r="AA680" s="3"/>
      <c r="AD680" s="3"/>
      <c r="AG680" s="3"/>
      <c r="AJ680" s="3"/>
    </row>
    <row r="681" spans="1:36" x14ac:dyDescent="0.25">
      <c r="A681" s="1"/>
      <c r="B681" s="2"/>
      <c r="AA681" s="3"/>
      <c r="AD681" s="3"/>
      <c r="AG681" s="3"/>
      <c r="AJ681" s="3"/>
    </row>
    <row r="682" spans="1:36" x14ac:dyDescent="0.25">
      <c r="A682" s="1"/>
      <c r="B682" s="2"/>
      <c r="AA682" s="3"/>
      <c r="AD682" s="3"/>
      <c r="AG682" s="3"/>
      <c r="AJ682" s="3"/>
    </row>
    <row r="683" spans="1:36" x14ac:dyDescent="0.25">
      <c r="A683" s="1"/>
      <c r="B683" s="2"/>
      <c r="AA683" s="3"/>
      <c r="AD683" s="3"/>
      <c r="AG683" s="3"/>
      <c r="AJ683" s="3"/>
    </row>
    <row r="684" spans="1:36" x14ac:dyDescent="0.25">
      <c r="A684" s="1"/>
      <c r="B684" s="2"/>
      <c r="AA684" s="3"/>
      <c r="AD684" s="3"/>
      <c r="AG684" s="3"/>
      <c r="AJ684" s="3"/>
    </row>
    <row r="685" spans="1:36" x14ac:dyDescent="0.25">
      <c r="A685" s="1"/>
      <c r="B685" s="2"/>
      <c r="AA685" s="3"/>
      <c r="AD685" s="3"/>
      <c r="AG685" s="3"/>
      <c r="AJ685" s="3"/>
    </row>
    <row r="686" spans="1:36" x14ac:dyDescent="0.25">
      <c r="A686" s="1"/>
      <c r="B686" s="2"/>
      <c r="AA686" s="3"/>
      <c r="AD686" s="3"/>
      <c r="AG686" s="3"/>
      <c r="AJ686" s="3"/>
    </row>
    <row r="687" spans="1:36" x14ac:dyDescent="0.25">
      <c r="A687" s="1"/>
      <c r="B687" s="2"/>
      <c r="AA687" s="3"/>
      <c r="AD687" s="3"/>
      <c r="AG687" s="3"/>
      <c r="AJ687" s="3"/>
    </row>
    <row r="688" spans="1:36" x14ac:dyDescent="0.25">
      <c r="A688" s="1"/>
      <c r="B688" s="2"/>
      <c r="AA688" s="3"/>
      <c r="AD688" s="3"/>
      <c r="AG688" s="3"/>
      <c r="AJ688" s="3"/>
    </row>
    <row r="689" spans="1:36" x14ac:dyDescent="0.25">
      <c r="A689" s="1"/>
      <c r="B689" s="2"/>
      <c r="AA689" s="3"/>
      <c r="AD689" s="3"/>
      <c r="AG689" s="3"/>
      <c r="AJ689" s="3"/>
    </row>
    <row r="690" spans="1:36" x14ac:dyDescent="0.25">
      <c r="A690" s="1"/>
      <c r="B690" s="2"/>
      <c r="AA690" s="3"/>
      <c r="AD690" s="3"/>
      <c r="AG690" s="3"/>
      <c r="AJ690" s="3"/>
    </row>
    <row r="691" spans="1:36" x14ac:dyDescent="0.25">
      <c r="A691" s="1"/>
      <c r="B691" s="2"/>
      <c r="AA691" s="3"/>
      <c r="AD691" s="3"/>
      <c r="AG691" s="3"/>
      <c r="AJ691" s="3"/>
    </row>
    <row r="692" spans="1:36" x14ac:dyDescent="0.25">
      <c r="A692" s="1"/>
      <c r="B692" s="2"/>
      <c r="AA692" s="3"/>
      <c r="AD692" s="3"/>
      <c r="AG692" s="3"/>
      <c r="AJ692" s="3"/>
    </row>
    <row r="693" spans="1:36" x14ac:dyDescent="0.25">
      <c r="A693" s="1"/>
      <c r="B693" s="2"/>
      <c r="AA693" s="3"/>
      <c r="AD693" s="3"/>
      <c r="AG693" s="3"/>
      <c r="AJ693" s="3"/>
    </row>
    <row r="694" spans="1:36" x14ac:dyDescent="0.25">
      <c r="A694" s="1"/>
      <c r="B694" s="2"/>
      <c r="AA694" s="3"/>
      <c r="AD694" s="3"/>
      <c r="AG694" s="3"/>
      <c r="AJ694" s="3"/>
    </row>
    <row r="695" spans="1:36" x14ac:dyDescent="0.25">
      <c r="A695" s="1"/>
      <c r="B695" s="2"/>
      <c r="AA695" s="3"/>
      <c r="AD695" s="3"/>
      <c r="AG695" s="3"/>
      <c r="AJ695" s="3"/>
    </row>
    <row r="696" spans="1:36" x14ac:dyDescent="0.25">
      <c r="A696" s="1"/>
      <c r="B696" s="2"/>
      <c r="AA696" s="3"/>
      <c r="AD696" s="3"/>
      <c r="AG696" s="3"/>
      <c r="AJ696" s="3"/>
    </row>
    <row r="697" spans="1:36" x14ac:dyDescent="0.25">
      <c r="A697" s="1"/>
      <c r="B697" s="2"/>
      <c r="AA697" s="3"/>
      <c r="AD697" s="3"/>
      <c r="AG697" s="3"/>
      <c r="AJ697" s="3"/>
    </row>
    <row r="698" spans="1:36" x14ac:dyDescent="0.25">
      <c r="A698" s="1"/>
      <c r="B698" s="2"/>
      <c r="AA698" s="3"/>
      <c r="AD698" s="3"/>
      <c r="AG698" s="3"/>
      <c r="AJ698" s="3"/>
    </row>
    <row r="699" spans="1:36" x14ac:dyDescent="0.25">
      <c r="A699" s="1"/>
      <c r="B699" s="2"/>
      <c r="AA699" s="3"/>
      <c r="AD699" s="3"/>
      <c r="AG699" s="3"/>
      <c r="AJ699" s="3"/>
    </row>
    <row r="700" spans="1:36" x14ac:dyDescent="0.25">
      <c r="A700" s="1"/>
      <c r="B700" s="2"/>
      <c r="AA700" s="3"/>
      <c r="AD700" s="3"/>
      <c r="AG700" s="3"/>
      <c r="AJ700" s="3"/>
    </row>
    <row r="701" spans="1:36" x14ac:dyDescent="0.25">
      <c r="A701" s="1"/>
      <c r="B701" s="2"/>
      <c r="AA701" s="3"/>
      <c r="AD701" s="3"/>
      <c r="AG701" s="3"/>
      <c r="AJ701" s="3"/>
    </row>
    <row r="702" spans="1:36" x14ac:dyDescent="0.25">
      <c r="A702" s="1"/>
      <c r="B702" s="2"/>
      <c r="AA702" s="3"/>
      <c r="AD702" s="3"/>
      <c r="AG702" s="3"/>
      <c r="AJ702" s="3"/>
    </row>
    <row r="703" spans="1:36" x14ac:dyDescent="0.25">
      <c r="A703" s="1"/>
      <c r="B703" s="2"/>
      <c r="AA703" s="3"/>
      <c r="AD703" s="3"/>
      <c r="AG703" s="3"/>
      <c r="AJ703" s="3"/>
    </row>
    <row r="704" spans="1:36" x14ac:dyDescent="0.25">
      <c r="A704" s="1"/>
      <c r="B704" s="2"/>
      <c r="AA704" s="3"/>
      <c r="AD704" s="3"/>
      <c r="AG704" s="3"/>
      <c r="AJ704" s="3"/>
    </row>
    <row r="705" spans="1:36" x14ac:dyDescent="0.25">
      <c r="A705" s="1"/>
      <c r="B705" s="2"/>
      <c r="AA705" s="3"/>
      <c r="AD705" s="3"/>
      <c r="AG705" s="3"/>
      <c r="AJ705" s="3"/>
    </row>
    <row r="706" spans="1:36" x14ac:dyDescent="0.25">
      <c r="A706" s="1"/>
      <c r="B706" s="2"/>
      <c r="AA706" s="3"/>
      <c r="AD706" s="3"/>
      <c r="AG706" s="3"/>
      <c r="AJ706" s="3"/>
    </row>
    <row r="707" spans="1:36" x14ac:dyDescent="0.25">
      <c r="A707" s="1"/>
      <c r="B707" s="2"/>
      <c r="AA707" s="3"/>
      <c r="AD707" s="3"/>
      <c r="AG707" s="3"/>
      <c r="AJ707" s="3"/>
    </row>
    <row r="708" spans="1:36" x14ac:dyDescent="0.25">
      <c r="A708" s="1"/>
      <c r="B708" s="2"/>
      <c r="AA708" s="3"/>
      <c r="AD708" s="3"/>
      <c r="AG708" s="3"/>
      <c r="AJ708" s="3"/>
    </row>
    <row r="709" spans="1:36" x14ac:dyDescent="0.25">
      <c r="A709" s="1"/>
      <c r="B709" s="2"/>
      <c r="AA709" s="3"/>
      <c r="AD709" s="3"/>
      <c r="AG709" s="3"/>
      <c r="AJ709" s="3"/>
    </row>
    <row r="710" spans="1:36" x14ac:dyDescent="0.25">
      <c r="A710" s="1"/>
      <c r="B710" s="2"/>
      <c r="AA710" s="3"/>
      <c r="AD710" s="3"/>
      <c r="AG710" s="3"/>
      <c r="AJ710" s="3"/>
    </row>
    <row r="711" spans="1:36" x14ac:dyDescent="0.25">
      <c r="A711" s="1"/>
      <c r="B711" s="2"/>
      <c r="AA711" s="3"/>
      <c r="AD711" s="3"/>
      <c r="AG711" s="3"/>
      <c r="AJ711" s="3"/>
    </row>
    <row r="712" spans="1:36" x14ac:dyDescent="0.25">
      <c r="A712" s="1"/>
      <c r="B712" s="2"/>
      <c r="AA712" s="3"/>
      <c r="AD712" s="3"/>
      <c r="AG712" s="3"/>
      <c r="AJ712" s="3"/>
    </row>
    <row r="713" spans="1:36" x14ac:dyDescent="0.25">
      <c r="A713" s="1"/>
      <c r="B713" s="2"/>
      <c r="AA713" s="3"/>
      <c r="AD713" s="3"/>
      <c r="AG713" s="3"/>
      <c r="AJ713" s="3"/>
    </row>
    <row r="714" spans="1:36" x14ac:dyDescent="0.25">
      <c r="A714" s="1"/>
      <c r="B714" s="2"/>
      <c r="AA714" s="3"/>
      <c r="AD714" s="3"/>
      <c r="AG714" s="3"/>
      <c r="AJ714" s="3"/>
    </row>
    <row r="715" spans="1:36" x14ac:dyDescent="0.25">
      <c r="A715" s="1"/>
      <c r="B715" s="2"/>
      <c r="AA715" s="3"/>
      <c r="AD715" s="3"/>
      <c r="AG715" s="3"/>
      <c r="AJ715" s="3"/>
    </row>
    <row r="716" spans="1:36" x14ac:dyDescent="0.25">
      <c r="A716" s="1"/>
      <c r="B716" s="2"/>
      <c r="AA716" s="3"/>
      <c r="AD716" s="3"/>
      <c r="AG716" s="3"/>
      <c r="AJ716" s="3"/>
    </row>
    <row r="717" spans="1:36" x14ac:dyDescent="0.25">
      <c r="A717" s="1"/>
      <c r="B717" s="2"/>
      <c r="AA717" s="3"/>
      <c r="AD717" s="3"/>
      <c r="AG717" s="3"/>
      <c r="AJ717" s="3"/>
    </row>
    <row r="718" spans="1:36" x14ac:dyDescent="0.25">
      <c r="A718" s="1"/>
      <c r="B718" s="2"/>
      <c r="AA718" s="3"/>
      <c r="AD718" s="3"/>
      <c r="AG718" s="3"/>
      <c r="AJ718" s="3"/>
    </row>
    <row r="719" spans="1:36" x14ac:dyDescent="0.25">
      <c r="A719" s="1"/>
      <c r="B719" s="2"/>
      <c r="AA719" s="3"/>
      <c r="AD719" s="3"/>
      <c r="AG719" s="3"/>
      <c r="AJ719" s="3"/>
    </row>
    <row r="720" spans="1:36" x14ac:dyDescent="0.25">
      <c r="A720" s="1"/>
      <c r="B720" s="2"/>
      <c r="AA720" s="3"/>
      <c r="AD720" s="3"/>
      <c r="AG720" s="3"/>
      <c r="AJ720" s="3"/>
    </row>
    <row r="721" spans="1:36" x14ac:dyDescent="0.25">
      <c r="A721" s="1"/>
      <c r="B721" s="2"/>
      <c r="AA721" s="3"/>
      <c r="AD721" s="3"/>
      <c r="AG721" s="3"/>
      <c r="AJ721" s="3"/>
    </row>
    <row r="722" spans="1:36" x14ac:dyDescent="0.25">
      <c r="A722" s="1"/>
      <c r="B722" s="2"/>
      <c r="AA722" s="3"/>
      <c r="AD722" s="3"/>
      <c r="AG722" s="3"/>
      <c r="AJ722" s="3"/>
    </row>
    <row r="723" spans="1:36" x14ac:dyDescent="0.25">
      <c r="A723" s="1"/>
      <c r="B723" s="2"/>
      <c r="AA723" s="3"/>
      <c r="AD723" s="3"/>
      <c r="AG723" s="3"/>
      <c r="AJ723" s="3"/>
    </row>
    <row r="724" spans="1:36" x14ac:dyDescent="0.25">
      <c r="A724" s="1"/>
      <c r="B724" s="2"/>
      <c r="AA724" s="3"/>
      <c r="AD724" s="3"/>
      <c r="AG724" s="3"/>
      <c r="AJ724" s="3"/>
    </row>
    <row r="725" spans="1:36" x14ac:dyDescent="0.25">
      <c r="A725" s="1"/>
      <c r="B725" s="2"/>
      <c r="AA725" s="3"/>
      <c r="AD725" s="3"/>
      <c r="AG725" s="3"/>
      <c r="AJ725" s="3"/>
    </row>
    <row r="726" spans="1:36" x14ac:dyDescent="0.25">
      <c r="A726" s="1"/>
      <c r="B726" s="2"/>
      <c r="AA726" s="3"/>
      <c r="AD726" s="3"/>
      <c r="AG726" s="3"/>
      <c r="AJ726" s="3"/>
    </row>
    <row r="727" spans="1:36" x14ac:dyDescent="0.25">
      <c r="A727" s="1"/>
      <c r="B727" s="2"/>
      <c r="AA727" s="3"/>
      <c r="AD727" s="3"/>
      <c r="AG727" s="3"/>
      <c r="AJ727" s="3"/>
    </row>
    <row r="728" spans="1:36" x14ac:dyDescent="0.25">
      <c r="A728" s="1"/>
      <c r="B728" s="2"/>
      <c r="AA728" s="3"/>
      <c r="AD728" s="3"/>
      <c r="AG728" s="3"/>
      <c r="AJ728" s="3"/>
    </row>
    <row r="729" spans="1:36" x14ac:dyDescent="0.25">
      <c r="A729" s="1"/>
      <c r="B729" s="2"/>
      <c r="AA729" s="3"/>
      <c r="AD729" s="3"/>
      <c r="AG729" s="3"/>
      <c r="AJ729" s="3"/>
    </row>
    <row r="730" spans="1:36" x14ac:dyDescent="0.25">
      <c r="A730" s="1"/>
      <c r="B730" s="2"/>
      <c r="AA730" s="3"/>
      <c r="AD730" s="3"/>
      <c r="AG730" s="3"/>
      <c r="AJ730" s="3"/>
    </row>
    <row r="731" spans="1:36" x14ac:dyDescent="0.25">
      <c r="A731" s="1"/>
      <c r="B731" s="2"/>
      <c r="AA731" s="3"/>
      <c r="AD731" s="3"/>
      <c r="AG731" s="3"/>
      <c r="AJ731" s="3"/>
    </row>
    <row r="732" spans="1:36" x14ac:dyDescent="0.25">
      <c r="A732" s="1"/>
      <c r="B732" s="2"/>
      <c r="AA732" s="3"/>
      <c r="AD732" s="3"/>
      <c r="AG732" s="3"/>
      <c r="AJ732" s="3"/>
    </row>
    <row r="733" spans="1:36" x14ac:dyDescent="0.25">
      <c r="A733" s="1"/>
      <c r="B733" s="2"/>
      <c r="AA733" s="3"/>
      <c r="AD733" s="3"/>
      <c r="AG733" s="3"/>
      <c r="AJ733" s="3"/>
    </row>
    <row r="734" spans="1:36" x14ac:dyDescent="0.25">
      <c r="A734" s="1"/>
      <c r="B734" s="2"/>
      <c r="AA734" s="3"/>
      <c r="AD734" s="3"/>
      <c r="AG734" s="3"/>
      <c r="AJ734" s="3"/>
    </row>
    <row r="735" spans="1:36" x14ac:dyDescent="0.25">
      <c r="A735" s="1"/>
      <c r="B735" s="2"/>
      <c r="AA735" s="3"/>
      <c r="AD735" s="3"/>
      <c r="AG735" s="3"/>
      <c r="AJ735" s="3"/>
    </row>
    <row r="736" spans="1:36" x14ac:dyDescent="0.25">
      <c r="A736" s="1"/>
      <c r="B736" s="2"/>
      <c r="AA736" s="3"/>
      <c r="AD736" s="3"/>
      <c r="AG736" s="3"/>
      <c r="AJ736" s="3"/>
    </row>
    <row r="737" spans="1:36" x14ac:dyDescent="0.25">
      <c r="A737" s="1"/>
      <c r="B737" s="2"/>
      <c r="AA737" s="3"/>
      <c r="AD737" s="3"/>
      <c r="AG737" s="3"/>
      <c r="AJ737" s="3"/>
    </row>
    <row r="738" spans="1:36" x14ac:dyDescent="0.25">
      <c r="A738" s="1"/>
      <c r="B738" s="2"/>
      <c r="AA738" s="3"/>
      <c r="AD738" s="3"/>
      <c r="AG738" s="3"/>
      <c r="AJ738" s="3"/>
    </row>
    <row r="739" spans="1:36" x14ac:dyDescent="0.25">
      <c r="A739" s="1"/>
      <c r="B739" s="2"/>
      <c r="AA739" s="3"/>
      <c r="AD739" s="3"/>
      <c r="AG739" s="3"/>
      <c r="AJ739" s="3"/>
    </row>
    <row r="740" spans="1:36" x14ac:dyDescent="0.25">
      <c r="A740" s="1"/>
      <c r="B740" s="2"/>
      <c r="AA740" s="3"/>
      <c r="AD740" s="3"/>
      <c r="AG740" s="3"/>
      <c r="AJ740" s="3"/>
    </row>
    <row r="741" spans="1:36" x14ac:dyDescent="0.25">
      <c r="A741" s="1"/>
      <c r="B741" s="2"/>
      <c r="AA741" s="3"/>
      <c r="AD741" s="3"/>
      <c r="AG741" s="3"/>
      <c r="AJ741" s="3"/>
    </row>
    <row r="742" spans="1:36" x14ac:dyDescent="0.25">
      <c r="A742" s="1"/>
      <c r="B742" s="2"/>
      <c r="AA742" s="3"/>
      <c r="AD742" s="3"/>
      <c r="AG742" s="3"/>
      <c r="AJ742" s="3"/>
    </row>
    <row r="743" spans="1:36" x14ac:dyDescent="0.25">
      <c r="A743" s="1"/>
      <c r="B743" s="2"/>
      <c r="AA743" s="3"/>
      <c r="AD743" s="3"/>
      <c r="AG743" s="3"/>
      <c r="AJ743" s="3"/>
    </row>
    <row r="744" spans="1:36" x14ac:dyDescent="0.25">
      <c r="A744" s="1"/>
      <c r="B744" s="2"/>
      <c r="AA744" s="3"/>
      <c r="AD744" s="3"/>
      <c r="AG744" s="3"/>
      <c r="AJ744" s="3"/>
    </row>
    <row r="745" spans="1:36" x14ac:dyDescent="0.25">
      <c r="A745" s="1"/>
      <c r="B745" s="2"/>
      <c r="AA745" s="3"/>
      <c r="AD745" s="3"/>
      <c r="AG745" s="3"/>
      <c r="AJ745" s="3"/>
    </row>
    <row r="746" spans="1:36" x14ac:dyDescent="0.25">
      <c r="A746" s="1"/>
      <c r="B746" s="2"/>
      <c r="AA746" s="3"/>
      <c r="AD746" s="3"/>
      <c r="AG746" s="3"/>
      <c r="AJ746" s="3"/>
    </row>
    <row r="747" spans="1:36" x14ac:dyDescent="0.25">
      <c r="A747" s="1"/>
      <c r="B747" s="2"/>
      <c r="AA747" s="3"/>
      <c r="AD747" s="3"/>
      <c r="AG747" s="3"/>
      <c r="AJ747" s="3"/>
    </row>
    <row r="748" spans="1:36" x14ac:dyDescent="0.25">
      <c r="A748" s="1"/>
      <c r="B748" s="2"/>
      <c r="AA748" s="3"/>
      <c r="AD748" s="3"/>
      <c r="AG748" s="3"/>
      <c r="AJ748" s="3"/>
    </row>
    <row r="749" spans="1:36" x14ac:dyDescent="0.25">
      <c r="A749" s="1"/>
      <c r="B749" s="2"/>
      <c r="AA749" s="3"/>
      <c r="AD749" s="3"/>
      <c r="AG749" s="3"/>
      <c r="AJ749" s="3"/>
    </row>
    <row r="750" spans="1:36" x14ac:dyDescent="0.25">
      <c r="A750" s="1"/>
      <c r="B750" s="2"/>
      <c r="AA750" s="3"/>
      <c r="AD750" s="3"/>
      <c r="AG750" s="3"/>
      <c r="AJ750" s="3"/>
    </row>
    <row r="751" spans="1:36" x14ac:dyDescent="0.25">
      <c r="A751" s="1"/>
      <c r="B751" s="2"/>
      <c r="AA751" s="3"/>
      <c r="AD751" s="3"/>
      <c r="AG751" s="3"/>
      <c r="AJ751" s="3"/>
    </row>
    <row r="752" spans="1:36" x14ac:dyDescent="0.25">
      <c r="A752" s="1"/>
      <c r="B752" s="2"/>
      <c r="AA752" s="3"/>
      <c r="AD752" s="3"/>
      <c r="AG752" s="3"/>
      <c r="AJ752" s="3"/>
    </row>
    <row r="753" spans="1:36" x14ac:dyDescent="0.25">
      <c r="A753" s="1"/>
      <c r="B753" s="2"/>
      <c r="AA753" s="3"/>
      <c r="AD753" s="3"/>
      <c r="AG753" s="3"/>
      <c r="AJ753" s="3"/>
    </row>
    <row r="754" spans="1:36" x14ac:dyDescent="0.25">
      <c r="A754" s="1"/>
      <c r="B754" s="2"/>
      <c r="AA754" s="3"/>
      <c r="AD754" s="3"/>
      <c r="AG754" s="3"/>
      <c r="AJ754" s="3"/>
    </row>
    <row r="755" spans="1:36" x14ac:dyDescent="0.25">
      <c r="A755" s="1"/>
      <c r="B755" s="2"/>
      <c r="AA755" s="3"/>
      <c r="AD755" s="3"/>
      <c r="AG755" s="3"/>
      <c r="AJ755" s="3"/>
    </row>
    <row r="756" spans="1:36" x14ac:dyDescent="0.25">
      <c r="A756" s="1"/>
      <c r="B756" s="2"/>
      <c r="AA756" s="3"/>
      <c r="AD756" s="3"/>
      <c r="AG756" s="3"/>
      <c r="AJ756" s="3"/>
    </row>
    <row r="757" spans="1:36" x14ac:dyDescent="0.25">
      <c r="A757" s="1"/>
      <c r="B757" s="2"/>
      <c r="AA757" s="3"/>
      <c r="AD757" s="3"/>
      <c r="AG757" s="3"/>
      <c r="AJ757" s="3"/>
    </row>
    <row r="758" spans="1:36" x14ac:dyDescent="0.25">
      <c r="A758" s="1"/>
      <c r="B758" s="2"/>
      <c r="AA758" s="3"/>
      <c r="AD758" s="3"/>
      <c r="AG758" s="3"/>
      <c r="AJ758" s="3"/>
    </row>
    <row r="759" spans="1:36" x14ac:dyDescent="0.25">
      <c r="A759" s="1"/>
      <c r="B759" s="2"/>
      <c r="AA759" s="3"/>
      <c r="AD759" s="3"/>
      <c r="AG759" s="3"/>
      <c r="AJ759" s="3"/>
    </row>
    <row r="760" spans="1:36" x14ac:dyDescent="0.25">
      <c r="A760" s="1"/>
      <c r="B760" s="2"/>
      <c r="AA760" s="3"/>
      <c r="AD760" s="3"/>
      <c r="AG760" s="3"/>
      <c r="AJ760" s="3"/>
    </row>
    <row r="761" spans="1:36" x14ac:dyDescent="0.25">
      <c r="A761" s="1"/>
      <c r="B761" s="2"/>
      <c r="AA761" s="3"/>
      <c r="AD761" s="3"/>
      <c r="AG761" s="3"/>
      <c r="AJ761" s="3"/>
    </row>
    <row r="762" spans="1:36" x14ac:dyDescent="0.25">
      <c r="A762" s="1"/>
      <c r="B762" s="2"/>
      <c r="AA762" s="3"/>
      <c r="AD762" s="3"/>
      <c r="AG762" s="3"/>
      <c r="AJ762" s="3"/>
    </row>
    <row r="763" spans="1:36" x14ac:dyDescent="0.25">
      <c r="A763" s="1"/>
      <c r="B763" s="2"/>
      <c r="AA763" s="3"/>
      <c r="AD763" s="3"/>
      <c r="AG763" s="3"/>
      <c r="AJ763" s="3"/>
    </row>
    <row r="764" spans="1:36" x14ac:dyDescent="0.25">
      <c r="A764" s="1"/>
      <c r="B764" s="2"/>
      <c r="AA764" s="3"/>
      <c r="AD764" s="3"/>
      <c r="AG764" s="3"/>
      <c r="AJ764" s="3"/>
    </row>
    <row r="765" spans="1:36" x14ac:dyDescent="0.25">
      <c r="A765" s="1"/>
      <c r="B765" s="2"/>
      <c r="AA765" s="3"/>
      <c r="AD765" s="3"/>
      <c r="AG765" s="3"/>
      <c r="AJ765" s="3"/>
    </row>
    <row r="766" spans="1:36" x14ac:dyDescent="0.25">
      <c r="A766" s="1"/>
      <c r="B766" s="2"/>
      <c r="AA766" s="3"/>
      <c r="AD766" s="3"/>
      <c r="AG766" s="3"/>
      <c r="AJ766" s="3"/>
    </row>
    <row r="767" spans="1:36" x14ac:dyDescent="0.25">
      <c r="A767" s="1"/>
      <c r="B767" s="2"/>
      <c r="AA767" s="3"/>
      <c r="AD767" s="3"/>
      <c r="AG767" s="3"/>
      <c r="AJ767" s="3"/>
    </row>
    <row r="768" spans="1:36" x14ac:dyDescent="0.25">
      <c r="A768" s="1"/>
      <c r="B768" s="2"/>
      <c r="AA768" s="3"/>
      <c r="AD768" s="3"/>
      <c r="AG768" s="3"/>
      <c r="AJ768" s="3"/>
    </row>
    <row r="769" spans="1:36" x14ac:dyDescent="0.25">
      <c r="A769" s="1"/>
      <c r="B769" s="2"/>
      <c r="AA769" s="3"/>
      <c r="AD769" s="3"/>
      <c r="AG769" s="3"/>
      <c r="AJ769" s="3"/>
    </row>
    <row r="770" spans="1:36" x14ac:dyDescent="0.25">
      <c r="A770" s="1"/>
      <c r="B770" s="2"/>
      <c r="AA770" s="3"/>
      <c r="AD770" s="3"/>
      <c r="AG770" s="3"/>
      <c r="AJ770" s="3"/>
    </row>
    <row r="771" spans="1:36" x14ac:dyDescent="0.25">
      <c r="A771" s="1"/>
      <c r="B771" s="2"/>
      <c r="AA771" s="3"/>
      <c r="AD771" s="3"/>
      <c r="AG771" s="3"/>
      <c r="AJ771" s="3"/>
    </row>
    <row r="772" spans="1:36" x14ac:dyDescent="0.25">
      <c r="A772" s="1"/>
      <c r="B772" s="2"/>
      <c r="AA772" s="3"/>
      <c r="AD772" s="3"/>
      <c r="AG772" s="3"/>
      <c r="AJ772" s="3"/>
    </row>
    <row r="773" spans="1:36" x14ac:dyDescent="0.25">
      <c r="A773" s="1"/>
      <c r="B773" s="2"/>
      <c r="AA773" s="3"/>
      <c r="AD773" s="3"/>
      <c r="AG773" s="3"/>
      <c r="AJ773" s="3"/>
    </row>
    <row r="774" spans="1:36" x14ac:dyDescent="0.25">
      <c r="A774" s="1"/>
      <c r="B774" s="2"/>
      <c r="AA774" s="3"/>
      <c r="AD774" s="3"/>
      <c r="AG774" s="3"/>
      <c r="AJ774" s="3"/>
    </row>
    <row r="775" spans="1:36" x14ac:dyDescent="0.25">
      <c r="A775" s="1"/>
      <c r="B775" s="2"/>
      <c r="AA775" s="3"/>
      <c r="AD775" s="3"/>
      <c r="AG775" s="3"/>
      <c r="AJ775" s="3"/>
    </row>
    <row r="776" spans="1:36" x14ac:dyDescent="0.25">
      <c r="A776" s="1"/>
      <c r="B776" s="2"/>
      <c r="AA776" s="3"/>
      <c r="AD776" s="3"/>
      <c r="AG776" s="3"/>
      <c r="AJ776" s="3"/>
    </row>
    <row r="777" spans="1:36" x14ac:dyDescent="0.25">
      <c r="A777" s="1"/>
      <c r="B777" s="2"/>
      <c r="AA777" s="3"/>
      <c r="AD777" s="3"/>
      <c r="AG777" s="3"/>
      <c r="AJ777" s="3"/>
    </row>
    <row r="778" spans="1:36" x14ac:dyDescent="0.25">
      <c r="A778" s="1"/>
      <c r="B778" s="2"/>
      <c r="AA778" s="3"/>
      <c r="AD778" s="3"/>
      <c r="AG778" s="3"/>
      <c r="AJ778" s="3"/>
    </row>
    <row r="779" spans="1:36" x14ac:dyDescent="0.25">
      <c r="A779" s="1"/>
      <c r="B779" s="2"/>
      <c r="AA779" s="3"/>
      <c r="AD779" s="3"/>
      <c r="AG779" s="3"/>
      <c r="AJ779" s="3"/>
    </row>
    <row r="780" spans="1:36" x14ac:dyDescent="0.25">
      <c r="A780" s="1"/>
      <c r="B780" s="2"/>
      <c r="AA780" s="3"/>
      <c r="AD780" s="3"/>
      <c r="AG780" s="3"/>
      <c r="AJ780" s="3"/>
    </row>
    <row r="781" spans="1:36" x14ac:dyDescent="0.25">
      <c r="A781" s="1"/>
      <c r="B781" s="2"/>
      <c r="AA781" s="3"/>
      <c r="AD781" s="3"/>
      <c r="AG781" s="3"/>
      <c r="AJ781" s="3"/>
    </row>
    <row r="782" spans="1:36" x14ac:dyDescent="0.25">
      <c r="A782" s="1"/>
      <c r="B782" s="2"/>
      <c r="AA782" s="3"/>
      <c r="AD782" s="3"/>
      <c r="AG782" s="3"/>
      <c r="AJ782" s="3"/>
    </row>
    <row r="783" spans="1:36" x14ac:dyDescent="0.25">
      <c r="A783" s="1"/>
      <c r="B783" s="2"/>
      <c r="AA783" s="3"/>
      <c r="AD783" s="3"/>
      <c r="AG783" s="3"/>
      <c r="AJ783" s="3"/>
    </row>
    <row r="784" spans="1:36" x14ac:dyDescent="0.25">
      <c r="A784" s="1"/>
      <c r="B784" s="2"/>
      <c r="AA784" s="3"/>
      <c r="AD784" s="3"/>
      <c r="AG784" s="3"/>
      <c r="AJ784" s="3"/>
    </row>
    <row r="785" spans="1:36" x14ac:dyDescent="0.25">
      <c r="A785" s="1"/>
      <c r="B785" s="2"/>
      <c r="AA785" s="3"/>
      <c r="AD785" s="3"/>
      <c r="AG785" s="3"/>
      <c r="AJ785" s="3"/>
    </row>
    <row r="786" spans="1:36" x14ac:dyDescent="0.25">
      <c r="A786" s="1"/>
      <c r="B786" s="2"/>
      <c r="AA786" s="3"/>
      <c r="AD786" s="3"/>
      <c r="AG786" s="3"/>
      <c r="AJ786" s="3"/>
    </row>
    <row r="787" spans="1:36" x14ac:dyDescent="0.25">
      <c r="A787" s="1"/>
      <c r="B787" s="2"/>
      <c r="AA787" s="3"/>
      <c r="AD787" s="3"/>
      <c r="AG787" s="3"/>
      <c r="AJ787" s="3"/>
    </row>
    <row r="788" spans="1:36" x14ac:dyDescent="0.25">
      <c r="A788" s="1"/>
      <c r="B788" s="2"/>
      <c r="AA788" s="3"/>
      <c r="AD788" s="3"/>
      <c r="AG788" s="3"/>
      <c r="AJ788" s="3"/>
    </row>
    <row r="789" spans="1:36" x14ac:dyDescent="0.25">
      <c r="A789" s="1"/>
      <c r="B789" s="2"/>
      <c r="AA789" s="3"/>
      <c r="AD789" s="3"/>
      <c r="AG789" s="3"/>
      <c r="AJ789" s="3"/>
    </row>
    <row r="790" spans="1:36" x14ac:dyDescent="0.25">
      <c r="A790" s="1"/>
      <c r="B790" s="2"/>
      <c r="AA790" s="3"/>
      <c r="AD790" s="3"/>
      <c r="AG790" s="3"/>
      <c r="AJ790" s="3"/>
    </row>
    <row r="791" spans="1:36" x14ac:dyDescent="0.25">
      <c r="A791" s="1"/>
      <c r="B791" s="2"/>
      <c r="AA791" s="3"/>
      <c r="AD791" s="3"/>
      <c r="AG791" s="3"/>
      <c r="AJ791" s="3"/>
    </row>
    <row r="792" spans="1:36" x14ac:dyDescent="0.25">
      <c r="A792" s="1"/>
      <c r="B792" s="2"/>
      <c r="AA792" s="3"/>
      <c r="AD792" s="3"/>
      <c r="AG792" s="3"/>
      <c r="AJ792" s="3"/>
    </row>
    <row r="793" spans="1:36" x14ac:dyDescent="0.25">
      <c r="A793" s="1"/>
      <c r="B793" s="2"/>
      <c r="AA793" s="3"/>
      <c r="AD793" s="3"/>
      <c r="AG793" s="3"/>
      <c r="AJ793" s="3"/>
    </row>
    <row r="794" spans="1:36" x14ac:dyDescent="0.25">
      <c r="A794" s="1"/>
      <c r="B794" s="2"/>
      <c r="AA794" s="3"/>
      <c r="AD794" s="3"/>
      <c r="AG794" s="3"/>
      <c r="AJ794" s="3"/>
    </row>
    <row r="795" spans="1:36" x14ac:dyDescent="0.25">
      <c r="A795" s="1"/>
      <c r="B795" s="2"/>
      <c r="AA795" s="3"/>
      <c r="AD795" s="3"/>
      <c r="AG795" s="3"/>
      <c r="AJ795" s="3"/>
    </row>
    <row r="796" spans="1:36" x14ac:dyDescent="0.25">
      <c r="A796" s="1"/>
      <c r="B796" s="2"/>
      <c r="AA796" s="3"/>
      <c r="AD796" s="3"/>
      <c r="AG796" s="3"/>
      <c r="AJ796" s="3"/>
    </row>
    <row r="797" spans="1:36" x14ac:dyDescent="0.25">
      <c r="A797" s="1"/>
      <c r="B797" s="2"/>
      <c r="AA797" s="3"/>
      <c r="AD797" s="3"/>
      <c r="AG797" s="3"/>
      <c r="AJ797" s="3"/>
    </row>
    <row r="798" spans="1:36" x14ac:dyDescent="0.25">
      <c r="A798" s="1"/>
      <c r="B798" s="2"/>
      <c r="AA798" s="3"/>
      <c r="AD798" s="3"/>
      <c r="AG798" s="3"/>
      <c r="AJ798" s="3"/>
    </row>
    <row r="799" spans="1:36" x14ac:dyDescent="0.25">
      <c r="A799" s="1"/>
      <c r="B799" s="2"/>
      <c r="AA799" s="3"/>
      <c r="AD799" s="3"/>
      <c r="AG799" s="3"/>
      <c r="AJ799" s="3"/>
    </row>
    <row r="800" spans="1:36" x14ac:dyDescent="0.25">
      <c r="A800" s="1"/>
      <c r="B800" s="2"/>
      <c r="AA800" s="3"/>
      <c r="AD800" s="3"/>
      <c r="AG800" s="3"/>
      <c r="AJ800" s="3"/>
    </row>
    <row r="801" spans="1:36" x14ac:dyDescent="0.25">
      <c r="A801" s="1"/>
      <c r="B801" s="2"/>
      <c r="AA801" s="3"/>
      <c r="AD801" s="3"/>
      <c r="AG801" s="3"/>
      <c r="AJ801" s="3"/>
    </row>
    <row r="802" spans="1:36" x14ac:dyDescent="0.25">
      <c r="A802" s="1"/>
      <c r="B802" s="2"/>
      <c r="AA802" s="3"/>
      <c r="AD802" s="3"/>
      <c r="AG802" s="3"/>
      <c r="AJ802" s="3"/>
    </row>
    <row r="803" spans="1:36" x14ac:dyDescent="0.25">
      <c r="A803" s="1"/>
      <c r="B803" s="2"/>
      <c r="AA803" s="3"/>
      <c r="AD803" s="3"/>
      <c r="AG803" s="3"/>
      <c r="AJ803" s="3"/>
    </row>
    <row r="804" spans="1:36" x14ac:dyDescent="0.25">
      <c r="A804" s="1"/>
      <c r="B804" s="2"/>
      <c r="AA804" s="3"/>
      <c r="AD804" s="3"/>
      <c r="AG804" s="3"/>
      <c r="AJ804" s="3"/>
    </row>
    <row r="805" spans="1:36" x14ac:dyDescent="0.25">
      <c r="A805" s="1"/>
      <c r="B805" s="2"/>
      <c r="AA805" s="3"/>
      <c r="AD805" s="3"/>
      <c r="AG805" s="3"/>
      <c r="AJ805" s="3"/>
    </row>
    <row r="806" spans="1:36" x14ac:dyDescent="0.25">
      <c r="A806" s="1"/>
      <c r="B806" s="2"/>
      <c r="AA806" s="3"/>
      <c r="AD806" s="3"/>
      <c r="AG806" s="3"/>
      <c r="AJ806" s="3"/>
    </row>
    <row r="807" spans="1:36" x14ac:dyDescent="0.25">
      <c r="A807" s="1"/>
      <c r="B807" s="2"/>
      <c r="AA807" s="3"/>
      <c r="AD807" s="3"/>
      <c r="AG807" s="3"/>
      <c r="AJ807" s="3"/>
    </row>
    <row r="808" spans="1:36" x14ac:dyDescent="0.25">
      <c r="A808" s="1"/>
      <c r="B808" s="2"/>
      <c r="AA808" s="3"/>
      <c r="AD808" s="3"/>
      <c r="AG808" s="3"/>
      <c r="AJ808" s="3"/>
    </row>
    <row r="809" spans="1:36" x14ac:dyDescent="0.25">
      <c r="A809" s="1"/>
      <c r="B809" s="2"/>
      <c r="AA809" s="3"/>
      <c r="AD809" s="3"/>
      <c r="AG809" s="3"/>
      <c r="AJ809" s="3"/>
    </row>
    <row r="810" spans="1:36" x14ac:dyDescent="0.25">
      <c r="A810" s="1"/>
      <c r="B810" s="2"/>
      <c r="AA810" s="3"/>
      <c r="AD810" s="3"/>
      <c r="AG810" s="3"/>
      <c r="AJ810" s="3"/>
    </row>
    <row r="811" spans="1:36" x14ac:dyDescent="0.25">
      <c r="A811" s="1"/>
      <c r="B811" s="2"/>
      <c r="AA811" s="3"/>
      <c r="AD811" s="3"/>
      <c r="AG811" s="3"/>
      <c r="AJ811" s="3"/>
    </row>
    <row r="812" spans="1:36" x14ac:dyDescent="0.25">
      <c r="A812" s="1"/>
      <c r="B812" s="2"/>
      <c r="AA812" s="3"/>
      <c r="AD812" s="3"/>
      <c r="AG812" s="3"/>
      <c r="AJ812" s="3"/>
    </row>
    <row r="813" spans="1:36" x14ac:dyDescent="0.25">
      <c r="A813" s="1"/>
      <c r="B813" s="2"/>
      <c r="AA813" s="3"/>
      <c r="AD813" s="3"/>
      <c r="AG813" s="3"/>
      <c r="AJ813" s="3"/>
    </row>
    <row r="814" spans="1:36" x14ac:dyDescent="0.25">
      <c r="A814" s="1"/>
      <c r="B814" s="2"/>
      <c r="AA814" s="3"/>
      <c r="AD814" s="3"/>
      <c r="AG814" s="3"/>
      <c r="AJ814" s="3"/>
    </row>
    <row r="815" spans="1:36" x14ac:dyDescent="0.25">
      <c r="A815" s="1"/>
      <c r="B815" s="2"/>
      <c r="AA815" s="3"/>
      <c r="AD815" s="3"/>
      <c r="AG815" s="3"/>
      <c r="AJ815" s="3"/>
    </row>
    <row r="816" spans="1:36" x14ac:dyDescent="0.25">
      <c r="A816" s="1"/>
      <c r="B816" s="2"/>
      <c r="AA816" s="3"/>
      <c r="AD816" s="3"/>
      <c r="AG816" s="3"/>
      <c r="AJ816" s="3"/>
    </row>
    <row r="817" spans="1:36" x14ac:dyDescent="0.25">
      <c r="A817" s="1"/>
      <c r="B817" s="2"/>
      <c r="AA817" s="3"/>
      <c r="AD817" s="3"/>
      <c r="AG817" s="3"/>
      <c r="AJ817" s="3"/>
    </row>
    <row r="818" spans="1:36" x14ac:dyDescent="0.25">
      <c r="A818" s="1"/>
      <c r="B818" s="2"/>
      <c r="AA818" s="3"/>
      <c r="AD818" s="3"/>
      <c r="AG818" s="3"/>
      <c r="AJ818" s="3"/>
    </row>
    <row r="819" spans="1:36" x14ac:dyDescent="0.25">
      <c r="A819" s="1"/>
      <c r="B819" s="2"/>
      <c r="AA819" s="3"/>
      <c r="AD819" s="3"/>
      <c r="AG819" s="3"/>
      <c r="AJ819" s="3"/>
    </row>
    <row r="820" spans="1:36" x14ac:dyDescent="0.25">
      <c r="A820" s="1"/>
      <c r="B820" s="2"/>
      <c r="AA820" s="3"/>
      <c r="AD820" s="3"/>
      <c r="AG820" s="3"/>
      <c r="AJ820" s="3"/>
    </row>
    <row r="821" spans="1:36" x14ac:dyDescent="0.25">
      <c r="A821" s="1"/>
      <c r="B821" s="2"/>
      <c r="AA821" s="3"/>
      <c r="AD821" s="3"/>
      <c r="AG821" s="3"/>
      <c r="AJ821" s="3"/>
    </row>
    <row r="822" spans="1:36" x14ac:dyDescent="0.25">
      <c r="A822" s="1"/>
      <c r="B822" s="2"/>
      <c r="AA822" s="3"/>
      <c r="AD822" s="3"/>
      <c r="AG822" s="3"/>
      <c r="AJ822" s="3"/>
    </row>
    <row r="823" spans="1:36" x14ac:dyDescent="0.25">
      <c r="A823" s="1"/>
      <c r="B823" s="2"/>
      <c r="AA823" s="3"/>
      <c r="AD823" s="3"/>
      <c r="AG823" s="3"/>
      <c r="AJ823" s="3"/>
    </row>
    <row r="824" spans="1:36" x14ac:dyDescent="0.25">
      <c r="A824" s="1"/>
      <c r="B824" s="2"/>
      <c r="AA824" s="3"/>
      <c r="AD824" s="3"/>
      <c r="AG824" s="3"/>
      <c r="AJ824" s="3"/>
    </row>
    <row r="825" spans="1:36" x14ac:dyDescent="0.25">
      <c r="A825" s="1"/>
      <c r="B825" s="2"/>
      <c r="AA825" s="3"/>
      <c r="AD825" s="3"/>
      <c r="AG825" s="3"/>
      <c r="AJ825" s="3"/>
    </row>
    <row r="826" spans="1:36" x14ac:dyDescent="0.25">
      <c r="A826" s="1"/>
      <c r="B826" s="2"/>
      <c r="AA826" s="3"/>
      <c r="AD826" s="3"/>
      <c r="AG826" s="3"/>
      <c r="AJ826" s="3"/>
    </row>
    <row r="827" spans="1:36" x14ac:dyDescent="0.25">
      <c r="A827" s="1"/>
      <c r="B827" s="2"/>
      <c r="AA827" s="3"/>
      <c r="AD827" s="3"/>
      <c r="AG827" s="3"/>
      <c r="AJ827" s="3"/>
    </row>
    <row r="828" spans="1:36" x14ac:dyDescent="0.25">
      <c r="A828" s="1"/>
      <c r="B828" s="2"/>
      <c r="AA828" s="3"/>
      <c r="AD828" s="3"/>
      <c r="AG828" s="3"/>
      <c r="AJ828" s="3"/>
    </row>
    <row r="829" spans="1:36" x14ac:dyDescent="0.25">
      <c r="A829" s="1"/>
      <c r="B829" s="2"/>
      <c r="AA829" s="3"/>
      <c r="AD829" s="3"/>
      <c r="AG829" s="3"/>
      <c r="AJ829" s="3"/>
    </row>
    <row r="830" spans="1:36" x14ac:dyDescent="0.25">
      <c r="A830" s="1"/>
      <c r="B830" s="2"/>
      <c r="AA830" s="3"/>
      <c r="AD830" s="3"/>
      <c r="AG830" s="3"/>
      <c r="AJ830" s="3"/>
    </row>
    <row r="831" spans="1:36" x14ac:dyDescent="0.25">
      <c r="A831" s="1"/>
      <c r="B831" s="2"/>
      <c r="AA831" s="3"/>
      <c r="AD831" s="3"/>
      <c r="AG831" s="3"/>
      <c r="AJ831" s="3"/>
    </row>
    <row r="832" spans="1:36" x14ac:dyDescent="0.25">
      <c r="A832" s="1"/>
      <c r="B832" s="2"/>
      <c r="AA832" s="3"/>
      <c r="AD832" s="3"/>
      <c r="AG832" s="3"/>
      <c r="AJ832" s="3"/>
    </row>
    <row r="833" spans="1:36" x14ac:dyDescent="0.25">
      <c r="A833" s="1"/>
      <c r="B833" s="2"/>
      <c r="AA833" s="3"/>
      <c r="AD833" s="3"/>
      <c r="AG833" s="3"/>
      <c r="AJ833" s="3"/>
    </row>
    <row r="834" spans="1:36" x14ac:dyDescent="0.25">
      <c r="A834" s="1"/>
      <c r="B834" s="2"/>
      <c r="AA834" s="3"/>
      <c r="AD834" s="3"/>
      <c r="AG834" s="3"/>
      <c r="AJ834" s="3"/>
    </row>
    <row r="835" spans="1:36" x14ac:dyDescent="0.25">
      <c r="A835" s="1"/>
      <c r="B835" s="2"/>
      <c r="AA835" s="3"/>
      <c r="AD835" s="3"/>
      <c r="AG835" s="3"/>
      <c r="AJ835" s="3"/>
    </row>
    <row r="836" spans="1:36" x14ac:dyDescent="0.25">
      <c r="A836" s="1"/>
      <c r="B836" s="2"/>
      <c r="AA836" s="3"/>
      <c r="AD836" s="3"/>
      <c r="AG836" s="3"/>
      <c r="AJ836" s="3"/>
    </row>
    <row r="837" spans="1:36" x14ac:dyDescent="0.25">
      <c r="A837" s="1"/>
      <c r="B837" s="2"/>
      <c r="AA837" s="3"/>
      <c r="AD837" s="3"/>
      <c r="AG837" s="3"/>
      <c r="AJ837" s="3"/>
    </row>
    <row r="838" spans="1:36" x14ac:dyDescent="0.25">
      <c r="A838" s="1"/>
      <c r="B838" s="2"/>
      <c r="AA838" s="3"/>
      <c r="AD838" s="3"/>
      <c r="AG838" s="3"/>
      <c r="AJ838" s="3"/>
    </row>
    <row r="839" spans="1:36" x14ac:dyDescent="0.25">
      <c r="A839" s="1"/>
      <c r="B839" s="2"/>
      <c r="AA839" s="3"/>
      <c r="AD839" s="3"/>
      <c r="AG839" s="3"/>
      <c r="AJ839" s="3"/>
    </row>
    <row r="840" spans="1:36" x14ac:dyDescent="0.25">
      <c r="A840" s="1"/>
      <c r="B840" s="2"/>
      <c r="AA840" s="3"/>
      <c r="AD840" s="3"/>
      <c r="AG840" s="3"/>
      <c r="AJ840" s="3"/>
    </row>
    <row r="841" spans="1:36" x14ac:dyDescent="0.25">
      <c r="A841" s="1"/>
      <c r="B841" s="2"/>
      <c r="AA841" s="3"/>
      <c r="AD841" s="3"/>
      <c r="AG841" s="3"/>
      <c r="AJ841" s="3"/>
    </row>
    <row r="842" spans="1:36" x14ac:dyDescent="0.25">
      <c r="A842" s="1"/>
      <c r="B842" s="2"/>
      <c r="AA842" s="3"/>
      <c r="AD842" s="3"/>
      <c r="AG842" s="3"/>
      <c r="AJ842" s="3"/>
    </row>
    <row r="843" spans="1:36" x14ac:dyDescent="0.25">
      <c r="A843" s="1"/>
      <c r="B843" s="2"/>
      <c r="AA843" s="3"/>
      <c r="AD843" s="3"/>
      <c r="AG843" s="3"/>
      <c r="AJ843" s="3"/>
    </row>
    <row r="844" spans="1:36" x14ac:dyDescent="0.25">
      <c r="A844" s="1"/>
      <c r="B844" s="2"/>
      <c r="AA844" s="3"/>
      <c r="AD844" s="3"/>
      <c r="AG844" s="3"/>
      <c r="AJ844" s="3"/>
    </row>
    <row r="845" spans="1:36" x14ac:dyDescent="0.25">
      <c r="A845" s="1"/>
      <c r="B845" s="2"/>
      <c r="AA845" s="3"/>
      <c r="AD845" s="3"/>
      <c r="AG845" s="3"/>
      <c r="AJ845" s="3"/>
    </row>
    <row r="846" spans="1:36" x14ac:dyDescent="0.25">
      <c r="A846" s="1"/>
      <c r="B846" s="2"/>
      <c r="AA846" s="3"/>
      <c r="AD846" s="3"/>
      <c r="AG846" s="3"/>
      <c r="AJ846" s="3"/>
    </row>
    <row r="847" spans="1:36" x14ac:dyDescent="0.25">
      <c r="A847" s="1"/>
      <c r="B847" s="2"/>
      <c r="AA847" s="3"/>
      <c r="AD847" s="3"/>
      <c r="AG847" s="3"/>
      <c r="AJ847" s="3"/>
    </row>
    <row r="848" spans="1:36" x14ac:dyDescent="0.25">
      <c r="A848" s="1"/>
      <c r="B848" s="2"/>
      <c r="AA848" s="3"/>
      <c r="AD848" s="3"/>
      <c r="AG848" s="3"/>
      <c r="AJ848" s="3"/>
    </row>
    <row r="849" spans="1:36" x14ac:dyDescent="0.25">
      <c r="A849" s="1"/>
      <c r="B849" s="2"/>
      <c r="AA849" s="3"/>
      <c r="AD849" s="3"/>
      <c r="AG849" s="3"/>
      <c r="AJ849" s="3"/>
    </row>
    <row r="850" spans="1:36" x14ac:dyDescent="0.25">
      <c r="A850" s="1"/>
      <c r="B850" s="2"/>
      <c r="AA850" s="3"/>
      <c r="AD850" s="3"/>
      <c r="AG850" s="3"/>
      <c r="AJ850" s="3"/>
    </row>
    <row r="851" spans="1:36" x14ac:dyDescent="0.25">
      <c r="A851" s="1"/>
      <c r="B851" s="2"/>
      <c r="AA851" s="3"/>
      <c r="AD851" s="3"/>
      <c r="AG851" s="3"/>
      <c r="AJ851" s="3"/>
    </row>
    <row r="852" spans="1:36" x14ac:dyDescent="0.25">
      <c r="A852" s="1"/>
      <c r="B852" s="2"/>
      <c r="AA852" s="3"/>
      <c r="AD852" s="3"/>
      <c r="AG852" s="3"/>
      <c r="AJ852" s="3"/>
    </row>
    <row r="853" spans="1:36" x14ac:dyDescent="0.25">
      <c r="A853" s="1"/>
      <c r="B853" s="2"/>
      <c r="AA853" s="3"/>
      <c r="AD853" s="3"/>
      <c r="AG853" s="3"/>
      <c r="AJ853" s="3"/>
    </row>
    <row r="854" spans="1:36" x14ac:dyDescent="0.25">
      <c r="A854" s="1"/>
      <c r="B854" s="2"/>
      <c r="AA854" s="3"/>
      <c r="AD854" s="3"/>
      <c r="AG854" s="3"/>
      <c r="AJ854" s="3"/>
    </row>
    <row r="855" spans="1:36" x14ac:dyDescent="0.25">
      <c r="A855" s="1"/>
      <c r="B855" s="2"/>
      <c r="AA855" s="3"/>
      <c r="AD855" s="3"/>
      <c r="AG855" s="3"/>
      <c r="AJ855" s="3"/>
    </row>
    <row r="856" spans="1:36" x14ac:dyDescent="0.25">
      <c r="A856" s="1"/>
      <c r="B856" s="2"/>
      <c r="AA856" s="3"/>
      <c r="AD856" s="3"/>
      <c r="AG856" s="3"/>
      <c r="AJ856" s="3"/>
    </row>
    <row r="857" spans="1:36" x14ac:dyDescent="0.25">
      <c r="A857" s="1"/>
      <c r="B857" s="2"/>
      <c r="AA857" s="3"/>
      <c r="AD857" s="3"/>
      <c r="AG857" s="3"/>
      <c r="AJ857" s="3"/>
    </row>
    <row r="858" spans="1:36" x14ac:dyDescent="0.25">
      <c r="A858" s="1"/>
      <c r="B858" s="2"/>
      <c r="AA858" s="3"/>
      <c r="AD858" s="3"/>
      <c r="AG858" s="3"/>
      <c r="AJ858" s="3"/>
    </row>
    <row r="859" spans="1:36" x14ac:dyDescent="0.25">
      <c r="A859" s="1"/>
      <c r="B859" s="2"/>
      <c r="AA859" s="3"/>
      <c r="AD859" s="3"/>
      <c r="AG859" s="3"/>
      <c r="AJ859" s="3"/>
    </row>
    <row r="860" spans="1:36" x14ac:dyDescent="0.25">
      <c r="A860" s="1"/>
      <c r="B860" s="2"/>
      <c r="AA860" s="3"/>
      <c r="AD860" s="3"/>
      <c r="AG860" s="3"/>
      <c r="AJ860" s="3"/>
    </row>
    <row r="861" spans="1:36" x14ac:dyDescent="0.25">
      <c r="A861" s="1"/>
      <c r="B861" s="2"/>
      <c r="AA861" s="3"/>
      <c r="AD861" s="3"/>
      <c r="AG861" s="3"/>
      <c r="AJ861" s="3"/>
    </row>
    <row r="862" spans="1:36" x14ac:dyDescent="0.25">
      <c r="A862" s="1"/>
      <c r="B862" s="2"/>
      <c r="AA862" s="3"/>
      <c r="AD862" s="3"/>
      <c r="AG862" s="3"/>
      <c r="AJ862" s="3"/>
    </row>
    <row r="863" spans="1:36" x14ac:dyDescent="0.25">
      <c r="A863" s="1"/>
      <c r="B863" s="2"/>
      <c r="AA863" s="3"/>
      <c r="AD863" s="3"/>
      <c r="AG863" s="3"/>
      <c r="AJ863" s="3"/>
    </row>
    <row r="864" spans="1:36" x14ac:dyDescent="0.25">
      <c r="A864" s="1"/>
      <c r="B864" s="2"/>
      <c r="AA864" s="3"/>
      <c r="AD864" s="3"/>
      <c r="AG864" s="3"/>
      <c r="AJ864" s="3"/>
    </row>
    <row r="865" spans="1:36" x14ac:dyDescent="0.25">
      <c r="A865" s="1"/>
      <c r="B865" s="2"/>
      <c r="AA865" s="3"/>
      <c r="AD865" s="3"/>
      <c r="AG865" s="3"/>
      <c r="AJ865" s="3"/>
    </row>
    <row r="866" spans="1:36" x14ac:dyDescent="0.25">
      <c r="A866" s="1"/>
      <c r="B866" s="2"/>
      <c r="AA866" s="3"/>
      <c r="AD866" s="3"/>
      <c r="AG866" s="3"/>
      <c r="AJ866" s="3"/>
    </row>
    <row r="867" spans="1:36" x14ac:dyDescent="0.25">
      <c r="A867" s="1"/>
      <c r="B867" s="2"/>
      <c r="AA867" s="3"/>
      <c r="AD867" s="3"/>
      <c r="AG867" s="3"/>
      <c r="AJ867" s="3"/>
    </row>
    <row r="868" spans="1:36" x14ac:dyDescent="0.25">
      <c r="A868" s="1"/>
      <c r="B868" s="2"/>
      <c r="AA868" s="3"/>
      <c r="AD868" s="3"/>
      <c r="AG868" s="3"/>
      <c r="AJ868" s="3"/>
    </row>
    <row r="869" spans="1:36" x14ac:dyDescent="0.25">
      <c r="A869" s="1"/>
      <c r="B869" s="2"/>
      <c r="AA869" s="3"/>
      <c r="AD869" s="3"/>
      <c r="AG869" s="3"/>
      <c r="AJ869" s="3"/>
    </row>
    <row r="870" spans="1:36" x14ac:dyDescent="0.25">
      <c r="A870" s="1"/>
      <c r="B870" s="2"/>
      <c r="AA870" s="3"/>
      <c r="AD870" s="3"/>
      <c r="AG870" s="3"/>
      <c r="AJ870" s="3"/>
    </row>
    <row r="871" spans="1:36" x14ac:dyDescent="0.25">
      <c r="A871" s="1"/>
      <c r="B871" s="2"/>
      <c r="AA871" s="3"/>
      <c r="AD871" s="3"/>
      <c r="AG871" s="3"/>
      <c r="AJ871" s="3"/>
    </row>
    <row r="872" spans="1:36" x14ac:dyDescent="0.25">
      <c r="A872" s="1"/>
      <c r="B872" s="2"/>
      <c r="AA872" s="3"/>
      <c r="AD872" s="3"/>
      <c r="AG872" s="3"/>
      <c r="AJ872" s="3"/>
    </row>
    <row r="873" spans="1:36" x14ac:dyDescent="0.25">
      <c r="A873" s="1"/>
      <c r="B873" s="2"/>
      <c r="AA873" s="3"/>
      <c r="AD873" s="3"/>
      <c r="AG873" s="3"/>
      <c r="AJ873" s="3"/>
    </row>
    <row r="874" spans="1:36" x14ac:dyDescent="0.25">
      <c r="A874" s="1"/>
      <c r="B874" s="2"/>
      <c r="AA874" s="3"/>
      <c r="AD874" s="3"/>
      <c r="AG874" s="3"/>
      <c r="AJ874" s="3"/>
    </row>
    <row r="875" spans="1:36" x14ac:dyDescent="0.25">
      <c r="A875" s="1"/>
      <c r="B875" s="2"/>
      <c r="AA875" s="3"/>
      <c r="AD875" s="3"/>
      <c r="AG875" s="3"/>
      <c r="AJ875" s="3"/>
    </row>
    <row r="876" spans="1:36" x14ac:dyDescent="0.25">
      <c r="A876" s="1"/>
      <c r="B876" s="2"/>
      <c r="AA876" s="3"/>
      <c r="AD876" s="3"/>
      <c r="AG876" s="3"/>
      <c r="AJ876" s="3"/>
    </row>
    <row r="877" spans="1:36" x14ac:dyDescent="0.25">
      <c r="A877" s="1"/>
      <c r="B877" s="2"/>
      <c r="AA877" s="3"/>
      <c r="AD877" s="3"/>
      <c r="AG877" s="3"/>
      <c r="AJ877" s="3"/>
    </row>
    <row r="878" spans="1:36" x14ac:dyDescent="0.25">
      <c r="A878" s="1"/>
      <c r="B878" s="2"/>
      <c r="AA878" s="3"/>
      <c r="AD878" s="3"/>
      <c r="AG878" s="3"/>
      <c r="AJ878" s="3"/>
    </row>
    <row r="879" spans="1:36" x14ac:dyDescent="0.25">
      <c r="A879" s="1"/>
      <c r="B879" s="2"/>
      <c r="AA879" s="3"/>
      <c r="AD879" s="3"/>
      <c r="AG879" s="3"/>
      <c r="AJ879" s="3"/>
    </row>
    <row r="880" spans="1:36" x14ac:dyDescent="0.25">
      <c r="A880" s="1"/>
      <c r="B880" s="2"/>
      <c r="AA880" s="3"/>
      <c r="AD880" s="3"/>
      <c r="AG880" s="3"/>
      <c r="AJ880" s="3"/>
    </row>
    <row r="881" spans="1:36" x14ac:dyDescent="0.25">
      <c r="A881" s="1"/>
      <c r="B881" s="2"/>
      <c r="AA881" s="3"/>
      <c r="AD881" s="3"/>
      <c r="AG881" s="3"/>
      <c r="AJ881" s="3"/>
    </row>
    <row r="882" spans="1:36" x14ac:dyDescent="0.25">
      <c r="A882" s="1"/>
      <c r="B882" s="2"/>
      <c r="AA882" s="3"/>
      <c r="AD882" s="3"/>
      <c r="AG882" s="3"/>
      <c r="AJ882" s="3"/>
    </row>
    <row r="883" spans="1:36" x14ac:dyDescent="0.25">
      <c r="A883" s="1"/>
      <c r="B883" s="2"/>
      <c r="AA883" s="3"/>
      <c r="AD883" s="3"/>
      <c r="AG883" s="3"/>
      <c r="AJ883" s="3"/>
    </row>
    <row r="884" spans="1:36" x14ac:dyDescent="0.25">
      <c r="A884" s="1"/>
      <c r="B884" s="2"/>
      <c r="AA884" s="3"/>
      <c r="AD884" s="3"/>
      <c r="AG884" s="3"/>
      <c r="AJ884" s="3"/>
    </row>
    <row r="885" spans="1:36" x14ac:dyDescent="0.25">
      <c r="A885" s="1"/>
      <c r="B885" s="2"/>
      <c r="AA885" s="3"/>
      <c r="AD885" s="3"/>
      <c r="AG885" s="3"/>
      <c r="AJ885" s="3"/>
    </row>
    <row r="886" spans="1:36" x14ac:dyDescent="0.25">
      <c r="A886" s="1"/>
      <c r="B886" s="2"/>
      <c r="AA886" s="3"/>
      <c r="AD886" s="3"/>
      <c r="AG886" s="3"/>
      <c r="AJ886" s="3"/>
    </row>
    <row r="887" spans="1:36" x14ac:dyDescent="0.25">
      <c r="A887" s="1"/>
      <c r="B887" s="2"/>
      <c r="AA887" s="3"/>
      <c r="AD887" s="3"/>
      <c r="AG887" s="3"/>
      <c r="AJ887" s="3"/>
    </row>
    <row r="888" spans="1:36" x14ac:dyDescent="0.25">
      <c r="A888" s="1"/>
      <c r="B888" s="2"/>
      <c r="AA888" s="3"/>
      <c r="AD888" s="3"/>
      <c r="AG888" s="3"/>
      <c r="AJ888" s="3"/>
    </row>
    <row r="889" spans="1:36" x14ac:dyDescent="0.25">
      <c r="A889" s="1"/>
      <c r="B889" s="2"/>
      <c r="AA889" s="3"/>
      <c r="AD889" s="3"/>
      <c r="AG889" s="3"/>
      <c r="AJ889" s="3"/>
    </row>
    <row r="890" spans="1:36" x14ac:dyDescent="0.25">
      <c r="A890" s="1"/>
      <c r="B890" s="2"/>
      <c r="AA890" s="3"/>
      <c r="AD890" s="3"/>
      <c r="AG890" s="3"/>
      <c r="AJ890" s="3"/>
    </row>
    <row r="891" spans="1:36" x14ac:dyDescent="0.25">
      <c r="A891" s="1"/>
      <c r="B891" s="2"/>
      <c r="AA891" s="3"/>
      <c r="AD891" s="3"/>
      <c r="AG891" s="3"/>
      <c r="AJ891" s="3"/>
    </row>
    <row r="892" spans="1:36" x14ac:dyDescent="0.25">
      <c r="A892" s="1"/>
      <c r="B892" s="2"/>
      <c r="AA892" s="3"/>
      <c r="AD892" s="3"/>
      <c r="AG892" s="3"/>
      <c r="AJ892" s="3"/>
    </row>
    <row r="893" spans="1:36" x14ac:dyDescent="0.25">
      <c r="A893" s="1"/>
      <c r="B893" s="2"/>
      <c r="AA893" s="3"/>
      <c r="AD893" s="3"/>
      <c r="AG893" s="3"/>
      <c r="AJ893" s="3"/>
    </row>
    <row r="894" spans="1:36" x14ac:dyDescent="0.25">
      <c r="A894" s="1"/>
      <c r="B894" s="2"/>
      <c r="AA894" s="3"/>
      <c r="AD894" s="3"/>
      <c r="AG894" s="3"/>
      <c r="AJ894" s="3"/>
    </row>
    <row r="895" spans="1:36" x14ac:dyDescent="0.25">
      <c r="A895" s="1"/>
      <c r="B895" s="2"/>
      <c r="AA895" s="3"/>
      <c r="AD895" s="3"/>
      <c r="AG895" s="3"/>
      <c r="AJ895" s="3"/>
    </row>
    <row r="896" spans="1:36" x14ac:dyDescent="0.25">
      <c r="A896" s="1"/>
      <c r="B896" s="2"/>
      <c r="AA896" s="3"/>
      <c r="AD896" s="3"/>
      <c r="AG896" s="3"/>
      <c r="AJ896" s="3"/>
    </row>
    <row r="897" spans="1:36" x14ac:dyDescent="0.25">
      <c r="A897" s="1"/>
      <c r="B897" s="2"/>
      <c r="AA897" s="3"/>
      <c r="AD897" s="3"/>
      <c r="AG897" s="3"/>
      <c r="AJ897" s="3"/>
    </row>
    <row r="898" spans="1:36" x14ac:dyDescent="0.25">
      <c r="A898" s="1"/>
      <c r="B898" s="2"/>
      <c r="AA898" s="3"/>
      <c r="AD898" s="3"/>
      <c r="AG898" s="3"/>
      <c r="AJ898" s="3"/>
    </row>
    <row r="899" spans="1:36" x14ac:dyDescent="0.25">
      <c r="A899" s="1"/>
      <c r="B899" s="2"/>
      <c r="AA899" s="3"/>
      <c r="AD899" s="3"/>
      <c r="AG899" s="3"/>
      <c r="AJ899" s="3"/>
    </row>
    <row r="900" spans="1:36" x14ac:dyDescent="0.25">
      <c r="A900" s="1"/>
      <c r="B900" s="2"/>
      <c r="AA900" s="3"/>
      <c r="AD900" s="3"/>
      <c r="AG900" s="3"/>
      <c r="AJ900" s="3"/>
    </row>
    <row r="901" spans="1:36" x14ac:dyDescent="0.25">
      <c r="A901" s="1"/>
      <c r="B901" s="2"/>
      <c r="AA901" s="3"/>
      <c r="AD901" s="3"/>
      <c r="AG901" s="3"/>
      <c r="AJ901" s="3"/>
    </row>
    <row r="902" spans="1:36" x14ac:dyDescent="0.25">
      <c r="A902" s="1"/>
      <c r="B902" s="2"/>
      <c r="AA902" s="3"/>
      <c r="AD902" s="3"/>
      <c r="AG902" s="3"/>
      <c r="AJ902" s="3"/>
    </row>
    <row r="903" spans="1:36" x14ac:dyDescent="0.25">
      <c r="A903" s="1"/>
      <c r="B903" s="2"/>
      <c r="AA903" s="3"/>
      <c r="AD903" s="3"/>
      <c r="AG903" s="3"/>
      <c r="AJ903" s="3"/>
    </row>
    <row r="904" spans="1:36" x14ac:dyDescent="0.25">
      <c r="A904" s="1"/>
      <c r="B904" s="2"/>
      <c r="AA904" s="3"/>
      <c r="AD904" s="3"/>
      <c r="AG904" s="3"/>
      <c r="AJ904" s="3"/>
    </row>
    <row r="905" spans="1:36" x14ac:dyDescent="0.25">
      <c r="A905" s="1"/>
      <c r="B905" s="2"/>
      <c r="AA905" s="3"/>
      <c r="AD905" s="3"/>
      <c r="AG905" s="3"/>
      <c r="AJ905" s="3"/>
    </row>
    <row r="906" spans="1:36" x14ac:dyDescent="0.25">
      <c r="A906" s="1"/>
      <c r="B906" s="2"/>
      <c r="AA906" s="3"/>
      <c r="AD906" s="3"/>
      <c r="AG906" s="3"/>
      <c r="AJ906" s="3"/>
    </row>
    <row r="907" spans="1:36" x14ac:dyDescent="0.25">
      <c r="A907" s="1"/>
      <c r="B907" s="2"/>
      <c r="AA907" s="3"/>
      <c r="AD907" s="3"/>
      <c r="AG907" s="3"/>
      <c r="AJ907" s="3"/>
    </row>
    <row r="908" spans="1:36" x14ac:dyDescent="0.25">
      <c r="A908" s="1"/>
      <c r="B908" s="2"/>
      <c r="AA908" s="3"/>
      <c r="AD908" s="3"/>
      <c r="AG908" s="3"/>
      <c r="AJ908" s="3"/>
    </row>
    <row r="909" spans="1:36" x14ac:dyDescent="0.25">
      <c r="A909" s="1"/>
      <c r="B909" s="2"/>
      <c r="AA909" s="3"/>
      <c r="AD909" s="3"/>
      <c r="AG909" s="3"/>
      <c r="AJ909" s="3"/>
    </row>
    <row r="910" spans="1:36" x14ac:dyDescent="0.25">
      <c r="A910" s="1"/>
      <c r="B910" s="2"/>
      <c r="AA910" s="3"/>
      <c r="AD910" s="3"/>
      <c r="AG910" s="3"/>
      <c r="AJ910" s="3"/>
    </row>
    <row r="911" spans="1:36" x14ac:dyDescent="0.25">
      <c r="A911" s="1"/>
      <c r="B911" s="2"/>
      <c r="AA911" s="3"/>
      <c r="AD911" s="3"/>
      <c r="AG911" s="3"/>
      <c r="AJ911" s="3"/>
    </row>
    <row r="912" spans="1:36" x14ac:dyDescent="0.25">
      <c r="A912" s="1"/>
      <c r="B912" s="2"/>
      <c r="AA912" s="3"/>
      <c r="AD912" s="3"/>
      <c r="AG912" s="3"/>
      <c r="AJ912" s="3"/>
    </row>
    <row r="913" spans="1:36" x14ac:dyDescent="0.25">
      <c r="A913" s="1"/>
      <c r="B913" s="2"/>
      <c r="AA913" s="3"/>
      <c r="AD913" s="3"/>
      <c r="AG913" s="3"/>
      <c r="AJ913" s="3"/>
    </row>
    <row r="914" spans="1:36" x14ac:dyDescent="0.25">
      <c r="A914" s="1"/>
      <c r="B914" s="2"/>
      <c r="AA914" s="3"/>
      <c r="AD914" s="3"/>
      <c r="AG914" s="3"/>
      <c r="AJ914" s="3"/>
    </row>
    <row r="915" spans="1:36" x14ac:dyDescent="0.25">
      <c r="A915" s="1"/>
      <c r="B915" s="2"/>
      <c r="AA915" s="3"/>
      <c r="AD915" s="3"/>
      <c r="AG915" s="3"/>
      <c r="AJ915" s="3"/>
    </row>
    <row r="916" spans="1:36" x14ac:dyDescent="0.25">
      <c r="A916" s="1"/>
      <c r="B916" s="2"/>
      <c r="AA916" s="3"/>
      <c r="AD916" s="3"/>
      <c r="AG916" s="3"/>
      <c r="AJ916" s="3"/>
    </row>
    <row r="917" spans="1:36" x14ac:dyDescent="0.25">
      <c r="A917" s="1"/>
      <c r="B917" s="2"/>
      <c r="AA917" s="3"/>
      <c r="AD917" s="3"/>
      <c r="AG917" s="3"/>
      <c r="AJ917" s="3"/>
    </row>
    <row r="918" spans="1:36" x14ac:dyDescent="0.25">
      <c r="A918" s="1"/>
      <c r="B918" s="2"/>
      <c r="AA918" s="3"/>
      <c r="AD918" s="3"/>
      <c r="AG918" s="3"/>
      <c r="AJ918" s="3"/>
    </row>
    <row r="919" spans="1:36" x14ac:dyDescent="0.25">
      <c r="A919" s="1"/>
      <c r="B919" s="2"/>
      <c r="AA919" s="3"/>
      <c r="AD919" s="3"/>
      <c r="AG919" s="3"/>
      <c r="AJ919" s="3"/>
    </row>
    <row r="920" spans="1:36" x14ac:dyDescent="0.25">
      <c r="A920" s="1"/>
      <c r="B920" s="2"/>
      <c r="AA920" s="3"/>
      <c r="AD920" s="3"/>
      <c r="AG920" s="3"/>
      <c r="AJ920" s="3"/>
    </row>
    <row r="921" spans="1:36" x14ac:dyDescent="0.25">
      <c r="A921" s="1"/>
      <c r="B921" s="2"/>
      <c r="AA921" s="3"/>
      <c r="AD921" s="3"/>
      <c r="AG921" s="3"/>
      <c r="AJ921" s="3"/>
    </row>
    <row r="922" spans="1:36" x14ac:dyDescent="0.25">
      <c r="A922" s="1"/>
      <c r="B922" s="2"/>
      <c r="AA922" s="3"/>
      <c r="AD922" s="3"/>
      <c r="AG922" s="3"/>
      <c r="AJ922" s="3"/>
    </row>
    <row r="923" spans="1:36" x14ac:dyDescent="0.25">
      <c r="A923" s="1"/>
      <c r="B923" s="2"/>
      <c r="AA923" s="3"/>
      <c r="AD923" s="3"/>
      <c r="AG923" s="3"/>
      <c r="AJ923" s="3"/>
    </row>
    <row r="924" spans="1:36" x14ac:dyDescent="0.25">
      <c r="A924" s="1"/>
      <c r="B924" s="2"/>
      <c r="AA924" s="3"/>
      <c r="AD924" s="3"/>
      <c r="AG924" s="3"/>
      <c r="AJ924" s="3"/>
    </row>
    <row r="925" spans="1:36" x14ac:dyDescent="0.25">
      <c r="A925" s="1"/>
      <c r="B925" s="2"/>
      <c r="AA925" s="3"/>
      <c r="AD925" s="3"/>
      <c r="AG925" s="3"/>
      <c r="AJ925" s="3"/>
    </row>
    <row r="926" spans="1:36" x14ac:dyDescent="0.25">
      <c r="A926" s="1"/>
      <c r="B926" s="2"/>
      <c r="AA926" s="3"/>
      <c r="AD926" s="3"/>
      <c r="AG926" s="3"/>
      <c r="AJ926" s="3"/>
    </row>
    <row r="927" spans="1:36" x14ac:dyDescent="0.25">
      <c r="A927" s="1"/>
      <c r="B927" s="2"/>
      <c r="AA927" s="3"/>
      <c r="AD927" s="3"/>
      <c r="AG927" s="3"/>
      <c r="AJ927" s="3"/>
    </row>
    <row r="928" spans="1:36" x14ac:dyDescent="0.25">
      <c r="A928" s="1"/>
      <c r="B928" s="2"/>
      <c r="AA928" s="3"/>
      <c r="AD928" s="3"/>
      <c r="AG928" s="3"/>
      <c r="AJ928" s="3"/>
    </row>
    <row r="929" spans="1:36" x14ac:dyDescent="0.25">
      <c r="A929" s="1"/>
      <c r="B929" s="2"/>
      <c r="AA929" s="3"/>
      <c r="AD929" s="3"/>
      <c r="AG929" s="3"/>
      <c r="AJ929" s="3"/>
    </row>
    <row r="930" spans="1:36" x14ac:dyDescent="0.25">
      <c r="A930" s="1"/>
      <c r="B930" s="2"/>
      <c r="AA930" s="3"/>
      <c r="AD930" s="3"/>
      <c r="AG930" s="3"/>
      <c r="AJ930" s="3"/>
    </row>
    <row r="931" spans="1:36" x14ac:dyDescent="0.25">
      <c r="A931" s="1"/>
      <c r="B931" s="2"/>
      <c r="AA931" s="3"/>
      <c r="AD931" s="3"/>
      <c r="AG931" s="3"/>
      <c r="AJ931" s="3"/>
    </row>
    <row r="932" spans="1:36" x14ac:dyDescent="0.25">
      <c r="A932" s="1"/>
      <c r="B932" s="2"/>
      <c r="AA932" s="3"/>
      <c r="AD932" s="3"/>
      <c r="AG932" s="3"/>
      <c r="AJ932" s="3"/>
    </row>
    <row r="933" spans="1:36" x14ac:dyDescent="0.25">
      <c r="A933" s="1"/>
      <c r="B933" s="2"/>
      <c r="AA933" s="3"/>
      <c r="AD933" s="3"/>
      <c r="AG933" s="3"/>
      <c r="AJ933" s="3"/>
    </row>
    <row r="934" spans="1:36" x14ac:dyDescent="0.25">
      <c r="A934" s="1"/>
      <c r="B934" s="2"/>
      <c r="AA934" s="3"/>
      <c r="AD934" s="3"/>
      <c r="AG934" s="3"/>
      <c r="AJ934" s="3"/>
    </row>
    <row r="935" spans="1:36" x14ac:dyDescent="0.25">
      <c r="A935" s="1"/>
      <c r="B935" s="2"/>
      <c r="AA935" s="3"/>
      <c r="AD935" s="3"/>
      <c r="AG935" s="3"/>
      <c r="AJ935" s="3"/>
    </row>
    <row r="936" spans="1:36" x14ac:dyDescent="0.25">
      <c r="A936" s="1"/>
      <c r="B936" s="2"/>
      <c r="AA936" s="3"/>
      <c r="AD936" s="3"/>
      <c r="AG936" s="3"/>
      <c r="AJ936" s="3"/>
    </row>
    <row r="937" spans="1:36" x14ac:dyDescent="0.25">
      <c r="A937" s="1"/>
      <c r="B937" s="2"/>
      <c r="AA937" s="3"/>
      <c r="AD937" s="3"/>
      <c r="AG937" s="3"/>
      <c r="AJ937" s="3"/>
    </row>
    <row r="938" spans="1:36" x14ac:dyDescent="0.25">
      <c r="A938" s="1"/>
      <c r="B938" s="2"/>
      <c r="AA938" s="3"/>
      <c r="AD938" s="3"/>
      <c r="AG938" s="3"/>
      <c r="AJ938" s="3"/>
    </row>
    <row r="939" spans="1:36" x14ac:dyDescent="0.25">
      <c r="A939" s="1"/>
      <c r="B939" s="2"/>
      <c r="AA939" s="3"/>
      <c r="AD939" s="3"/>
      <c r="AG939" s="3"/>
      <c r="AJ939" s="3"/>
    </row>
    <row r="940" spans="1:36" x14ac:dyDescent="0.25">
      <c r="A940" s="1"/>
      <c r="B940" s="2"/>
      <c r="AA940" s="3"/>
      <c r="AD940" s="3"/>
      <c r="AG940" s="3"/>
      <c r="AJ940" s="3"/>
    </row>
    <row r="941" spans="1:36" x14ac:dyDescent="0.25">
      <c r="A941" s="1"/>
      <c r="B941" s="2"/>
      <c r="AA941" s="3"/>
      <c r="AD941" s="3"/>
      <c r="AG941" s="3"/>
      <c r="AJ941" s="3"/>
    </row>
    <row r="942" spans="1:36" x14ac:dyDescent="0.25">
      <c r="A942" s="1"/>
      <c r="B942" s="2"/>
      <c r="AA942" s="3"/>
      <c r="AD942" s="3"/>
      <c r="AG942" s="3"/>
      <c r="AJ942" s="3"/>
    </row>
    <row r="943" spans="1:36" x14ac:dyDescent="0.25">
      <c r="A943" s="1"/>
      <c r="B943" s="2"/>
      <c r="AA943" s="3"/>
      <c r="AD943" s="3"/>
      <c r="AG943" s="3"/>
      <c r="AJ943" s="3"/>
    </row>
    <row r="944" spans="1:36" x14ac:dyDescent="0.25">
      <c r="A944" s="1"/>
      <c r="B944" s="2"/>
      <c r="AA944" s="3"/>
      <c r="AD944" s="3"/>
      <c r="AG944" s="3"/>
      <c r="AJ944" s="3"/>
    </row>
    <row r="945" spans="1:36" x14ac:dyDescent="0.25">
      <c r="A945" s="1"/>
      <c r="B945" s="2"/>
      <c r="AA945" s="3"/>
      <c r="AD945" s="3"/>
      <c r="AG945" s="3"/>
      <c r="AJ945" s="3"/>
    </row>
    <row r="946" spans="1:36" x14ac:dyDescent="0.25">
      <c r="A946" s="1"/>
      <c r="B946" s="2"/>
      <c r="AA946" s="3"/>
      <c r="AD946" s="3"/>
      <c r="AG946" s="3"/>
      <c r="AJ946" s="3"/>
    </row>
    <row r="947" spans="1:36" x14ac:dyDescent="0.25">
      <c r="A947" s="1"/>
      <c r="B947" s="2"/>
      <c r="AA947" s="3"/>
      <c r="AD947" s="3"/>
      <c r="AG947" s="3"/>
      <c r="AJ947" s="3"/>
    </row>
    <row r="948" spans="1:36" x14ac:dyDescent="0.25">
      <c r="A948" s="1"/>
      <c r="B948" s="2"/>
      <c r="AA948" s="3"/>
      <c r="AD948" s="3"/>
      <c r="AG948" s="3"/>
      <c r="AJ948" s="3"/>
    </row>
    <row r="949" spans="1:36" x14ac:dyDescent="0.25">
      <c r="A949" s="1"/>
      <c r="B949" s="2"/>
      <c r="AA949" s="3"/>
      <c r="AD949" s="3"/>
      <c r="AG949" s="3"/>
      <c r="AJ949" s="3"/>
    </row>
    <row r="950" spans="1:36" x14ac:dyDescent="0.25">
      <c r="A950" s="1"/>
      <c r="B950" s="2"/>
      <c r="AA950" s="3"/>
      <c r="AD950" s="3"/>
      <c r="AG950" s="3"/>
      <c r="AJ950" s="3"/>
    </row>
    <row r="951" spans="1:36" x14ac:dyDescent="0.25">
      <c r="A951" s="1"/>
      <c r="B951" s="2"/>
      <c r="AA951" s="3"/>
      <c r="AD951" s="3"/>
      <c r="AG951" s="3"/>
      <c r="AJ951" s="3"/>
    </row>
    <row r="952" spans="1:36" x14ac:dyDescent="0.25">
      <c r="A952" s="1"/>
      <c r="B952" s="2"/>
      <c r="AA952" s="3"/>
      <c r="AD952" s="3"/>
      <c r="AG952" s="3"/>
      <c r="AJ952" s="3"/>
    </row>
    <row r="953" spans="1:36" x14ac:dyDescent="0.25">
      <c r="A953" s="1"/>
      <c r="B953" s="2"/>
      <c r="AA953" s="3"/>
      <c r="AD953" s="3"/>
      <c r="AG953" s="3"/>
      <c r="AJ953" s="3"/>
    </row>
    <row r="954" spans="1:36" x14ac:dyDescent="0.25">
      <c r="A954" s="1"/>
      <c r="B954" s="2"/>
      <c r="AA954" s="3"/>
      <c r="AD954" s="3"/>
      <c r="AG954" s="3"/>
      <c r="AJ954" s="3"/>
    </row>
    <row r="955" spans="1:36" x14ac:dyDescent="0.25">
      <c r="A955" s="1"/>
      <c r="B955" s="2"/>
      <c r="AA955" s="3"/>
      <c r="AD955" s="3"/>
      <c r="AG955" s="3"/>
      <c r="AJ955" s="3"/>
    </row>
    <row r="956" spans="1:36" x14ac:dyDescent="0.25">
      <c r="A956" s="1"/>
      <c r="B956" s="2"/>
      <c r="AA956" s="3"/>
      <c r="AD956" s="3"/>
      <c r="AG956" s="3"/>
      <c r="AJ956" s="3"/>
    </row>
    <row r="957" spans="1:36" x14ac:dyDescent="0.25">
      <c r="A957" s="1"/>
      <c r="B957" s="2"/>
      <c r="AA957" s="3"/>
      <c r="AD957" s="3"/>
      <c r="AG957" s="3"/>
      <c r="AJ957" s="3"/>
    </row>
    <row r="958" spans="1:36" x14ac:dyDescent="0.25">
      <c r="A958" s="1"/>
      <c r="B958" s="2"/>
      <c r="AA958" s="3"/>
      <c r="AD958" s="3"/>
      <c r="AG958" s="3"/>
      <c r="AJ958" s="3"/>
    </row>
    <row r="959" spans="1:36" x14ac:dyDescent="0.25">
      <c r="A959" s="1"/>
      <c r="B959" s="2"/>
      <c r="AA959" s="3"/>
      <c r="AD959" s="3"/>
      <c r="AG959" s="3"/>
      <c r="AJ959" s="3"/>
    </row>
    <row r="960" spans="1:36" x14ac:dyDescent="0.25">
      <c r="A960" s="1"/>
      <c r="B960" s="2"/>
      <c r="AA960" s="3"/>
      <c r="AD960" s="3"/>
      <c r="AG960" s="3"/>
      <c r="AJ960" s="3"/>
    </row>
    <row r="961" spans="1:36" x14ac:dyDescent="0.25">
      <c r="A961" s="1"/>
      <c r="B961" s="2"/>
      <c r="AA961" s="3"/>
      <c r="AD961" s="3"/>
      <c r="AG961" s="3"/>
      <c r="AJ961" s="3"/>
    </row>
    <row r="962" spans="1:36" x14ac:dyDescent="0.25">
      <c r="A962" s="1"/>
      <c r="B962" s="2"/>
      <c r="AA962" s="3"/>
      <c r="AD962" s="3"/>
      <c r="AG962" s="3"/>
      <c r="AJ962" s="3"/>
    </row>
    <row r="963" spans="1:36" x14ac:dyDescent="0.25">
      <c r="A963" s="1"/>
      <c r="B963" s="2"/>
      <c r="AA963" s="3"/>
      <c r="AD963" s="3"/>
      <c r="AG963" s="3"/>
      <c r="AJ963" s="3"/>
    </row>
    <row r="964" spans="1:36" x14ac:dyDescent="0.25">
      <c r="A964" s="1"/>
      <c r="B964" s="2"/>
      <c r="AA964" s="3"/>
      <c r="AD964" s="3"/>
      <c r="AG964" s="3"/>
      <c r="AJ964" s="3"/>
    </row>
    <row r="965" spans="1:36" x14ac:dyDescent="0.25">
      <c r="A965" s="1"/>
      <c r="B965" s="2"/>
      <c r="AA965" s="3"/>
      <c r="AD965" s="3"/>
      <c r="AG965" s="3"/>
      <c r="AJ965" s="3"/>
    </row>
    <row r="966" spans="1:36" x14ac:dyDescent="0.25">
      <c r="A966" s="1"/>
      <c r="B966" s="2"/>
      <c r="AA966" s="3"/>
      <c r="AD966" s="3"/>
      <c r="AG966" s="3"/>
      <c r="AJ966" s="3"/>
    </row>
    <row r="967" spans="1:36" x14ac:dyDescent="0.25">
      <c r="A967" s="1"/>
      <c r="B967" s="2"/>
      <c r="AA967" s="3"/>
      <c r="AD967" s="3"/>
      <c r="AG967" s="3"/>
      <c r="AJ967" s="3"/>
    </row>
    <row r="968" spans="1:36" x14ac:dyDescent="0.25">
      <c r="A968" s="1"/>
      <c r="B968" s="2"/>
      <c r="AA968" s="3"/>
      <c r="AD968" s="3"/>
      <c r="AG968" s="3"/>
      <c r="AJ968" s="3"/>
    </row>
    <row r="969" spans="1:36" x14ac:dyDescent="0.25">
      <c r="A969" s="1"/>
      <c r="B969" s="2"/>
      <c r="AA969" s="3"/>
      <c r="AD969" s="3"/>
      <c r="AG969" s="3"/>
      <c r="AJ969" s="3"/>
    </row>
    <row r="970" spans="1:36" x14ac:dyDescent="0.25">
      <c r="A970" s="1"/>
      <c r="B970" s="2"/>
      <c r="AA970" s="3"/>
      <c r="AD970" s="3"/>
      <c r="AG970" s="3"/>
      <c r="AJ970" s="3"/>
    </row>
    <row r="971" spans="1:36" x14ac:dyDescent="0.25">
      <c r="A971" s="1"/>
      <c r="B971" s="2"/>
      <c r="AA971" s="3"/>
      <c r="AD971" s="3"/>
      <c r="AG971" s="3"/>
      <c r="AJ971" s="3"/>
    </row>
    <row r="972" spans="1:36" x14ac:dyDescent="0.25">
      <c r="A972" s="1"/>
      <c r="B972" s="2"/>
      <c r="AA972" s="3"/>
      <c r="AD972" s="3"/>
      <c r="AG972" s="3"/>
      <c r="AJ972" s="3"/>
    </row>
    <row r="973" spans="1:36" x14ac:dyDescent="0.25">
      <c r="A973" s="1"/>
      <c r="B973" s="2"/>
      <c r="AA973" s="3"/>
      <c r="AD973" s="3"/>
      <c r="AG973" s="3"/>
      <c r="AJ973" s="3"/>
    </row>
    <row r="974" spans="1:36" x14ac:dyDescent="0.25">
      <c r="A974" s="1"/>
      <c r="B974" s="2"/>
      <c r="AA974" s="3"/>
      <c r="AD974" s="3"/>
      <c r="AG974" s="3"/>
      <c r="AJ974" s="3"/>
    </row>
    <row r="975" spans="1:36" x14ac:dyDescent="0.25">
      <c r="A975" s="1"/>
      <c r="B975" s="2"/>
      <c r="AA975" s="3"/>
      <c r="AD975" s="3"/>
      <c r="AG975" s="3"/>
      <c r="AJ975" s="3"/>
    </row>
    <row r="976" spans="1:36" x14ac:dyDescent="0.25">
      <c r="A976" s="1"/>
      <c r="B976" s="2"/>
      <c r="AA976" s="3"/>
      <c r="AD976" s="3"/>
      <c r="AG976" s="3"/>
      <c r="AJ976" s="3"/>
    </row>
    <row r="977" spans="1:36" x14ac:dyDescent="0.25">
      <c r="A977" s="1"/>
      <c r="B977" s="2"/>
      <c r="AA977" s="3"/>
      <c r="AD977" s="3"/>
      <c r="AG977" s="3"/>
      <c r="AJ977" s="3"/>
    </row>
    <row r="978" spans="1:36" x14ac:dyDescent="0.25">
      <c r="A978" s="1"/>
      <c r="B978" s="2"/>
      <c r="AA978" s="3"/>
      <c r="AD978" s="3"/>
      <c r="AG978" s="3"/>
      <c r="AJ978" s="3"/>
    </row>
    <row r="979" spans="1:36" x14ac:dyDescent="0.25">
      <c r="A979" s="1"/>
      <c r="B979" s="2"/>
      <c r="AA979" s="3"/>
      <c r="AD979" s="3"/>
      <c r="AG979" s="3"/>
      <c r="AJ979" s="3"/>
    </row>
    <row r="980" spans="1:36" x14ac:dyDescent="0.25">
      <c r="A980" s="1"/>
      <c r="B980" s="2"/>
      <c r="AA980" s="3"/>
      <c r="AD980" s="3"/>
      <c r="AG980" s="3"/>
      <c r="AJ980" s="3"/>
    </row>
    <row r="981" spans="1:36" x14ac:dyDescent="0.25">
      <c r="A981" s="1"/>
      <c r="B981" s="2"/>
      <c r="AA981" s="3"/>
      <c r="AD981" s="3"/>
      <c r="AG981" s="3"/>
      <c r="AJ981" s="3"/>
    </row>
    <row r="982" spans="1:36" x14ac:dyDescent="0.25">
      <c r="A982" s="1"/>
      <c r="B982" s="2"/>
      <c r="AA982" s="3"/>
      <c r="AD982" s="3"/>
      <c r="AG982" s="3"/>
      <c r="AJ982" s="3"/>
    </row>
    <row r="983" spans="1:36" x14ac:dyDescent="0.25">
      <c r="A983" s="1"/>
      <c r="B983" s="2"/>
      <c r="AA983" s="3"/>
      <c r="AD983" s="3"/>
      <c r="AG983" s="3"/>
      <c r="AJ983" s="3"/>
    </row>
    <row r="984" spans="1:36" x14ac:dyDescent="0.25">
      <c r="A984" s="1"/>
      <c r="B984" s="2"/>
      <c r="AA984" s="3"/>
      <c r="AD984" s="3"/>
      <c r="AG984" s="3"/>
      <c r="AJ984" s="3"/>
    </row>
    <row r="985" spans="1:36" x14ac:dyDescent="0.25">
      <c r="A985" s="1"/>
      <c r="B985" s="2"/>
      <c r="AA985" s="3"/>
      <c r="AD985" s="3"/>
      <c r="AG985" s="3"/>
      <c r="AJ985" s="3"/>
    </row>
    <row r="986" spans="1:36" x14ac:dyDescent="0.25">
      <c r="A986" s="1"/>
      <c r="B986" s="2"/>
      <c r="AA986" s="3"/>
      <c r="AD986" s="3"/>
      <c r="AG986" s="3"/>
      <c r="AJ986" s="3"/>
    </row>
    <row r="987" spans="1:36" x14ac:dyDescent="0.25">
      <c r="A987" s="1"/>
      <c r="B987" s="2"/>
      <c r="AA987" s="3"/>
      <c r="AD987" s="3"/>
      <c r="AG987" s="3"/>
      <c r="AJ987" s="3"/>
    </row>
    <row r="988" spans="1:36" x14ac:dyDescent="0.25">
      <c r="A988" s="1"/>
      <c r="B988" s="2"/>
      <c r="AA988" s="3"/>
      <c r="AD988" s="3"/>
      <c r="AG988" s="3"/>
      <c r="AJ988" s="3"/>
    </row>
    <row r="989" spans="1:36" x14ac:dyDescent="0.25">
      <c r="A989" s="1"/>
      <c r="B989" s="2"/>
      <c r="AA989" s="3"/>
      <c r="AD989" s="3"/>
      <c r="AG989" s="3"/>
      <c r="AJ989" s="3"/>
    </row>
    <row r="990" spans="1:36" x14ac:dyDescent="0.25">
      <c r="A990" s="1"/>
      <c r="B990" s="2"/>
      <c r="AA990" s="3"/>
      <c r="AD990" s="3"/>
      <c r="AG990" s="3"/>
      <c r="AJ990" s="3"/>
    </row>
    <row r="991" spans="1:36" x14ac:dyDescent="0.25">
      <c r="A991" s="1"/>
      <c r="B991" s="2"/>
      <c r="AA991" s="3"/>
      <c r="AD991" s="3"/>
      <c r="AG991" s="3"/>
      <c r="AJ991" s="3"/>
    </row>
    <row r="992" spans="1:36" x14ac:dyDescent="0.25">
      <c r="A992" s="1"/>
      <c r="B992" s="2"/>
      <c r="AA992" s="3"/>
      <c r="AD992" s="3"/>
      <c r="AG992" s="3"/>
      <c r="AJ992" s="3"/>
    </row>
    <row r="993" spans="1:36" x14ac:dyDescent="0.25">
      <c r="A993" s="1"/>
      <c r="B993" s="2"/>
      <c r="AA993" s="3"/>
      <c r="AD993" s="3"/>
      <c r="AG993" s="3"/>
      <c r="AJ993" s="3"/>
    </row>
    <row r="994" spans="1:36" x14ac:dyDescent="0.25">
      <c r="A994" s="1"/>
      <c r="B994" s="2"/>
      <c r="AA994" s="3"/>
      <c r="AD994" s="3"/>
      <c r="AG994" s="3"/>
      <c r="AJ994" s="3"/>
    </row>
    <row r="995" spans="1:36" x14ac:dyDescent="0.25">
      <c r="A995" s="1"/>
      <c r="B995" s="2"/>
      <c r="AA995" s="3"/>
      <c r="AD995" s="3"/>
      <c r="AG995" s="3"/>
      <c r="AJ995" s="3"/>
    </row>
    <row r="996" spans="1:36" x14ac:dyDescent="0.25">
      <c r="A996" s="1"/>
      <c r="B996" s="2"/>
      <c r="AA996" s="3"/>
      <c r="AD996" s="3"/>
      <c r="AG996" s="3"/>
      <c r="AJ996" s="3"/>
    </row>
    <row r="997" spans="1:36" x14ac:dyDescent="0.25">
      <c r="A997" s="1"/>
      <c r="B997" s="2"/>
      <c r="AA997" s="3"/>
      <c r="AD997" s="3"/>
      <c r="AG997" s="3"/>
      <c r="AJ997" s="3"/>
    </row>
    <row r="998" spans="1:36" x14ac:dyDescent="0.25">
      <c r="A998" s="1"/>
      <c r="B998" s="2"/>
      <c r="AA998" s="3"/>
      <c r="AD998" s="3"/>
      <c r="AG998" s="3"/>
      <c r="AJ998" s="3"/>
    </row>
    <row r="999" spans="1:36" x14ac:dyDescent="0.25">
      <c r="A999" s="1"/>
      <c r="B999" s="2"/>
      <c r="AA999" s="3"/>
      <c r="AD999" s="3"/>
      <c r="AG999" s="3"/>
      <c r="AJ999" s="3"/>
    </row>
    <row r="1000" spans="1:36" x14ac:dyDescent="0.25">
      <c r="A1000" s="1"/>
      <c r="B1000" s="2"/>
      <c r="AA1000" s="3"/>
      <c r="AD1000" s="3"/>
      <c r="AG1000" s="3"/>
      <c r="AJ1000" s="3"/>
    </row>
    <row r="1001" spans="1:36" x14ac:dyDescent="0.25">
      <c r="A1001" s="1"/>
      <c r="B1001" s="2"/>
      <c r="AA1001" s="3"/>
      <c r="AD1001" s="3"/>
      <c r="AG1001" s="3"/>
      <c r="AJ1001" s="3"/>
    </row>
    <row r="1002" spans="1:36" x14ac:dyDescent="0.25">
      <c r="A1002" s="1"/>
      <c r="B1002" s="2"/>
      <c r="AA1002" s="3"/>
      <c r="AD1002" s="3"/>
      <c r="AG1002" s="3"/>
      <c r="AJ1002" s="3"/>
    </row>
    <row r="1003" spans="1:36" x14ac:dyDescent="0.25">
      <c r="A1003" s="1"/>
      <c r="B1003" s="2"/>
      <c r="AA1003" s="3"/>
      <c r="AD1003" s="3"/>
      <c r="AG1003" s="3"/>
      <c r="AJ1003" s="3"/>
    </row>
    <row r="1004" spans="1:36" x14ac:dyDescent="0.25">
      <c r="A1004" s="1"/>
      <c r="B1004" s="2"/>
      <c r="AA1004" s="3"/>
      <c r="AD1004" s="3"/>
      <c r="AG1004" s="3"/>
      <c r="AJ1004" s="3"/>
    </row>
    <row r="1005" spans="1:36" x14ac:dyDescent="0.25">
      <c r="A1005" s="1"/>
      <c r="B1005" s="2"/>
      <c r="AA1005" s="3"/>
      <c r="AD1005" s="3"/>
      <c r="AG1005" s="3"/>
      <c r="AJ1005" s="3"/>
    </row>
    <row r="1006" spans="1:36" x14ac:dyDescent="0.25">
      <c r="A1006" s="1"/>
      <c r="B1006" s="2"/>
      <c r="AA1006" s="3"/>
      <c r="AD1006" s="3"/>
      <c r="AG1006" s="3"/>
      <c r="AJ1006" s="3"/>
    </row>
    <row r="1007" spans="1:36" x14ac:dyDescent="0.25">
      <c r="A1007" s="1"/>
      <c r="B1007" s="2"/>
      <c r="AA1007" s="3"/>
      <c r="AD1007" s="3"/>
      <c r="AG1007" s="3"/>
      <c r="AJ1007" s="3"/>
    </row>
    <row r="1008" spans="1:36" x14ac:dyDescent="0.25">
      <c r="A1008" s="1"/>
      <c r="B1008" s="2"/>
      <c r="AA1008" s="3"/>
      <c r="AD1008" s="3"/>
      <c r="AG1008" s="3"/>
      <c r="AJ1008" s="3"/>
    </row>
    <row r="1009" spans="1:36" x14ac:dyDescent="0.25">
      <c r="A1009" s="1"/>
      <c r="B1009" s="2"/>
      <c r="AA1009" s="3"/>
      <c r="AD1009" s="3"/>
      <c r="AG1009" s="3"/>
      <c r="AJ1009" s="3"/>
    </row>
    <row r="1010" spans="1:36" x14ac:dyDescent="0.25">
      <c r="A1010" s="1"/>
      <c r="B1010" s="2"/>
      <c r="AA1010" s="3"/>
      <c r="AD1010" s="3"/>
      <c r="AG1010" s="3"/>
      <c r="AJ1010" s="3"/>
    </row>
    <row r="1011" spans="1:36" x14ac:dyDescent="0.25">
      <c r="A1011" s="1"/>
      <c r="B1011" s="2"/>
      <c r="AA1011" s="3"/>
      <c r="AD1011" s="3"/>
      <c r="AG1011" s="3"/>
      <c r="AJ1011" s="3"/>
    </row>
    <row r="1012" spans="1:36" x14ac:dyDescent="0.25">
      <c r="A1012" s="1"/>
      <c r="B1012" s="2"/>
      <c r="AA1012" s="3"/>
      <c r="AD1012" s="3"/>
      <c r="AG1012" s="3"/>
      <c r="AJ1012" s="3"/>
    </row>
    <row r="1013" spans="1:36" x14ac:dyDescent="0.25">
      <c r="A1013" s="1"/>
      <c r="B1013" s="2"/>
      <c r="AA1013" s="3"/>
      <c r="AD1013" s="3"/>
      <c r="AG1013" s="3"/>
      <c r="AJ1013" s="3"/>
    </row>
    <row r="1014" spans="1:36" x14ac:dyDescent="0.25">
      <c r="A1014" s="1"/>
      <c r="B1014" s="2"/>
      <c r="AA1014" s="3"/>
      <c r="AD1014" s="3"/>
      <c r="AG1014" s="3"/>
      <c r="AJ1014" s="3"/>
    </row>
    <row r="1015" spans="1:36" x14ac:dyDescent="0.25">
      <c r="A1015" s="1"/>
      <c r="B1015" s="2"/>
      <c r="AA1015" s="3"/>
      <c r="AD1015" s="3"/>
      <c r="AG1015" s="3"/>
      <c r="AJ1015" s="3"/>
    </row>
    <row r="1016" spans="1:36" x14ac:dyDescent="0.25">
      <c r="A1016" s="1"/>
      <c r="B1016" s="2"/>
      <c r="AA1016" s="3"/>
      <c r="AD1016" s="3"/>
      <c r="AG1016" s="3"/>
      <c r="AJ1016" s="3"/>
    </row>
    <row r="1017" spans="1:36" x14ac:dyDescent="0.25">
      <c r="A1017" s="1"/>
      <c r="B1017" s="2"/>
      <c r="AA1017" s="3"/>
      <c r="AD1017" s="3"/>
      <c r="AG1017" s="3"/>
      <c r="AJ1017" s="3"/>
    </row>
    <row r="1018" spans="1:36" x14ac:dyDescent="0.25">
      <c r="A1018" s="1"/>
      <c r="B1018" s="2"/>
      <c r="AA1018" s="3"/>
      <c r="AD1018" s="3"/>
      <c r="AG1018" s="3"/>
      <c r="AJ1018" s="3"/>
    </row>
    <row r="1019" spans="1:36" x14ac:dyDescent="0.25">
      <c r="A1019" s="1"/>
      <c r="B1019" s="2"/>
      <c r="AA1019" s="3"/>
      <c r="AD1019" s="3"/>
      <c r="AG1019" s="3"/>
      <c r="AJ1019" s="3"/>
    </row>
    <row r="1020" spans="1:36" x14ac:dyDescent="0.25">
      <c r="A1020" s="1"/>
      <c r="B1020" s="2"/>
      <c r="AA1020" s="3"/>
      <c r="AD1020" s="3"/>
      <c r="AG1020" s="3"/>
      <c r="AJ1020" s="3"/>
    </row>
    <row r="1021" spans="1:36" x14ac:dyDescent="0.25">
      <c r="A1021" s="1"/>
      <c r="B1021" s="2"/>
      <c r="AA1021" s="3"/>
      <c r="AD1021" s="3"/>
      <c r="AG1021" s="3"/>
      <c r="AJ1021" s="3"/>
    </row>
    <row r="1022" spans="1:36" x14ac:dyDescent="0.25">
      <c r="A1022" s="1"/>
      <c r="B1022" s="2"/>
      <c r="AA1022" s="3"/>
      <c r="AD1022" s="3"/>
      <c r="AG1022" s="3"/>
      <c r="AJ1022" s="3"/>
    </row>
    <row r="1023" spans="1:36" x14ac:dyDescent="0.25">
      <c r="A1023" s="1"/>
      <c r="B1023" s="2"/>
      <c r="AA1023" s="3"/>
      <c r="AD1023" s="3"/>
      <c r="AG1023" s="3"/>
      <c r="AJ1023" s="3"/>
    </row>
    <row r="1024" spans="1:36" x14ac:dyDescent="0.25">
      <c r="A1024" s="1"/>
      <c r="B1024" s="2"/>
      <c r="AA1024" s="3"/>
      <c r="AD1024" s="3"/>
      <c r="AG1024" s="3"/>
      <c r="AJ1024" s="3"/>
    </row>
    <row r="1025" spans="1:36" x14ac:dyDescent="0.25">
      <c r="A1025" s="1"/>
      <c r="B1025" s="2"/>
      <c r="AA1025" s="3"/>
      <c r="AD1025" s="3"/>
      <c r="AG1025" s="3"/>
      <c r="AJ1025" s="3"/>
    </row>
    <row r="1026" spans="1:36" x14ac:dyDescent="0.25">
      <c r="A1026" s="1"/>
      <c r="B1026" s="2"/>
      <c r="AA1026" s="3"/>
      <c r="AD1026" s="3"/>
      <c r="AG1026" s="3"/>
      <c r="AJ1026" s="3"/>
    </row>
    <row r="1027" spans="1:36" x14ac:dyDescent="0.25">
      <c r="A1027" s="1"/>
      <c r="B1027" s="2"/>
      <c r="AA1027" s="3"/>
      <c r="AD1027" s="3"/>
      <c r="AG1027" s="3"/>
      <c r="AJ1027" s="3"/>
    </row>
    <row r="1028" spans="1:36" x14ac:dyDescent="0.25">
      <c r="A1028" s="1"/>
      <c r="B1028" s="2"/>
      <c r="AA1028" s="3"/>
      <c r="AD1028" s="3"/>
      <c r="AG1028" s="3"/>
      <c r="AJ1028" s="3"/>
    </row>
    <row r="1029" spans="1:36" x14ac:dyDescent="0.25">
      <c r="A1029" s="1"/>
      <c r="B1029" s="2"/>
      <c r="AA1029" s="3"/>
      <c r="AD1029" s="3"/>
      <c r="AG1029" s="3"/>
      <c r="AJ1029" s="3"/>
    </row>
    <row r="1030" spans="1:36" x14ac:dyDescent="0.25">
      <c r="A1030" s="1"/>
      <c r="B1030" s="2"/>
      <c r="AA1030" s="3"/>
      <c r="AD1030" s="3"/>
      <c r="AG1030" s="3"/>
      <c r="AJ1030" s="3"/>
    </row>
    <row r="1031" spans="1:36" x14ac:dyDescent="0.25">
      <c r="A1031" s="1"/>
      <c r="B1031" s="2"/>
      <c r="AA1031" s="3"/>
      <c r="AD1031" s="3"/>
      <c r="AG1031" s="3"/>
      <c r="AJ1031" s="3"/>
    </row>
    <row r="1032" spans="1:36" x14ac:dyDescent="0.25">
      <c r="A1032" s="1"/>
      <c r="B1032" s="2"/>
      <c r="AA1032" s="3"/>
      <c r="AD1032" s="3"/>
      <c r="AG1032" s="3"/>
      <c r="AJ1032" s="3"/>
    </row>
    <row r="1033" spans="1:36" x14ac:dyDescent="0.25">
      <c r="A1033" s="1"/>
      <c r="B1033" s="2"/>
      <c r="AA1033" s="3"/>
      <c r="AD1033" s="3"/>
      <c r="AG1033" s="3"/>
      <c r="AJ1033" s="3"/>
    </row>
    <row r="1034" spans="1:36" x14ac:dyDescent="0.25">
      <c r="A1034" s="1"/>
      <c r="B1034" s="2"/>
      <c r="AA1034" s="3"/>
      <c r="AD1034" s="3"/>
      <c r="AG1034" s="3"/>
      <c r="AJ1034" s="3"/>
    </row>
    <row r="1035" spans="1:36" x14ac:dyDescent="0.25">
      <c r="A1035" s="1"/>
      <c r="B1035" s="2"/>
      <c r="AA1035" s="3"/>
      <c r="AD1035" s="3"/>
      <c r="AG1035" s="3"/>
      <c r="AJ1035" s="3"/>
    </row>
    <row r="1036" spans="1:36" x14ac:dyDescent="0.25">
      <c r="A1036" s="1"/>
      <c r="B1036" s="2"/>
      <c r="AA1036" s="3"/>
      <c r="AD1036" s="3"/>
      <c r="AG1036" s="3"/>
      <c r="AJ1036" s="3"/>
    </row>
    <row r="1037" spans="1:36" x14ac:dyDescent="0.25">
      <c r="A1037" s="1"/>
      <c r="B1037" s="2"/>
      <c r="AA1037" s="3"/>
      <c r="AD1037" s="3"/>
      <c r="AG1037" s="3"/>
      <c r="AJ1037" s="3"/>
    </row>
    <row r="1038" spans="1:36" x14ac:dyDescent="0.25">
      <c r="A1038" s="1"/>
      <c r="B1038" s="2"/>
      <c r="AA1038" s="3"/>
      <c r="AD1038" s="3"/>
      <c r="AG1038" s="3"/>
      <c r="AJ1038" s="3"/>
    </row>
    <row r="1039" spans="1:36" x14ac:dyDescent="0.25">
      <c r="A1039" s="1"/>
      <c r="B1039" s="2"/>
      <c r="AA1039" s="3"/>
      <c r="AD1039" s="3"/>
      <c r="AG1039" s="3"/>
      <c r="AJ1039" s="3"/>
    </row>
    <row r="1040" spans="1:36" x14ac:dyDescent="0.25">
      <c r="A1040" s="1"/>
      <c r="B1040" s="2"/>
      <c r="AA1040" s="3"/>
      <c r="AD1040" s="3"/>
      <c r="AG1040" s="3"/>
      <c r="AJ1040" s="3"/>
    </row>
    <row r="1041" spans="1:36" x14ac:dyDescent="0.25">
      <c r="A1041" s="1"/>
      <c r="B1041" s="2"/>
      <c r="AA1041" s="3"/>
      <c r="AD1041" s="3"/>
      <c r="AG1041" s="3"/>
      <c r="AJ1041" s="3"/>
    </row>
    <row r="1042" spans="1:36" x14ac:dyDescent="0.25">
      <c r="A1042" s="1"/>
      <c r="B1042" s="2"/>
      <c r="AA1042" s="3"/>
      <c r="AD1042" s="3"/>
      <c r="AG1042" s="3"/>
      <c r="AJ1042" s="3"/>
    </row>
    <row r="1043" spans="1:36" x14ac:dyDescent="0.25">
      <c r="A1043" s="1"/>
      <c r="B1043" s="2"/>
      <c r="AA1043" s="3"/>
      <c r="AD1043" s="3"/>
      <c r="AG1043" s="3"/>
      <c r="AJ1043" s="3"/>
    </row>
    <row r="1044" spans="1:36" x14ac:dyDescent="0.25">
      <c r="A1044" s="1"/>
      <c r="B1044" s="2"/>
      <c r="AA1044" s="3"/>
      <c r="AD1044" s="3"/>
      <c r="AG1044" s="3"/>
      <c r="AJ1044" s="3"/>
    </row>
    <row r="1045" spans="1:36" x14ac:dyDescent="0.25">
      <c r="A1045" s="1"/>
      <c r="B1045" s="2"/>
      <c r="AA1045" s="3"/>
      <c r="AD1045" s="3"/>
      <c r="AG1045" s="3"/>
      <c r="AJ1045" s="3"/>
    </row>
    <row r="1046" spans="1:36" x14ac:dyDescent="0.25">
      <c r="A1046" s="1"/>
      <c r="B1046" s="2"/>
      <c r="AA1046" s="3"/>
      <c r="AD1046" s="3"/>
      <c r="AG1046" s="3"/>
      <c r="AJ1046" s="3"/>
    </row>
    <row r="1047" spans="1:36" x14ac:dyDescent="0.25">
      <c r="A1047" s="1"/>
      <c r="B1047" s="2"/>
      <c r="AA1047" s="3"/>
      <c r="AD1047" s="3"/>
      <c r="AG1047" s="3"/>
      <c r="AJ1047" s="3"/>
    </row>
    <row r="1048" spans="1:36" x14ac:dyDescent="0.25">
      <c r="A1048" s="1"/>
      <c r="B1048" s="2"/>
      <c r="AA1048" s="3"/>
      <c r="AD1048" s="3"/>
      <c r="AG1048" s="3"/>
      <c r="AJ1048" s="3"/>
    </row>
    <row r="1049" spans="1:36" x14ac:dyDescent="0.25">
      <c r="A1049" s="1"/>
      <c r="B1049" s="2"/>
      <c r="AA1049" s="3"/>
      <c r="AD1049" s="3"/>
      <c r="AG1049" s="3"/>
      <c r="AJ1049" s="3"/>
    </row>
    <row r="1050" spans="1:36" x14ac:dyDescent="0.25">
      <c r="A1050" s="1"/>
      <c r="B1050" s="2"/>
      <c r="AA1050" s="3"/>
      <c r="AD1050" s="3"/>
      <c r="AG1050" s="3"/>
      <c r="AJ1050" s="3"/>
    </row>
    <row r="1051" spans="1:36" x14ac:dyDescent="0.25">
      <c r="A1051" s="1"/>
      <c r="B1051" s="2"/>
      <c r="AA1051" s="3"/>
      <c r="AD1051" s="3"/>
      <c r="AG1051" s="3"/>
      <c r="AJ1051" s="3"/>
    </row>
    <row r="1052" spans="1:36" x14ac:dyDescent="0.25">
      <c r="A1052" s="1"/>
      <c r="B1052" s="2"/>
      <c r="AA1052" s="3"/>
      <c r="AD1052" s="3"/>
      <c r="AG1052" s="3"/>
      <c r="AJ1052" s="3"/>
    </row>
    <row r="1053" spans="1:36" x14ac:dyDescent="0.25">
      <c r="A1053" s="1"/>
      <c r="B1053" s="2"/>
      <c r="AA1053" s="3"/>
      <c r="AD1053" s="3"/>
      <c r="AG1053" s="3"/>
      <c r="AJ1053" s="3"/>
    </row>
    <row r="1054" spans="1:36" x14ac:dyDescent="0.25">
      <c r="A1054" s="1"/>
      <c r="B1054" s="2"/>
      <c r="AA1054" s="3"/>
      <c r="AD1054" s="3"/>
      <c r="AG1054" s="3"/>
      <c r="AJ1054" s="3"/>
    </row>
    <row r="1055" spans="1:36" x14ac:dyDescent="0.25">
      <c r="A1055" s="1"/>
      <c r="B1055" s="2"/>
      <c r="AA1055" s="3"/>
      <c r="AD1055" s="3"/>
      <c r="AG1055" s="3"/>
      <c r="AJ1055" s="3"/>
    </row>
    <row r="1056" spans="1:36" x14ac:dyDescent="0.25">
      <c r="A1056" s="1"/>
      <c r="B1056" s="2"/>
      <c r="AA1056" s="3"/>
      <c r="AD1056" s="3"/>
      <c r="AG1056" s="3"/>
      <c r="AJ1056" s="3"/>
    </row>
    <row r="1057" spans="1:36" x14ac:dyDescent="0.25">
      <c r="A1057" s="1"/>
      <c r="B1057" s="2"/>
      <c r="AA1057" s="3"/>
      <c r="AD1057" s="3"/>
      <c r="AG1057" s="3"/>
      <c r="AJ1057" s="3"/>
    </row>
    <row r="1058" spans="1:36" x14ac:dyDescent="0.25">
      <c r="A1058" s="1"/>
      <c r="B1058" s="2"/>
      <c r="AA1058" s="3"/>
      <c r="AD1058" s="3"/>
      <c r="AG1058" s="3"/>
      <c r="AJ1058" s="3"/>
    </row>
    <row r="1059" spans="1:36" x14ac:dyDescent="0.25">
      <c r="A1059" s="1"/>
      <c r="B1059" s="2"/>
      <c r="AA1059" s="3"/>
      <c r="AD1059" s="3"/>
      <c r="AG1059" s="3"/>
      <c r="AJ1059" s="3"/>
    </row>
    <row r="1060" spans="1:36" x14ac:dyDescent="0.25">
      <c r="A1060" s="1"/>
      <c r="B1060" s="2"/>
      <c r="AA1060" s="3"/>
      <c r="AD1060" s="3"/>
      <c r="AG1060" s="3"/>
      <c r="AJ1060" s="3"/>
    </row>
    <row r="1061" spans="1:36" x14ac:dyDescent="0.25">
      <c r="A1061" s="1"/>
      <c r="B1061" s="2"/>
      <c r="AA1061" s="3"/>
      <c r="AD1061" s="3"/>
      <c r="AG1061" s="3"/>
      <c r="AJ1061" s="3"/>
    </row>
    <row r="1062" spans="1:36" x14ac:dyDescent="0.25">
      <c r="A1062" s="1"/>
      <c r="B1062" s="2"/>
      <c r="AA1062" s="3"/>
      <c r="AD1062" s="3"/>
      <c r="AG1062" s="3"/>
      <c r="AJ1062" s="3"/>
    </row>
    <row r="1063" spans="1:36" x14ac:dyDescent="0.25">
      <c r="A1063" s="1"/>
      <c r="B1063" s="2"/>
      <c r="AA1063" s="3"/>
      <c r="AD1063" s="3"/>
      <c r="AG1063" s="3"/>
      <c r="AJ1063" s="3"/>
    </row>
    <row r="1064" spans="1:36" x14ac:dyDescent="0.25">
      <c r="A1064" s="1"/>
      <c r="B1064" s="2"/>
      <c r="AA1064" s="3"/>
      <c r="AD1064" s="3"/>
      <c r="AG1064" s="3"/>
      <c r="AJ1064" s="3"/>
    </row>
    <row r="1065" spans="1:36" x14ac:dyDescent="0.25">
      <c r="A1065" s="1"/>
      <c r="B1065" s="2"/>
      <c r="AA1065" s="3"/>
      <c r="AD1065" s="3"/>
      <c r="AG1065" s="3"/>
      <c r="AJ1065" s="3"/>
    </row>
    <row r="1066" spans="1:36" x14ac:dyDescent="0.25">
      <c r="A1066" s="1"/>
      <c r="B1066" s="2"/>
      <c r="AA1066" s="3"/>
      <c r="AD1066" s="3"/>
      <c r="AG1066" s="3"/>
      <c r="AJ1066" s="3"/>
    </row>
    <row r="1067" spans="1:36" x14ac:dyDescent="0.25">
      <c r="A1067" s="1"/>
      <c r="B1067" s="2"/>
      <c r="AA1067" s="3"/>
      <c r="AD1067" s="3"/>
      <c r="AG1067" s="3"/>
      <c r="AJ1067" s="3"/>
    </row>
    <row r="1068" spans="1:36" x14ac:dyDescent="0.25">
      <c r="A1068" s="1"/>
      <c r="B1068" s="2"/>
      <c r="AA1068" s="3"/>
      <c r="AD1068" s="3"/>
      <c r="AG1068" s="3"/>
      <c r="AJ1068" s="3"/>
    </row>
    <row r="1069" spans="1:36" x14ac:dyDescent="0.25">
      <c r="A1069" s="1"/>
      <c r="B1069" s="2"/>
      <c r="AA1069" s="3"/>
      <c r="AD1069" s="3"/>
      <c r="AG1069" s="3"/>
      <c r="AJ1069" s="3"/>
    </row>
    <row r="1070" spans="1:36" x14ac:dyDescent="0.25">
      <c r="A1070" s="1"/>
      <c r="B1070" s="2"/>
      <c r="AA1070" s="3"/>
      <c r="AD1070" s="3"/>
      <c r="AG1070" s="3"/>
      <c r="AJ1070" s="3"/>
    </row>
    <row r="1071" spans="1:36" x14ac:dyDescent="0.25">
      <c r="A1071" s="1"/>
      <c r="B1071" s="2"/>
      <c r="AA1071" s="3"/>
      <c r="AD1071" s="3"/>
      <c r="AG1071" s="3"/>
      <c r="AJ1071" s="3"/>
    </row>
    <row r="1072" spans="1:36" x14ac:dyDescent="0.25">
      <c r="A1072" s="1"/>
      <c r="B1072" s="2"/>
      <c r="AA1072" s="3"/>
      <c r="AD1072" s="3"/>
      <c r="AG1072" s="3"/>
      <c r="AJ1072" s="3"/>
    </row>
    <row r="1073" spans="1:36" x14ac:dyDescent="0.25">
      <c r="A1073" s="1"/>
      <c r="B1073" s="2"/>
      <c r="AA1073" s="3"/>
      <c r="AD1073" s="3"/>
      <c r="AG1073" s="3"/>
      <c r="AJ1073" s="3"/>
    </row>
    <row r="1074" spans="1:36" x14ac:dyDescent="0.25">
      <c r="A1074" s="1"/>
      <c r="B1074" s="2"/>
      <c r="AA1074" s="3"/>
      <c r="AD1074" s="3"/>
      <c r="AG1074" s="3"/>
      <c r="AJ1074" s="3"/>
    </row>
    <row r="1075" spans="1:36" x14ac:dyDescent="0.25">
      <c r="A1075" s="1"/>
      <c r="B1075" s="2"/>
      <c r="AA1075" s="3"/>
      <c r="AD1075" s="3"/>
      <c r="AG1075" s="3"/>
      <c r="AJ1075" s="3"/>
    </row>
    <row r="1076" spans="1:36" x14ac:dyDescent="0.25">
      <c r="A1076" s="1"/>
      <c r="B1076" s="2"/>
      <c r="AA1076" s="3"/>
      <c r="AD1076" s="3"/>
      <c r="AG1076" s="3"/>
      <c r="AJ1076" s="3"/>
    </row>
    <row r="1077" spans="1:36" x14ac:dyDescent="0.25">
      <c r="A1077" s="1"/>
      <c r="B1077" s="2"/>
      <c r="AA1077" s="3"/>
      <c r="AD1077" s="3"/>
      <c r="AG1077" s="3"/>
      <c r="AJ1077" s="3"/>
    </row>
    <row r="1078" spans="1:36" x14ac:dyDescent="0.25">
      <c r="A1078" s="1"/>
      <c r="B1078" s="2"/>
      <c r="AA1078" s="3"/>
      <c r="AD1078" s="3"/>
      <c r="AG1078" s="3"/>
      <c r="AJ1078" s="3"/>
    </row>
    <row r="1079" spans="1:36" x14ac:dyDescent="0.25">
      <c r="A1079" s="1"/>
      <c r="B1079" s="2"/>
      <c r="AA1079" s="3"/>
      <c r="AD1079" s="3"/>
      <c r="AG1079" s="3"/>
      <c r="AJ1079" s="3"/>
    </row>
    <row r="1080" spans="1:36" x14ac:dyDescent="0.25">
      <c r="A1080" s="1"/>
      <c r="B1080" s="2"/>
      <c r="AA1080" s="3"/>
      <c r="AD1080" s="3"/>
      <c r="AG1080" s="3"/>
      <c r="AJ1080" s="3"/>
    </row>
    <row r="1081" spans="1:36" x14ac:dyDescent="0.25">
      <c r="A1081" s="1"/>
      <c r="B1081" s="2"/>
      <c r="AA1081" s="3"/>
      <c r="AD1081" s="3"/>
      <c r="AG1081" s="3"/>
      <c r="AJ1081" s="3"/>
    </row>
    <row r="1082" spans="1:36" x14ac:dyDescent="0.25">
      <c r="A1082" s="1"/>
      <c r="B1082" s="2"/>
      <c r="AA1082" s="3"/>
      <c r="AD1082" s="3"/>
      <c r="AG1082" s="3"/>
      <c r="AJ1082" s="3"/>
    </row>
    <row r="1083" spans="1:36" x14ac:dyDescent="0.25">
      <c r="A1083" s="1"/>
      <c r="B1083" s="2"/>
      <c r="AA1083" s="3"/>
      <c r="AD1083" s="3"/>
      <c r="AG1083" s="3"/>
      <c r="AJ1083" s="3"/>
    </row>
    <row r="1084" spans="1:36" x14ac:dyDescent="0.25">
      <c r="A1084" s="1"/>
      <c r="B1084" s="2"/>
      <c r="AA1084" s="3"/>
      <c r="AD1084" s="3"/>
      <c r="AG1084" s="3"/>
      <c r="AJ1084" s="3"/>
    </row>
    <row r="1085" spans="1:36" x14ac:dyDescent="0.25">
      <c r="A1085" s="1"/>
      <c r="B1085" s="2"/>
      <c r="AA1085" s="3"/>
      <c r="AD1085" s="3"/>
      <c r="AG1085" s="3"/>
      <c r="AJ1085" s="3"/>
    </row>
    <row r="1086" spans="1:36" x14ac:dyDescent="0.25">
      <c r="A1086" s="1"/>
      <c r="B1086" s="2"/>
      <c r="AA1086" s="3"/>
      <c r="AD1086" s="3"/>
      <c r="AG1086" s="3"/>
      <c r="AJ1086" s="3"/>
    </row>
    <row r="1087" spans="1:36" x14ac:dyDescent="0.25">
      <c r="A1087" s="1"/>
      <c r="B1087" s="2"/>
      <c r="AA1087" s="3"/>
      <c r="AD1087" s="3"/>
      <c r="AG1087" s="3"/>
      <c r="AJ1087" s="3"/>
    </row>
    <row r="1088" spans="1:36" x14ac:dyDescent="0.25">
      <c r="A1088" s="1"/>
      <c r="B1088" s="2"/>
      <c r="AA1088" s="3"/>
      <c r="AD1088" s="3"/>
      <c r="AG1088" s="3"/>
      <c r="AJ1088" s="3"/>
    </row>
    <row r="1089" spans="1:36" x14ac:dyDescent="0.25">
      <c r="A1089" s="1"/>
      <c r="B1089" s="2"/>
      <c r="AA1089" s="3"/>
      <c r="AD1089" s="3"/>
      <c r="AG1089" s="3"/>
      <c r="AJ1089" s="3"/>
    </row>
    <row r="1090" spans="1:36" x14ac:dyDescent="0.25">
      <c r="A1090" s="1"/>
      <c r="B1090" s="2"/>
      <c r="AA1090" s="3"/>
      <c r="AD1090" s="3"/>
      <c r="AG1090" s="3"/>
      <c r="AJ1090" s="3"/>
    </row>
    <row r="1091" spans="1:36" x14ac:dyDescent="0.25">
      <c r="A1091" s="1"/>
      <c r="B1091" s="2"/>
      <c r="AA1091" s="3"/>
      <c r="AD1091" s="3"/>
      <c r="AG1091" s="3"/>
      <c r="AJ1091" s="3"/>
    </row>
    <row r="1092" spans="1:36" x14ac:dyDescent="0.25">
      <c r="A1092" s="1"/>
      <c r="B1092" s="2"/>
      <c r="AA1092" s="3"/>
      <c r="AD1092" s="3"/>
      <c r="AG1092" s="3"/>
      <c r="AJ1092" s="3"/>
    </row>
    <row r="1093" spans="1:36" x14ac:dyDescent="0.25">
      <c r="A1093" s="1"/>
      <c r="B1093" s="2"/>
      <c r="AA1093" s="3"/>
      <c r="AD1093" s="3"/>
      <c r="AG1093" s="3"/>
      <c r="AJ1093" s="3"/>
    </row>
    <row r="1094" spans="1:36" x14ac:dyDescent="0.25">
      <c r="A1094" s="1"/>
      <c r="B1094" s="2"/>
      <c r="AA1094" s="3"/>
      <c r="AD1094" s="3"/>
      <c r="AG1094" s="3"/>
      <c r="AJ1094" s="3"/>
    </row>
    <row r="1095" spans="1:36" x14ac:dyDescent="0.25">
      <c r="A1095" s="1"/>
      <c r="B1095" s="2"/>
      <c r="AA1095" s="3"/>
      <c r="AD1095" s="3"/>
      <c r="AG1095" s="3"/>
      <c r="AJ1095" s="3"/>
    </row>
    <row r="1096" spans="1:36" x14ac:dyDescent="0.25">
      <c r="A1096" s="1"/>
      <c r="B1096" s="2"/>
      <c r="AA1096" s="3"/>
      <c r="AD1096" s="3"/>
      <c r="AG1096" s="3"/>
      <c r="AJ1096" s="3"/>
    </row>
    <row r="1097" spans="1:36" x14ac:dyDescent="0.25">
      <c r="A1097" s="1"/>
      <c r="B1097" s="2"/>
      <c r="AA1097" s="3"/>
      <c r="AD1097" s="3"/>
      <c r="AG1097" s="3"/>
      <c r="AJ1097" s="3"/>
    </row>
    <row r="1098" spans="1:36" x14ac:dyDescent="0.25">
      <c r="A1098" s="1"/>
      <c r="B1098" s="2"/>
      <c r="AA1098" s="3"/>
      <c r="AD1098" s="3"/>
      <c r="AG1098" s="3"/>
      <c r="AJ1098" s="3"/>
    </row>
    <row r="1099" spans="1:36" x14ac:dyDescent="0.25">
      <c r="A1099" s="1"/>
      <c r="B1099" s="2"/>
      <c r="AA1099" s="3"/>
      <c r="AD1099" s="3"/>
      <c r="AG1099" s="3"/>
      <c r="AJ1099" s="3"/>
    </row>
    <row r="1100" spans="1:36" x14ac:dyDescent="0.25">
      <c r="A1100" s="1"/>
      <c r="B1100" s="2"/>
      <c r="AA1100" s="3"/>
      <c r="AD1100" s="3"/>
      <c r="AG1100" s="3"/>
      <c r="AJ1100" s="3"/>
    </row>
    <row r="1101" spans="1:36" x14ac:dyDescent="0.25">
      <c r="A1101" s="1"/>
      <c r="B1101" s="2"/>
      <c r="AA1101" s="3"/>
      <c r="AD1101" s="3"/>
      <c r="AG1101" s="3"/>
      <c r="AJ1101" s="3"/>
    </row>
    <row r="1102" spans="1:36" x14ac:dyDescent="0.25">
      <c r="A1102" s="1"/>
      <c r="B1102" s="2"/>
      <c r="AA1102" s="3"/>
      <c r="AD1102" s="3"/>
      <c r="AG1102" s="3"/>
      <c r="AJ1102" s="3"/>
    </row>
    <row r="1103" spans="1:36" x14ac:dyDescent="0.25">
      <c r="A1103" s="1"/>
      <c r="B1103" s="2"/>
      <c r="AA1103" s="3"/>
      <c r="AD1103" s="3"/>
      <c r="AG1103" s="3"/>
      <c r="AJ1103" s="3"/>
    </row>
    <row r="1104" spans="1:36" x14ac:dyDescent="0.25">
      <c r="A1104" s="1"/>
      <c r="B1104" s="2"/>
      <c r="AA1104" s="3"/>
      <c r="AD1104" s="3"/>
      <c r="AG1104" s="3"/>
      <c r="AJ1104" s="3"/>
    </row>
    <row r="1105" spans="1:36" x14ac:dyDescent="0.25">
      <c r="A1105" s="1"/>
      <c r="B1105" s="2"/>
      <c r="AA1105" s="3"/>
      <c r="AD1105" s="3"/>
      <c r="AG1105" s="3"/>
      <c r="AJ1105" s="3"/>
    </row>
    <row r="1106" spans="1:36" x14ac:dyDescent="0.25">
      <c r="A1106" s="1"/>
      <c r="B1106" s="2"/>
      <c r="AA1106" s="3"/>
      <c r="AD1106" s="3"/>
      <c r="AG1106" s="3"/>
      <c r="AJ1106" s="3"/>
    </row>
    <row r="1107" spans="1:36" x14ac:dyDescent="0.25">
      <c r="A1107" s="1"/>
      <c r="B1107" s="2"/>
      <c r="AA1107" s="3"/>
      <c r="AD1107" s="3"/>
      <c r="AG1107" s="3"/>
      <c r="AJ1107" s="3"/>
    </row>
    <row r="1108" spans="1:36" x14ac:dyDescent="0.25">
      <c r="A1108" s="1"/>
      <c r="B1108" s="2"/>
      <c r="AA1108" s="3"/>
      <c r="AD1108" s="3"/>
      <c r="AG1108" s="3"/>
      <c r="AJ1108" s="3"/>
    </row>
    <row r="1109" spans="1:36" x14ac:dyDescent="0.25">
      <c r="A1109" s="1"/>
      <c r="B1109" s="2"/>
      <c r="AA1109" s="3"/>
      <c r="AD1109" s="3"/>
      <c r="AG1109" s="3"/>
      <c r="AJ1109" s="3"/>
    </row>
    <row r="1110" spans="1:36" x14ac:dyDescent="0.25">
      <c r="A1110" s="1"/>
      <c r="B1110" s="2"/>
      <c r="AA1110" s="3"/>
      <c r="AD1110" s="3"/>
      <c r="AG1110" s="3"/>
      <c r="AJ1110" s="3"/>
    </row>
    <row r="1111" spans="1:36" x14ac:dyDescent="0.25">
      <c r="A1111" s="1"/>
      <c r="B1111" s="2"/>
      <c r="AA1111" s="3"/>
      <c r="AD1111" s="3"/>
      <c r="AG1111" s="3"/>
      <c r="AJ1111" s="3"/>
    </row>
    <row r="1112" spans="1:36" x14ac:dyDescent="0.25">
      <c r="A1112" s="1"/>
      <c r="B1112" s="2"/>
      <c r="AA1112" s="3"/>
      <c r="AD1112" s="3"/>
      <c r="AG1112" s="3"/>
      <c r="AJ1112" s="3"/>
    </row>
    <row r="1113" spans="1:36" x14ac:dyDescent="0.25">
      <c r="A1113" s="1"/>
      <c r="B1113" s="2"/>
      <c r="AA1113" s="3"/>
      <c r="AD1113" s="3"/>
      <c r="AG1113" s="3"/>
      <c r="AJ1113" s="3"/>
    </row>
    <row r="1114" spans="1:36" x14ac:dyDescent="0.25">
      <c r="A1114" s="1"/>
      <c r="B1114" s="2"/>
      <c r="AA1114" s="3"/>
      <c r="AD1114" s="3"/>
      <c r="AG1114" s="3"/>
      <c r="AJ1114" s="3"/>
    </row>
    <row r="1115" spans="1:36" x14ac:dyDescent="0.25">
      <c r="A1115" s="1"/>
      <c r="B1115" s="2"/>
      <c r="AA1115" s="3"/>
      <c r="AD1115" s="3"/>
      <c r="AG1115" s="3"/>
      <c r="AJ1115" s="3"/>
    </row>
    <row r="1116" spans="1:36" x14ac:dyDescent="0.25">
      <c r="A1116" s="1"/>
      <c r="B1116" s="2"/>
      <c r="AA1116" s="3"/>
      <c r="AD1116" s="3"/>
      <c r="AG1116" s="3"/>
      <c r="AJ1116" s="3"/>
    </row>
    <row r="1117" spans="1:36" x14ac:dyDescent="0.25">
      <c r="A1117" s="1"/>
      <c r="B1117" s="2"/>
      <c r="AA1117" s="3"/>
      <c r="AD1117" s="3"/>
      <c r="AG1117" s="3"/>
      <c r="AJ1117" s="3"/>
    </row>
    <row r="1118" spans="1:36" x14ac:dyDescent="0.25">
      <c r="A1118" s="1"/>
      <c r="B1118" s="2"/>
      <c r="AA1118" s="3"/>
      <c r="AD1118" s="3"/>
      <c r="AG1118" s="3"/>
      <c r="AJ1118" s="3"/>
    </row>
    <row r="1119" spans="1:36" x14ac:dyDescent="0.25">
      <c r="A1119" s="1"/>
      <c r="B1119" s="2"/>
      <c r="AA1119" s="3"/>
      <c r="AD1119" s="3"/>
      <c r="AG1119" s="3"/>
      <c r="AJ1119" s="3"/>
    </row>
    <row r="1120" spans="1:36" x14ac:dyDescent="0.25">
      <c r="A1120" s="1"/>
      <c r="B1120" s="2"/>
      <c r="AA1120" s="3"/>
      <c r="AD1120" s="3"/>
      <c r="AG1120" s="3"/>
      <c r="AJ1120" s="3"/>
    </row>
    <row r="1121" spans="1:36" x14ac:dyDescent="0.25">
      <c r="A1121" s="1"/>
      <c r="B1121" s="2"/>
      <c r="AA1121" s="3"/>
      <c r="AD1121" s="3"/>
      <c r="AG1121" s="3"/>
      <c r="AJ1121" s="3"/>
    </row>
    <row r="1122" spans="1:36" x14ac:dyDescent="0.25">
      <c r="A1122" s="1"/>
      <c r="B1122" s="2"/>
      <c r="AA1122" s="3"/>
      <c r="AD1122" s="3"/>
      <c r="AG1122" s="3"/>
      <c r="AJ1122" s="3"/>
    </row>
    <row r="1123" spans="1:36" x14ac:dyDescent="0.25">
      <c r="A1123" s="1"/>
      <c r="B1123" s="2"/>
      <c r="AA1123" s="3"/>
      <c r="AD1123" s="3"/>
      <c r="AG1123" s="3"/>
      <c r="AJ1123" s="3"/>
    </row>
    <row r="1124" spans="1:36" x14ac:dyDescent="0.25">
      <c r="A1124" s="1"/>
      <c r="B1124" s="2"/>
      <c r="AA1124" s="3"/>
      <c r="AD1124" s="3"/>
      <c r="AG1124" s="3"/>
      <c r="AJ1124" s="3"/>
    </row>
    <row r="1125" spans="1:36" x14ac:dyDescent="0.25">
      <c r="A1125" s="1"/>
      <c r="B1125" s="2"/>
      <c r="AA1125" s="3"/>
      <c r="AD1125" s="3"/>
      <c r="AG1125" s="3"/>
      <c r="AJ1125" s="3"/>
    </row>
    <row r="1126" spans="1:36" x14ac:dyDescent="0.25">
      <c r="A1126" s="1"/>
      <c r="B1126" s="2"/>
      <c r="AA1126" s="3"/>
      <c r="AD1126" s="3"/>
      <c r="AG1126" s="3"/>
      <c r="AJ1126" s="3"/>
    </row>
    <row r="1127" spans="1:36" x14ac:dyDescent="0.25">
      <c r="A1127" s="1"/>
      <c r="B1127" s="2"/>
      <c r="AA1127" s="3"/>
      <c r="AD1127" s="3"/>
      <c r="AG1127" s="3"/>
      <c r="AJ1127" s="3"/>
    </row>
    <row r="1128" spans="1:36" x14ac:dyDescent="0.25">
      <c r="A1128" s="1"/>
      <c r="B1128" s="2"/>
      <c r="AA1128" s="3"/>
      <c r="AD1128" s="3"/>
      <c r="AG1128" s="3"/>
      <c r="AJ1128" s="3"/>
    </row>
    <row r="1129" spans="1:36" x14ac:dyDescent="0.25">
      <c r="A1129" s="1"/>
      <c r="B1129" s="2"/>
      <c r="AA1129" s="3"/>
      <c r="AD1129" s="3"/>
      <c r="AG1129" s="3"/>
      <c r="AJ1129" s="3"/>
    </row>
    <row r="1130" spans="1:36" x14ac:dyDescent="0.25">
      <c r="A1130" s="1"/>
      <c r="B1130" s="2"/>
      <c r="AA1130" s="3"/>
      <c r="AD1130" s="3"/>
      <c r="AG1130" s="3"/>
      <c r="AJ1130" s="3"/>
    </row>
    <row r="1131" spans="1:36" x14ac:dyDescent="0.25">
      <c r="A1131" s="1"/>
      <c r="B1131" s="2"/>
      <c r="AA1131" s="3"/>
      <c r="AD1131" s="3"/>
      <c r="AG1131" s="3"/>
      <c r="AJ1131" s="3"/>
    </row>
    <row r="1132" spans="1:36" x14ac:dyDescent="0.25">
      <c r="A1132" s="1"/>
      <c r="B1132" s="2"/>
      <c r="AA1132" s="3"/>
      <c r="AD1132" s="3"/>
      <c r="AG1132" s="3"/>
      <c r="AJ1132" s="3"/>
    </row>
    <row r="1133" spans="1:36" x14ac:dyDescent="0.25">
      <c r="A1133" s="1"/>
      <c r="B1133" s="2"/>
      <c r="AA1133" s="3"/>
      <c r="AD1133" s="3"/>
      <c r="AG1133" s="3"/>
      <c r="AJ1133" s="3"/>
    </row>
    <row r="1134" spans="1:36" x14ac:dyDescent="0.25">
      <c r="A1134" s="1"/>
      <c r="B1134" s="2"/>
      <c r="AA1134" s="3"/>
      <c r="AD1134" s="3"/>
      <c r="AG1134" s="3"/>
      <c r="AJ1134" s="3"/>
    </row>
    <row r="1135" spans="1:36" x14ac:dyDescent="0.25">
      <c r="A1135" s="1"/>
      <c r="B1135" s="2"/>
      <c r="AA1135" s="3"/>
      <c r="AD1135" s="3"/>
      <c r="AG1135" s="3"/>
      <c r="AJ1135" s="3"/>
    </row>
    <row r="1136" spans="1:36" x14ac:dyDescent="0.25">
      <c r="A1136" s="1"/>
      <c r="B1136" s="2"/>
      <c r="AA1136" s="3"/>
      <c r="AD1136" s="3"/>
      <c r="AG1136" s="3"/>
      <c r="AJ1136" s="3"/>
    </row>
    <row r="1137" spans="1:36" x14ac:dyDescent="0.25">
      <c r="A1137" s="1"/>
      <c r="B1137" s="2"/>
      <c r="AA1137" s="3"/>
      <c r="AD1137" s="3"/>
      <c r="AG1137" s="3"/>
      <c r="AJ1137" s="3"/>
    </row>
    <row r="1138" spans="1:36" x14ac:dyDescent="0.25">
      <c r="A1138" s="1"/>
      <c r="B1138" s="2"/>
      <c r="AA1138" s="3"/>
      <c r="AD1138" s="3"/>
      <c r="AG1138" s="3"/>
      <c r="AJ1138" s="3"/>
    </row>
    <row r="1139" spans="1:36" x14ac:dyDescent="0.25">
      <c r="A1139" s="1"/>
      <c r="B1139" s="2"/>
      <c r="AA1139" s="3"/>
      <c r="AD1139" s="3"/>
      <c r="AG1139" s="3"/>
      <c r="AJ1139" s="3"/>
    </row>
    <row r="1140" spans="1:36" x14ac:dyDescent="0.25">
      <c r="A1140" s="1"/>
      <c r="B1140" s="2"/>
      <c r="AA1140" s="3"/>
      <c r="AD1140" s="3"/>
      <c r="AG1140" s="3"/>
      <c r="AJ1140" s="3"/>
    </row>
    <row r="1141" spans="1:36" x14ac:dyDescent="0.25">
      <c r="A1141" s="1"/>
      <c r="B1141" s="2"/>
      <c r="AA1141" s="3"/>
      <c r="AD1141" s="3"/>
      <c r="AG1141" s="3"/>
      <c r="AJ1141" s="3"/>
    </row>
    <row r="1142" spans="1:36" x14ac:dyDescent="0.25">
      <c r="A1142" s="1"/>
      <c r="B1142" s="2"/>
      <c r="AA1142" s="3"/>
      <c r="AD1142" s="3"/>
      <c r="AG1142" s="3"/>
      <c r="AJ1142" s="3"/>
    </row>
    <row r="1143" spans="1:36" x14ac:dyDescent="0.25">
      <c r="A1143" s="1"/>
      <c r="B1143" s="2"/>
      <c r="AA1143" s="3"/>
      <c r="AD1143" s="3"/>
      <c r="AG1143" s="3"/>
      <c r="AJ1143" s="3"/>
    </row>
    <row r="1144" spans="1:36" x14ac:dyDescent="0.25">
      <c r="A1144" s="1"/>
      <c r="B1144" s="2"/>
      <c r="AA1144" s="3"/>
      <c r="AD1144" s="3"/>
      <c r="AG1144" s="3"/>
      <c r="AJ1144" s="3"/>
    </row>
    <row r="1145" spans="1:36" x14ac:dyDescent="0.25">
      <c r="A1145" s="1"/>
      <c r="B1145" s="2"/>
      <c r="AA1145" s="3"/>
      <c r="AD1145" s="3"/>
      <c r="AG1145" s="3"/>
      <c r="AJ1145" s="3"/>
    </row>
    <row r="1146" spans="1:36" x14ac:dyDescent="0.25">
      <c r="A1146" s="1"/>
      <c r="B1146" s="2"/>
      <c r="AA1146" s="3"/>
      <c r="AD1146" s="3"/>
      <c r="AG1146" s="3"/>
      <c r="AJ1146" s="3"/>
    </row>
    <row r="1147" spans="1:36" x14ac:dyDescent="0.25">
      <c r="A1147" s="1"/>
      <c r="B1147" s="2"/>
      <c r="AA1147" s="3"/>
      <c r="AD1147" s="3"/>
      <c r="AG1147" s="3"/>
      <c r="AJ1147" s="3"/>
    </row>
    <row r="1148" spans="1:36" x14ac:dyDescent="0.25">
      <c r="A1148" s="1"/>
      <c r="B1148" s="2"/>
      <c r="AA1148" s="3"/>
      <c r="AD1148" s="3"/>
      <c r="AG1148" s="3"/>
      <c r="AJ1148" s="3"/>
    </row>
    <row r="1149" spans="1:36" x14ac:dyDescent="0.25">
      <c r="A1149" s="1"/>
      <c r="B1149" s="2"/>
      <c r="AA1149" s="3"/>
      <c r="AD1149" s="3"/>
      <c r="AG1149" s="3"/>
      <c r="AJ1149" s="3"/>
    </row>
    <row r="1150" spans="1:36" x14ac:dyDescent="0.25">
      <c r="A1150" s="1"/>
      <c r="B1150" s="2"/>
      <c r="AA1150" s="3"/>
      <c r="AD1150" s="3"/>
      <c r="AG1150" s="3"/>
      <c r="AJ1150" s="3"/>
    </row>
    <row r="1151" spans="1:36" x14ac:dyDescent="0.25">
      <c r="A1151" s="1"/>
      <c r="B1151" s="2"/>
      <c r="AA1151" s="3"/>
      <c r="AD1151" s="3"/>
      <c r="AG1151" s="3"/>
      <c r="AJ1151" s="3"/>
    </row>
    <row r="1152" spans="1:36" x14ac:dyDescent="0.25">
      <c r="A1152" s="1"/>
      <c r="B1152" s="2"/>
      <c r="AA1152" s="3"/>
      <c r="AD1152" s="3"/>
      <c r="AG1152" s="3"/>
      <c r="AJ1152" s="3"/>
    </row>
    <row r="1153" spans="1:36" x14ac:dyDescent="0.25">
      <c r="A1153" s="1"/>
      <c r="B1153" s="2"/>
      <c r="AA1153" s="3"/>
      <c r="AD1153" s="3"/>
      <c r="AG1153" s="3"/>
      <c r="AJ1153" s="3"/>
    </row>
    <row r="1154" spans="1:36" x14ac:dyDescent="0.25">
      <c r="A1154" s="1"/>
      <c r="B1154" s="2"/>
      <c r="AA1154" s="3"/>
      <c r="AD1154" s="3"/>
      <c r="AG1154" s="3"/>
      <c r="AJ1154" s="3"/>
    </row>
    <row r="1155" spans="1:36" x14ac:dyDescent="0.25">
      <c r="A1155" s="1"/>
      <c r="B1155" s="2"/>
      <c r="AA1155" s="3"/>
      <c r="AD1155" s="3"/>
      <c r="AG1155" s="3"/>
      <c r="AJ1155" s="3"/>
    </row>
    <row r="1156" spans="1:36" x14ac:dyDescent="0.25">
      <c r="A1156" s="1"/>
      <c r="B1156" s="2"/>
      <c r="AA1156" s="3"/>
      <c r="AD1156" s="3"/>
      <c r="AG1156" s="3"/>
      <c r="AJ1156" s="3"/>
    </row>
    <row r="1157" spans="1:36" x14ac:dyDescent="0.25">
      <c r="A1157" s="1"/>
      <c r="B1157" s="2"/>
      <c r="AA1157" s="3"/>
      <c r="AD1157" s="3"/>
      <c r="AG1157" s="3"/>
      <c r="AJ1157" s="3"/>
    </row>
    <row r="1158" spans="1:36" x14ac:dyDescent="0.25">
      <c r="A1158" s="1"/>
      <c r="B1158" s="2"/>
      <c r="AA1158" s="3"/>
      <c r="AD1158" s="3"/>
      <c r="AG1158" s="3"/>
      <c r="AJ1158" s="3"/>
    </row>
    <row r="1159" spans="1:36" x14ac:dyDescent="0.25">
      <c r="A1159" s="1"/>
      <c r="B1159" s="2"/>
      <c r="AA1159" s="3"/>
      <c r="AD1159" s="3"/>
      <c r="AG1159" s="3"/>
      <c r="AJ1159" s="3"/>
    </row>
    <row r="1160" spans="1:36" x14ac:dyDescent="0.25">
      <c r="A1160" s="1"/>
      <c r="B1160" s="2"/>
      <c r="AA1160" s="3"/>
      <c r="AD1160" s="3"/>
      <c r="AG1160" s="3"/>
      <c r="AJ1160" s="3"/>
    </row>
    <row r="1161" spans="1:36" x14ac:dyDescent="0.25">
      <c r="A1161" s="1"/>
      <c r="B1161" s="2"/>
      <c r="AA1161" s="3"/>
      <c r="AD1161" s="3"/>
      <c r="AG1161" s="3"/>
      <c r="AJ1161" s="3"/>
    </row>
    <row r="1162" spans="1:36" x14ac:dyDescent="0.25">
      <c r="A1162" s="1"/>
      <c r="B1162" s="2"/>
      <c r="AA1162" s="3"/>
      <c r="AD1162" s="3"/>
      <c r="AG1162" s="3"/>
      <c r="AJ1162" s="3"/>
    </row>
    <row r="1163" spans="1:36" x14ac:dyDescent="0.25">
      <c r="A1163" s="1"/>
      <c r="B1163" s="2"/>
      <c r="AA1163" s="3"/>
      <c r="AD1163" s="3"/>
      <c r="AG1163" s="3"/>
      <c r="AJ1163" s="3"/>
    </row>
    <row r="1164" spans="1:36" x14ac:dyDescent="0.25">
      <c r="A1164" s="1"/>
      <c r="B1164" s="2"/>
      <c r="AA1164" s="3"/>
      <c r="AD1164" s="3"/>
      <c r="AG1164" s="3"/>
      <c r="AJ1164" s="3"/>
    </row>
    <row r="1165" spans="1:36" x14ac:dyDescent="0.25">
      <c r="A1165" s="1"/>
      <c r="B1165" s="2"/>
      <c r="AA1165" s="3"/>
      <c r="AD1165" s="3"/>
      <c r="AG1165" s="3"/>
      <c r="AJ1165" s="3"/>
    </row>
    <row r="1166" spans="1:36" x14ac:dyDescent="0.25">
      <c r="A1166" s="1"/>
      <c r="B1166" s="2"/>
      <c r="AA1166" s="3"/>
      <c r="AD1166" s="3"/>
      <c r="AG1166" s="3"/>
      <c r="AJ1166" s="3"/>
    </row>
    <row r="1167" spans="1:36" x14ac:dyDescent="0.25">
      <c r="A1167" s="1"/>
      <c r="B1167" s="2"/>
      <c r="AA1167" s="3"/>
      <c r="AD1167" s="3"/>
      <c r="AG1167" s="3"/>
      <c r="AJ1167" s="3"/>
    </row>
    <row r="1168" spans="1:36" x14ac:dyDescent="0.25">
      <c r="A1168" s="1"/>
      <c r="B1168" s="2"/>
      <c r="AA1168" s="3"/>
      <c r="AD1168" s="3"/>
      <c r="AG1168" s="3"/>
      <c r="AJ1168" s="3"/>
    </row>
    <row r="1169" spans="1:36" x14ac:dyDescent="0.25">
      <c r="A1169" s="1"/>
      <c r="B1169" s="2"/>
      <c r="AA1169" s="3"/>
      <c r="AD1169" s="3"/>
      <c r="AG1169" s="3"/>
      <c r="AJ1169" s="3"/>
    </row>
    <row r="1170" spans="1:36" x14ac:dyDescent="0.25">
      <c r="A1170" s="1"/>
      <c r="B1170" s="2"/>
      <c r="AA1170" s="3"/>
      <c r="AD1170" s="3"/>
      <c r="AG1170" s="3"/>
      <c r="AJ1170" s="3"/>
    </row>
    <row r="1171" spans="1:36" x14ac:dyDescent="0.25">
      <c r="A1171" s="1"/>
      <c r="B1171" s="2"/>
      <c r="AA1171" s="3"/>
      <c r="AD1171" s="3"/>
      <c r="AG1171" s="3"/>
      <c r="AJ1171" s="3"/>
    </row>
    <row r="1172" spans="1:36" x14ac:dyDescent="0.25">
      <c r="A1172" s="1"/>
      <c r="B1172" s="2"/>
      <c r="AA1172" s="3"/>
      <c r="AD1172" s="3"/>
      <c r="AG1172" s="3"/>
      <c r="AJ1172" s="3"/>
    </row>
    <row r="1173" spans="1:36" x14ac:dyDescent="0.25">
      <c r="A1173" s="1"/>
      <c r="B1173" s="2"/>
      <c r="AA1173" s="3"/>
      <c r="AD1173" s="3"/>
      <c r="AG1173" s="3"/>
      <c r="AJ1173" s="3"/>
    </row>
    <row r="1174" spans="1:36" x14ac:dyDescent="0.25">
      <c r="A1174" s="1"/>
      <c r="B1174" s="2"/>
      <c r="AA1174" s="3"/>
      <c r="AD1174" s="3"/>
      <c r="AG1174" s="3"/>
      <c r="AJ1174" s="3"/>
    </row>
    <row r="1175" spans="1:36" x14ac:dyDescent="0.25">
      <c r="A1175" s="1"/>
      <c r="B1175" s="2"/>
      <c r="AA1175" s="3"/>
      <c r="AD1175" s="3"/>
      <c r="AG1175" s="3"/>
      <c r="AJ1175" s="3"/>
    </row>
    <row r="1176" spans="1:36" x14ac:dyDescent="0.25">
      <c r="A1176" s="1"/>
      <c r="B1176" s="2"/>
      <c r="AA1176" s="3"/>
      <c r="AD1176" s="3"/>
      <c r="AG1176" s="3"/>
      <c r="AJ1176" s="3"/>
    </row>
    <row r="1177" spans="1:36" x14ac:dyDescent="0.25">
      <c r="A1177" s="1"/>
      <c r="B1177" s="2"/>
      <c r="AA1177" s="3"/>
      <c r="AD1177" s="3"/>
      <c r="AG1177" s="3"/>
      <c r="AJ1177" s="3"/>
    </row>
    <row r="1178" spans="1:36" x14ac:dyDescent="0.25">
      <c r="A1178" s="1"/>
      <c r="B1178" s="2"/>
      <c r="AA1178" s="3"/>
      <c r="AD1178" s="3"/>
      <c r="AG1178" s="3"/>
      <c r="AJ1178" s="3"/>
    </row>
    <row r="1179" spans="1:36" x14ac:dyDescent="0.25">
      <c r="A1179" s="1"/>
      <c r="B1179" s="2"/>
      <c r="AA1179" s="3"/>
      <c r="AD1179" s="3"/>
      <c r="AG1179" s="3"/>
      <c r="AJ1179" s="3"/>
    </row>
    <row r="1180" spans="1:36" x14ac:dyDescent="0.25">
      <c r="A1180" s="1"/>
      <c r="B1180" s="2"/>
      <c r="AA1180" s="3"/>
      <c r="AD1180" s="3"/>
      <c r="AG1180" s="3"/>
      <c r="AJ1180" s="3"/>
    </row>
    <row r="1181" spans="1:36" x14ac:dyDescent="0.25">
      <c r="A1181" s="1"/>
      <c r="B1181" s="2"/>
      <c r="AA1181" s="3"/>
      <c r="AD1181" s="3"/>
      <c r="AG1181" s="3"/>
      <c r="AJ1181" s="3"/>
    </row>
    <row r="1182" spans="1:36" x14ac:dyDescent="0.25">
      <c r="A1182" s="1"/>
      <c r="B1182" s="2"/>
      <c r="AA1182" s="3"/>
      <c r="AD1182" s="3"/>
      <c r="AG1182" s="3"/>
      <c r="AJ1182" s="3"/>
    </row>
    <row r="1183" spans="1:36" x14ac:dyDescent="0.25">
      <c r="A1183" s="1"/>
      <c r="B1183" s="2"/>
      <c r="AA1183" s="3"/>
      <c r="AD1183" s="3"/>
      <c r="AG1183" s="3"/>
      <c r="AJ1183" s="3"/>
    </row>
    <row r="1184" spans="1:36" x14ac:dyDescent="0.25">
      <c r="A1184" s="1"/>
      <c r="B1184" s="2"/>
      <c r="AA1184" s="3"/>
      <c r="AD1184" s="3"/>
      <c r="AG1184" s="3"/>
      <c r="AJ1184" s="3"/>
    </row>
    <row r="1185" spans="1:36" x14ac:dyDescent="0.25">
      <c r="A1185" s="1"/>
      <c r="B1185" s="2"/>
      <c r="AA1185" s="3"/>
      <c r="AD1185" s="3"/>
      <c r="AG1185" s="3"/>
      <c r="AJ1185" s="3"/>
    </row>
    <row r="1186" spans="1:36" x14ac:dyDescent="0.25">
      <c r="A1186" s="1"/>
      <c r="B1186" s="2"/>
      <c r="AA1186" s="3"/>
      <c r="AD1186" s="3"/>
      <c r="AG1186" s="3"/>
      <c r="AJ1186" s="3"/>
    </row>
    <row r="1187" spans="1:36" x14ac:dyDescent="0.25">
      <c r="A1187" s="1"/>
      <c r="B1187" s="2"/>
      <c r="AA1187" s="3"/>
      <c r="AD1187" s="3"/>
      <c r="AG1187" s="3"/>
      <c r="AJ1187" s="3"/>
    </row>
    <row r="1188" spans="1:36" x14ac:dyDescent="0.25">
      <c r="A1188" s="1"/>
      <c r="B1188" s="2"/>
      <c r="AA1188" s="3"/>
      <c r="AD1188" s="3"/>
      <c r="AG1188" s="3"/>
      <c r="AJ1188" s="3"/>
    </row>
    <row r="1189" spans="1:36" x14ac:dyDescent="0.25">
      <c r="A1189" s="1"/>
      <c r="B1189" s="2"/>
      <c r="AA1189" s="3"/>
      <c r="AD1189" s="3"/>
      <c r="AG1189" s="3"/>
      <c r="AJ1189" s="3"/>
    </row>
    <row r="1190" spans="1:36" x14ac:dyDescent="0.25">
      <c r="A1190" s="1"/>
      <c r="B1190" s="2"/>
      <c r="AA1190" s="3"/>
      <c r="AD1190" s="3"/>
      <c r="AG1190" s="3"/>
      <c r="AJ1190" s="3"/>
    </row>
    <row r="1191" spans="1:36" x14ac:dyDescent="0.25">
      <c r="A1191" s="1"/>
      <c r="B1191" s="2"/>
      <c r="AA1191" s="3"/>
      <c r="AD1191" s="3"/>
      <c r="AG1191" s="3"/>
      <c r="AJ1191" s="3"/>
    </row>
    <row r="1192" spans="1:36" x14ac:dyDescent="0.25">
      <c r="A1192" s="1"/>
      <c r="B1192" s="2"/>
      <c r="AA1192" s="3"/>
      <c r="AD1192" s="3"/>
      <c r="AG1192" s="3"/>
      <c r="AJ1192" s="3"/>
    </row>
    <row r="1193" spans="1:36" x14ac:dyDescent="0.25">
      <c r="A1193" s="1"/>
      <c r="B1193" s="2"/>
      <c r="AA1193" s="3"/>
      <c r="AD1193" s="3"/>
      <c r="AG1193" s="3"/>
      <c r="AJ1193" s="3"/>
    </row>
    <row r="1194" spans="1:36" x14ac:dyDescent="0.25">
      <c r="A1194" s="1"/>
      <c r="B1194" s="2"/>
      <c r="AA1194" s="3"/>
      <c r="AD1194" s="3"/>
      <c r="AG1194" s="3"/>
      <c r="AJ1194" s="3"/>
    </row>
    <row r="1195" spans="1:36" x14ac:dyDescent="0.25">
      <c r="A1195" s="1"/>
      <c r="B1195" s="2"/>
      <c r="AA1195" s="3"/>
      <c r="AD1195" s="3"/>
      <c r="AG1195" s="3"/>
      <c r="AJ1195" s="3"/>
    </row>
    <row r="1196" spans="1:36" x14ac:dyDescent="0.25">
      <c r="A1196" s="1"/>
      <c r="B1196" s="2"/>
      <c r="AA1196" s="3"/>
      <c r="AD1196" s="3"/>
      <c r="AG1196" s="3"/>
      <c r="AJ1196" s="3"/>
    </row>
    <row r="1197" spans="1:36" x14ac:dyDescent="0.25">
      <c r="A1197" s="1"/>
      <c r="B1197" s="2"/>
      <c r="AA1197" s="3"/>
      <c r="AD1197" s="3"/>
      <c r="AG1197" s="3"/>
      <c r="AJ1197" s="3"/>
    </row>
    <row r="1198" spans="1:36" x14ac:dyDescent="0.25">
      <c r="A1198" s="1"/>
      <c r="B1198" s="2"/>
      <c r="AA1198" s="3"/>
      <c r="AD1198" s="3"/>
      <c r="AG1198" s="3"/>
      <c r="AJ1198" s="3"/>
    </row>
    <row r="1199" spans="1:36" x14ac:dyDescent="0.25">
      <c r="A1199" s="1"/>
      <c r="B1199" s="2"/>
      <c r="AA1199" s="3"/>
      <c r="AD1199" s="3"/>
      <c r="AG1199" s="3"/>
      <c r="AJ1199" s="3"/>
    </row>
    <row r="1200" spans="1:36" x14ac:dyDescent="0.25">
      <c r="A1200" s="1"/>
      <c r="B1200" s="2"/>
      <c r="AA1200" s="3"/>
      <c r="AD1200" s="3"/>
      <c r="AG1200" s="3"/>
      <c r="AJ1200" s="3"/>
    </row>
    <row r="1201" spans="1:36" x14ac:dyDescent="0.25">
      <c r="A1201" s="1"/>
      <c r="B1201" s="2"/>
      <c r="AA1201" s="3"/>
      <c r="AD1201" s="3"/>
      <c r="AG1201" s="3"/>
      <c r="AJ1201" s="3"/>
    </row>
    <row r="1202" spans="1:36" x14ac:dyDescent="0.25">
      <c r="A1202" s="1"/>
      <c r="B1202" s="2"/>
      <c r="AA1202" s="3"/>
      <c r="AD1202" s="3"/>
      <c r="AG1202" s="3"/>
      <c r="AJ1202" s="3"/>
    </row>
    <row r="1203" spans="1:36" x14ac:dyDescent="0.25">
      <c r="A1203" s="1"/>
      <c r="B1203" s="2"/>
      <c r="AA1203" s="3"/>
      <c r="AD1203" s="3"/>
      <c r="AG1203" s="3"/>
      <c r="AJ1203" s="3"/>
    </row>
    <row r="1204" spans="1:36" x14ac:dyDescent="0.25">
      <c r="A1204" s="1"/>
      <c r="B1204" s="2"/>
      <c r="AA1204" s="3"/>
      <c r="AD1204" s="3"/>
      <c r="AG1204" s="3"/>
      <c r="AJ1204" s="3"/>
    </row>
    <row r="1205" spans="1:36" x14ac:dyDescent="0.25">
      <c r="A1205" s="1"/>
      <c r="B1205" s="2"/>
      <c r="AA1205" s="3"/>
      <c r="AD1205" s="3"/>
      <c r="AG1205" s="3"/>
      <c r="AJ1205" s="3"/>
    </row>
    <row r="1206" spans="1:36" x14ac:dyDescent="0.25">
      <c r="A1206" s="1"/>
      <c r="B1206" s="2"/>
      <c r="AA1206" s="3"/>
      <c r="AD1206" s="3"/>
      <c r="AG1206" s="3"/>
      <c r="AJ1206" s="3"/>
    </row>
    <row r="1207" spans="1:36" x14ac:dyDescent="0.25">
      <c r="A1207" s="1"/>
      <c r="B1207" s="2"/>
      <c r="AA1207" s="3"/>
      <c r="AD1207" s="3"/>
      <c r="AG1207" s="3"/>
      <c r="AJ1207" s="3"/>
    </row>
    <row r="1208" spans="1:36" x14ac:dyDescent="0.25">
      <c r="A1208" s="1"/>
      <c r="B1208" s="2"/>
      <c r="AA1208" s="3"/>
      <c r="AD1208" s="3"/>
      <c r="AG1208" s="3"/>
      <c r="AJ1208" s="3"/>
    </row>
    <row r="1209" spans="1:36" x14ac:dyDescent="0.25">
      <c r="A1209" s="1"/>
      <c r="B1209" s="2"/>
      <c r="AA1209" s="3"/>
      <c r="AD1209" s="3"/>
      <c r="AG1209" s="3"/>
      <c r="AJ1209" s="3"/>
    </row>
    <row r="1210" spans="1:36" x14ac:dyDescent="0.25">
      <c r="A1210" s="1"/>
      <c r="B1210" s="2"/>
      <c r="AA1210" s="3"/>
      <c r="AD1210" s="3"/>
      <c r="AG1210" s="3"/>
      <c r="AJ1210" s="3"/>
    </row>
    <row r="1211" spans="1:36" x14ac:dyDescent="0.25">
      <c r="A1211" s="1"/>
      <c r="B1211" s="2"/>
      <c r="AA1211" s="3"/>
      <c r="AD1211" s="3"/>
      <c r="AG1211" s="3"/>
      <c r="AJ1211" s="3"/>
    </row>
    <row r="1212" spans="1:36" x14ac:dyDescent="0.25">
      <c r="A1212" s="1"/>
      <c r="B1212" s="2"/>
      <c r="AA1212" s="3"/>
      <c r="AD1212" s="3"/>
      <c r="AG1212" s="3"/>
      <c r="AJ1212" s="3"/>
    </row>
    <row r="1213" spans="1:36" x14ac:dyDescent="0.25">
      <c r="A1213" s="1"/>
      <c r="B1213" s="2"/>
      <c r="AA1213" s="3"/>
      <c r="AD1213" s="3"/>
      <c r="AG1213" s="3"/>
      <c r="AJ1213" s="3"/>
    </row>
    <row r="1214" spans="1:36" x14ac:dyDescent="0.25">
      <c r="A1214" s="1"/>
      <c r="B1214" s="2"/>
      <c r="AA1214" s="3"/>
      <c r="AD1214" s="3"/>
      <c r="AG1214" s="3"/>
      <c r="AJ1214" s="3"/>
    </row>
    <row r="1215" spans="1:36" x14ac:dyDescent="0.25">
      <c r="A1215" s="1"/>
      <c r="B1215" s="2"/>
      <c r="AA1215" s="3"/>
      <c r="AD1215" s="3"/>
      <c r="AG1215" s="3"/>
      <c r="AJ1215" s="3"/>
    </row>
    <row r="1216" spans="1:36" x14ac:dyDescent="0.25">
      <c r="A1216" s="1"/>
      <c r="B1216" s="2"/>
      <c r="AA1216" s="3"/>
      <c r="AD1216" s="3"/>
      <c r="AG1216" s="3"/>
      <c r="AJ1216" s="3"/>
    </row>
    <row r="1217" spans="1:36" x14ac:dyDescent="0.25">
      <c r="A1217" s="1"/>
      <c r="B1217" s="2"/>
      <c r="AA1217" s="3"/>
      <c r="AD1217" s="3"/>
      <c r="AG1217" s="3"/>
      <c r="AJ1217" s="3"/>
    </row>
    <row r="1218" spans="1:36" x14ac:dyDescent="0.25">
      <c r="A1218" s="1"/>
      <c r="B1218" s="2"/>
      <c r="AA1218" s="3"/>
      <c r="AD1218" s="3"/>
      <c r="AG1218" s="3"/>
      <c r="AJ1218" s="3"/>
    </row>
    <row r="1219" spans="1:36" x14ac:dyDescent="0.25">
      <c r="A1219" s="1"/>
      <c r="B1219" s="2"/>
      <c r="AA1219" s="3"/>
      <c r="AD1219" s="3"/>
      <c r="AG1219" s="3"/>
      <c r="AJ1219" s="3"/>
    </row>
    <row r="1220" spans="1:36" x14ac:dyDescent="0.25">
      <c r="A1220" s="1"/>
      <c r="B1220" s="2"/>
      <c r="AA1220" s="3"/>
      <c r="AD1220" s="3"/>
      <c r="AG1220" s="3"/>
      <c r="AJ1220" s="3"/>
    </row>
    <row r="1221" spans="1:36" x14ac:dyDescent="0.25">
      <c r="A1221" s="1"/>
      <c r="B1221" s="2"/>
      <c r="AA1221" s="3"/>
      <c r="AD1221" s="3"/>
      <c r="AG1221" s="3"/>
      <c r="AJ1221" s="3"/>
    </row>
    <row r="1222" spans="1:36" x14ac:dyDescent="0.25">
      <c r="A1222" s="1"/>
      <c r="B1222" s="2"/>
      <c r="AA1222" s="3"/>
      <c r="AD1222" s="3"/>
      <c r="AG1222" s="3"/>
      <c r="AJ1222" s="3"/>
    </row>
    <row r="1223" spans="1:36" x14ac:dyDescent="0.25">
      <c r="A1223" s="1"/>
      <c r="B1223" s="2"/>
      <c r="AA1223" s="3"/>
      <c r="AD1223" s="3"/>
      <c r="AG1223" s="3"/>
      <c r="AJ1223" s="3"/>
    </row>
    <row r="1224" spans="1:36" x14ac:dyDescent="0.25">
      <c r="A1224" s="1"/>
      <c r="B1224" s="2"/>
      <c r="AA1224" s="3"/>
      <c r="AD1224" s="3"/>
      <c r="AG1224" s="3"/>
      <c r="AJ1224" s="3"/>
    </row>
    <row r="1225" spans="1:36" x14ac:dyDescent="0.25">
      <c r="A1225" s="1"/>
      <c r="B1225" s="2"/>
      <c r="AA1225" s="3"/>
      <c r="AD1225" s="3"/>
      <c r="AG1225" s="3"/>
      <c r="AJ1225" s="3"/>
    </row>
    <row r="1226" spans="1:36" x14ac:dyDescent="0.25">
      <c r="A1226" s="1"/>
      <c r="B1226" s="2"/>
      <c r="AA1226" s="3"/>
      <c r="AD1226" s="3"/>
      <c r="AG1226" s="3"/>
      <c r="AJ1226" s="3"/>
    </row>
    <row r="1227" spans="1:36" x14ac:dyDescent="0.25">
      <c r="A1227" s="1"/>
      <c r="B1227" s="2"/>
      <c r="AA1227" s="3"/>
      <c r="AD1227" s="3"/>
      <c r="AG1227" s="3"/>
      <c r="AJ1227" s="3"/>
    </row>
    <row r="1228" spans="1:36" x14ac:dyDescent="0.25">
      <c r="A1228" s="1"/>
      <c r="B1228" s="2"/>
      <c r="AA1228" s="3"/>
      <c r="AD1228" s="3"/>
      <c r="AG1228" s="3"/>
      <c r="AJ1228" s="3"/>
    </row>
    <row r="1229" spans="1:36" x14ac:dyDescent="0.25">
      <c r="A1229" s="1"/>
      <c r="B1229" s="2"/>
      <c r="AA1229" s="3"/>
      <c r="AD1229" s="3"/>
      <c r="AG1229" s="3"/>
      <c r="AJ1229" s="3"/>
    </row>
    <row r="1230" spans="1:36" x14ac:dyDescent="0.25">
      <c r="A1230" s="1"/>
      <c r="B1230" s="2"/>
      <c r="AA1230" s="3"/>
      <c r="AD1230" s="3"/>
      <c r="AG1230" s="3"/>
      <c r="AJ1230" s="3"/>
    </row>
    <row r="1231" spans="1:36" x14ac:dyDescent="0.25">
      <c r="A1231" s="1"/>
      <c r="B1231" s="2"/>
      <c r="AA1231" s="3"/>
      <c r="AD1231" s="3"/>
      <c r="AG1231" s="3"/>
      <c r="AJ1231" s="3"/>
    </row>
    <row r="1232" spans="1:36" x14ac:dyDescent="0.25">
      <c r="A1232" s="1"/>
      <c r="B1232" s="2"/>
      <c r="AA1232" s="3"/>
      <c r="AD1232" s="3"/>
      <c r="AG1232" s="3"/>
      <c r="AJ1232" s="3"/>
    </row>
    <row r="1233" spans="1:36" x14ac:dyDescent="0.25">
      <c r="A1233" s="1"/>
      <c r="B1233" s="2"/>
      <c r="AA1233" s="3"/>
      <c r="AD1233" s="3"/>
      <c r="AG1233" s="3"/>
      <c r="AJ1233" s="3"/>
    </row>
    <row r="1234" spans="1:36" x14ac:dyDescent="0.25">
      <c r="A1234" s="1"/>
      <c r="B1234" s="2"/>
      <c r="AA1234" s="3"/>
      <c r="AD1234" s="3"/>
      <c r="AG1234" s="3"/>
      <c r="AJ1234" s="3"/>
    </row>
    <row r="1235" spans="1:36" x14ac:dyDescent="0.25">
      <c r="A1235" s="1"/>
      <c r="B1235" s="2"/>
      <c r="AA1235" s="3"/>
      <c r="AD1235" s="3"/>
      <c r="AG1235" s="3"/>
      <c r="AJ1235" s="3"/>
    </row>
    <row r="1236" spans="1:36" x14ac:dyDescent="0.25">
      <c r="A1236" s="1"/>
      <c r="B1236" s="2"/>
      <c r="AA1236" s="3"/>
      <c r="AD1236" s="3"/>
      <c r="AG1236" s="3"/>
      <c r="AJ1236" s="3"/>
    </row>
    <row r="1237" spans="1:36" x14ac:dyDescent="0.25">
      <c r="A1237" s="1"/>
      <c r="B1237" s="2"/>
      <c r="AA1237" s="3"/>
      <c r="AD1237" s="3"/>
      <c r="AG1237" s="3"/>
      <c r="AJ1237" s="3"/>
    </row>
    <row r="1238" spans="1:36" x14ac:dyDescent="0.25">
      <c r="A1238" s="1"/>
      <c r="B1238" s="2"/>
      <c r="AA1238" s="3"/>
      <c r="AD1238" s="3"/>
      <c r="AG1238" s="3"/>
      <c r="AJ1238" s="3"/>
    </row>
    <row r="1239" spans="1:36" x14ac:dyDescent="0.25">
      <c r="A1239" s="1"/>
      <c r="B1239" s="2"/>
      <c r="AA1239" s="3"/>
      <c r="AD1239" s="3"/>
      <c r="AG1239" s="3"/>
      <c r="AJ1239" s="3"/>
    </row>
    <row r="1240" spans="1:36" x14ac:dyDescent="0.25">
      <c r="A1240" s="1"/>
      <c r="B1240" s="2"/>
      <c r="AA1240" s="3"/>
      <c r="AD1240" s="3"/>
      <c r="AG1240" s="3"/>
      <c r="AJ1240" s="3"/>
    </row>
    <row r="1241" spans="1:36" x14ac:dyDescent="0.25">
      <c r="A1241" s="1"/>
      <c r="B1241" s="2"/>
      <c r="AA1241" s="3"/>
      <c r="AD1241" s="3"/>
      <c r="AG1241" s="3"/>
      <c r="AJ1241" s="3"/>
    </row>
    <row r="1242" spans="1:36" x14ac:dyDescent="0.25">
      <c r="A1242" s="1"/>
      <c r="B1242" s="2"/>
      <c r="AA1242" s="3"/>
      <c r="AD1242" s="3"/>
      <c r="AG1242" s="3"/>
      <c r="AJ1242" s="3"/>
    </row>
    <row r="1243" spans="1:36" x14ac:dyDescent="0.25">
      <c r="A1243" s="1"/>
      <c r="B1243" s="2"/>
      <c r="AA1243" s="3"/>
      <c r="AD1243" s="3"/>
      <c r="AG1243" s="3"/>
      <c r="AJ1243" s="3"/>
    </row>
    <row r="1244" spans="1:36" x14ac:dyDescent="0.25">
      <c r="A1244" s="1"/>
      <c r="B1244" s="2"/>
      <c r="AA1244" s="3"/>
      <c r="AD1244" s="3"/>
      <c r="AG1244" s="3"/>
      <c r="AJ1244" s="3"/>
    </row>
    <row r="1245" spans="1:36" x14ac:dyDescent="0.25">
      <c r="A1245" s="1"/>
      <c r="B1245" s="2"/>
      <c r="AA1245" s="3"/>
      <c r="AD1245" s="3"/>
      <c r="AG1245" s="3"/>
      <c r="AJ1245" s="3"/>
    </row>
    <row r="1246" spans="1:36" x14ac:dyDescent="0.25">
      <c r="A1246" s="1"/>
      <c r="B1246" s="2"/>
      <c r="AA1246" s="3"/>
      <c r="AD1246" s="3"/>
      <c r="AG1246" s="3"/>
      <c r="AJ1246" s="3"/>
    </row>
    <row r="1247" spans="1:36" x14ac:dyDescent="0.25">
      <c r="A1247" s="1"/>
      <c r="B1247" s="2"/>
      <c r="AA1247" s="3"/>
      <c r="AD1247" s="3"/>
      <c r="AG1247" s="3"/>
      <c r="AJ1247" s="3"/>
    </row>
    <row r="1248" spans="1:36" x14ac:dyDescent="0.25">
      <c r="A1248" s="1"/>
      <c r="B1248" s="2"/>
      <c r="AA1248" s="3"/>
      <c r="AD1248" s="3"/>
      <c r="AG1248" s="3"/>
      <c r="AJ1248" s="3"/>
    </row>
    <row r="1249" spans="1:36" x14ac:dyDescent="0.25">
      <c r="A1249" s="1"/>
      <c r="B1249" s="2"/>
      <c r="AA1249" s="3"/>
      <c r="AD1249" s="3"/>
      <c r="AG1249" s="3"/>
      <c r="AJ1249" s="3"/>
    </row>
    <row r="1250" spans="1:36" x14ac:dyDescent="0.25">
      <c r="A1250" s="1"/>
      <c r="B1250" s="2"/>
      <c r="AA1250" s="3"/>
      <c r="AD1250" s="3"/>
      <c r="AG1250" s="3"/>
      <c r="AJ1250" s="3"/>
    </row>
    <row r="1251" spans="1:36" x14ac:dyDescent="0.25">
      <c r="A1251" s="1"/>
      <c r="B1251" s="2"/>
      <c r="AA1251" s="3"/>
      <c r="AD1251" s="3"/>
      <c r="AG1251" s="3"/>
      <c r="AJ1251" s="3"/>
    </row>
    <row r="1252" spans="1:36" x14ac:dyDescent="0.25">
      <c r="A1252" s="1"/>
      <c r="B1252" s="2"/>
    </row>
    <row r="1253" spans="1:36" x14ac:dyDescent="0.25">
      <c r="A1253" s="1"/>
      <c r="B1253" s="2"/>
    </row>
    <row r="1254" spans="1:36" x14ac:dyDescent="0.25">
      <c r="A1254" s="1"/>
      <c r="B1254" s="2"/>
    </row>
    <row r="1255" spans="1:36" x14ac:dyDescent="0.25">
      <c r="A1255" s="1"/>
      <c r="B1255" s="2"/>
    </row>
    <row r="1256" spans="1:36" x14ac:dyDescent="0.25">
      <c r="A1256" s="1"/>
      <c r="B1256" s="2"/>
    </row>
    <row r="1257" spans="1:36" x14ac:dyDescent="0.25">
      <c r="A1257" s="1"/>
      <c r="B1257" s="2"/>
    </row>
    <row r="1258" spans="1:36" x14ac:dyDescent="0.25">
      <c r="A1258" s="1"/>
      <c r="B1258" s="2"/>
    </row>
    <row r="1259" spans="1:36" x14ac:dyDescent="0.25">
      <c r="A1259" s="1"/>
      <c r="B1259" s="2"/>
    </row>
    <row r="1260" spans="1:36" x14ac:dyDescent="0.25">
      <c r="A1260" s="1"/>
      <c r="B1260" s="2"/>
    </row>
    <row r="1261" spans="1:36" x14ac:dyDescent="0.25">
      <c r="A1261" s="1"/>
      <c r="B1261" s="2"/>
    </row>
    <row r="1262" spans="1:36" x14ac:dyDescent="0.25">
      <c r="A1262" s="1"/>
      <c r="B1262" s="2"/>
    </row>
    <row r="1263" spans="1:36" x14ac:dyDescent="0.25">
      <c r="A1263" s="1"/>
      <c r="B1263" s="2"/>
    </row>
    <row r="1264" spans="1:36" x14ac:dyDescent="0.25">
      <c r="A1264" s="1"/>
      <c r="B1264" s="2"/>
    </row>
    <row r="1265" spans="1:36" x14ac:dyDescent="0.25">
      <c r="A1265" s="1"/>
      <c r="B1265" s="2"/>
    </row>
    <row r="1266" spans="1:36" x14ac:dyDescent="0.25">
      <c r="A1266" s="1"/>
      <c r="B1266" s="2"/>
    </row>
    <row r="1267" spans="1:36" x14ac:dyDescent="0.25">
      <c r="A1267" s="1"/>
      <c r="B1267" s="2"/>
      <c r="AA1267" s="3"/>
      <c r="AD1267" s="3"/>
      <c r="AG1267" s="3"/>
      <c r="AJ1267" s="3"/>
    </row>
    <row r="1268" spans="1:36" x14ac:dyDescent="0.25">
      <c r="A1268" s="1"/>
      <c r="B1268" s="2"/>
      <c r="AA1268" s="3"/>
      <c r="AD1268" s="3"/>
      <c r="AG1268" s="3"/>
      <c r="AJ1268" s="3"/>
    </row>
    <row r="1269" spans="1:36" x14ac:dyDescent="0.25">
      <c r="A1269" s="1"/>
      <c r="B1269" s="2"/>
      <c r="AA1269" s="3"/>
      <c r="AD1269" s="3"/>
      <c r="AG1269" s="3"/>
      <c r="AJ1269" s="3"/>
    </row>
    <row r="1270" spans="1:36" x14ac:dyDescent="0.25">
      <c r="A1270" s="1"/>
      <c r="B1270" s="2"/>
      <c r="AA1270" s="3"/>
      <c r="AD1270" s="3"/>
      <c r="AG1270" s="3"/>
      <c r="AJ1270" s="3"/>
    </row>
    <row r="1271" spans="1:36" x14ac:dyDescent="0.25">
      <c r="A1271" s="1"/>
      <c r="B1271" s="2"/>
      <c r="AA1271" s="3"/>
      <c r="AD1271" s="3"/>
      <c r="AG1271" s="3"/>
      <c r="AJ1271" s="3"/>
    </row>
    <row r="1272" spans="1:36" x14ac:dyDescent="0.25">
      <c r="A1272" s="1"/>
      <c r="B1272" s="2"/>
      <c r="AA1272" s="3"/>
      <c r="AD1272" s="3"/>
      <c r="AG1272" s="3"/>
      <c r="AJ1272" s="3"/>
    </row>
    <row r="1273" spans="1:36" x14ac:dyDescent="0.25">
      <c r="A1273" s="1"/>
      <c r="B1273" s="2"/>
      <c r="AA1273" s="3"/>
      <c r="AD1273" s="3"/>
      <c r="AG1273" s="3"/>
      <c r="AJ1273" s="3"/>
    </row>
    <row r="1274" spans="1:36" x14ac:dyDescent="0.25">
      <c r="A1274" s="1"/>
      <c r="B1274" s="2"/>
      <c r="AA1274" s="3"/>
      <c r="AD1274" s="3"/>
      <c r="AG1274" s="3"/>
      <c r="AJ1274" s="3"/>
    </row>
    <row r="1275" spans="1:36" x14ac:dyDescent="0.25">
      <c r="A1275" s="1"/>
      <c r="B1275" s="2"/>
      <c r="AA1275" s="3"/>
      <c r="AD1275" s="3"/>
      <c r="AG1275" s="3"/>
      <c r="AJ1275" s="3"/>
    </row>
    <row r="1276" spans="1:36" x14ac:dyDescent="0.25">
      <c r="A1276" s="1"/>
      <c r="B1276" s="2"/>
      <c r="AA1276" s="3"/>
      <c r="AD1276" s="3"/>
      <c r="AG1276" s="3"/>
      <c r="AJ1276" s="3"/>
    </row>
    <row r="1277" spans="1:36" x14ac:dyDescent="0.25">
      <c r="A1277" s="1"/>
      <c r="B1277" s="2"/>
      <c r="AA1277" s="3"/>
      <c r="AD1277" s="3"/>
      <c r="AG1277" s="3"/>
      <c r="AJ1277" s="3"/>
    </row>
    <row r="1278" spans="1:36" x14ac:dyDescent="0.25">
      <c r="A1278" s="1"/>
      <c r="B1278" s="2"/>
      <c r="AA1278" s="3"/>
      <c r="AD1278" s="3"/>
      <c r="AG1278" s="3"/>
      <c r="AJ1278" s="3"/>
    </row>
    <row r="1279" spans="1:36" x14ac:dyDescent="0.25">
      <c r="A1279" s="1"/>
      <c r="B1279" s="2"/>
      <c r="AA1279" s="3"/>
      <c r="AD1279" s="3"/>
      <c r="AG1279" s="3"/>
      <c r="AJ1279" s="3"/>
    </row>
    <row r="1280" spans="1:36" x14ac:dyDescent="0.25">
      <c r="A1280" s="1"/>
      <c r="B1280" s="2"/>
      <c r="AA1280" s="3"/>
      <c r="AD1280" s="3"/>
      <c r="AG1280" s="3"/>
      <c r="AJ1280" s="3"/>
    </row>
    <row r="1281" spans="1:36" x14ac:dyDescent="0.25">
      <c r="A1281" s="1"/>
      <c r="B1281" s="2"/>
      <c r="AA1281" s="3"/>
      <c r="AD1281" s="3"/>
      <c r="AG1281" s="3"/>
      <c r="AJ1281" s="3"/>
    </row>
    <row r="1282" spans="1:36" x14ac:dyDescent="0.25">
      <c r="A1282" s="1"/>
      <c r="B1282" s="2"/>
      <c r="AA1282" s="3"/>
      <c r="AD1282" s="3"/>
      <c r="AG1282" s="3"/>
      <c r="AJ1282" s="3"/>
    </row>
    <row r="1283" spans="1:36" x14ac:dyDescent="0.25">
      <c r="A1283" s="1"/>
      <c r="B1283" s="2"/>
      <c r="AA1283" s="3"/>
      <c r="AD1283" s="3"/>
      <c r="AG1283" s="3"/>
      <c r="AJ1283" s="3"/>
    </row>
    <row r="1284" spans="1:36" x14ac:dyDescent="0.25">
      <c r="A1284" s="1"/>
      <c r="B1284" s="2"/>
      <c r="AA1284" s="3"/>
      <c r="AD1284" s="3"/>
      <c r="AG1284" s="3"/>
      <c r="AJ1284" s="3"/>
    </row>
    <row r="1285" spans="1:36" x14ac:dyDescent="0.25">
      <c r="A1285" s="1"/>
      <c r="B1285" s="2"/>
      <c r="AA1285" s="3"/>
      <c r="AD1285" s="3"/>
      <c r="AG1285" s="3"/>
      <c r="AJ1285" s="3"/>
    </row>
    <row r="1286" spans="1:36" x14ac:dyDescent="0.25">
      <c r="A1286" s="1"/>
      <c r="B1286" s="2"/>
      <c r="AA1286" s="3"/>
      <c r="AD1286" s="3"/>
      <c r="AG1286" s="3"/>
      <c r="AJ1286" s="3"/>
    </row>
    <row r="1287" spans="1:36" x14ac:dyDescent="0.25">
      <c r="A1287" s="1"/>
      <c r="B1287" s="2"/>
      <c r="AA1287" s="3"/>
      <c r="AD1287" s="3"/>
      <c r="AG1287" s="3"/>
      <c r="AJ1287" s="3"/>
    </row>
    <row r="1288" spans="1:36" x14ac:dyDescent="0.25">
      <c r="A1288" s="1"/>
      <c r="B1288" s="2"/>
      <c r="AA1288" s="3"/>
      <c r="AD1288" s="3"/>
      <c r="AG1288" s="3"/>
      <c r="AJ1288" s="3"/>
    </row>
    <row r="1289" spans="1:36" x14ac:dyDescent="0.25">
      <c r="A1289" s="1"/>
      <c r="B1289" s="2"/>
      <c r="AA1289" s="3"/>
      <c r="AD1289" s="3"/>
      <c r="AG1289" s="3"/>
      <c r="AJ1289" s="3"/>
    </row>
    <row r="1290" spans="1:36" x14ac:dyDescent="0.25">
      <c r="A1290" s="1"/>
      <c r="B1290" s="2"/>
      <c r="AA1290" s="3"/>
      <c r="AD1290" s="3"/>
      <c r="AG1290" s="3"/>
      <c r="AJ1290" s="3"/>
    </row>
    <row r="1291" spans="1:36" x14ac:dyDescent="0.25">
      <c r="A1291" s="1"/>
      <c r="B1291" s="2"/>
      <c r="AA1291" s="3"/>
      <c r="AD1291" s="3"/>
      <c r="AG1291" s="3"/>
      <c r="AJ1291" s="3"/>
    </row>
    <row r="1292" spans="1:36" x14ac:dyDescent="0.25">
      <c r="A1292" s="1"/>
      <c r="B1292" s="2"/>
      <c r="AA1292" s="3"/>
      <c r="AD1292" s="3"/>
      <c r="AG1292" s="3"/>
      <c r="AJ1292" s="3"/>
    </row>
    <row r="1293" spans="1:36" x14ac:dyDescent="0.25">
      <c r="A1293" s="1"/>
      <c r="B1293" s="2"/>
      <c r="AA1293" s="3"/>
      <c r="AD1293" s="3"/>
      <c r="AG1293" s="3"/>
      <c r="AJ1293" s="3"/>
    </row>
    <row r="1294" spans="1:36" x14ac:dyDescent="0.25">
      <c r="A1294" s="1"/>
      <c r="B1294" s="2"/>
      <c r="AA1294" s="3"/>
      <c r="AD1294" s="3"/>
      <c r="AG1294" s="3"/>
      <c r="AJ1294" s="3"/>
    </row>
    <row r="1295" spans="1:36" x14ac:dyDescent="0.25">
      <c r="A1295" s="1"/>
      <c r="B1295" s="2"/>
      <c r="AA1295" s="3"/>
      <c r="AD1295" s="3"/>
      <c r="AG1295" s="3"/>
      <c r="AJ1295" s="3"/>
    </row>
    <row r="1296" spans="1:36" x14ac:dyDescent="0.25">
      <c r="A1296" s="1"/>
      <c r="B1296" s="2"/>
      <c r="AA1296" s="3"/>
      <c r="AD1296" s="3"/>
      <c r="AG1296" s="3"/>
      <c r="AJ1296" s="3"/>
    </row>
    <row r="1297" spans="1:36" x14ac:dyDescent="0.25">
      <c r="A1297" s="1"/>
      <c r="B1297" s="2"/>
      <c r="AA1297" s="3"/>
      <c r="AD1297" s="3"/>
      <c r="AG1297" s="3"/>
      <c r="AJ1297" s="3"/>
    </row>
    <row r="1298" spans="1:36" x14ac:dyDescent="0.25">
      <c r="A1298" s="1"/>
      <c r="B1298" s="2"/>
      <c r="AA1298" s="3"/>
      <c r="AD1298" s="3"/>
      <c r="AG1298" s="3"/>
      <c r="AJ1298" s="3"/>
    </row>
    <row r="1299" spans="1:36" x14ac:dyDescent="0.25">
      <c r="A1299" s="1"/>
      <c r="B1299" s="2"/>
      <c r="AA1299" s="3"/>
      <c r="AD1299" s="3"/>
      <c r="AG1299" s="3"/>
      <c r="AJ1299" s="3"/>
    </row>
    <row r="1300" spans="1:36" x14ac:dyDescent="0.25">
      <c r="A1300" s="1"/>
      <c r="B1300" s="2"/>
      <c r="AA1300" s="3"/>
      <c r="AD1300" s="3"/>
      <c r="AG1300" s="3"/>
      <c r="AJ1300" s="3"/>
    </row>
    <row r="1301" spans="1:36" x14ac:dyDescent="0.25">
      <c r="A1301" s="1"/>
      <c r="B1301" s="2"/>
      <c r="AA1301" s="3"/>
      <c r="AD1301" s="3"/>
      <c r="AG1301" s="3"/>
      <c r="AJ1301" s="3"/>
    </row>
    <row r="1302" spans="1:36" x14ac:dyDescent="0.25">
      <c r="A1302" s="1"/>
      <c r="B1302" s="2"/>
      <c r="AA1302" s="3"/>
      <c r="AD1302" s="3"/>
      <c r="AG1302" s="3"/>
      <c r="AJ1302" s="3"/>
    </row>
    <row r="1303" spans="1:36" x14ac:dyDescent="0.25">
      <c r="A1303" s="1"/>
      <c r="B1303" s="2"/>
      <c r="AA1303" s="3"/>
      <c r="AD1303" s="3"/>
      <c r="AG1303" s="3"/>
      <c r="AJ1303" s="3"/>
    </row>
    <row r="1304" spans="1:36" x14ac:dyDescent="0.25">
      <c r="A1304" s="1"/>
      <c r="B1304" s="2"/>
      <c r="AA1304" s="3"/>
      <c r="AD1304" s="3"/>
      <c r="AG1304" s="3"/>
      <c r="AJ1304" s="3"/>
    </row>
    <row r="1305" spans="1:36" x14ac:dyDescent="0.25">
      <c r="A1305" s="1"/>
      <c r="B1305" s="2"/>
      <c r="AA1305" s="3"/>
      <c r="AD1305" s="3"/>
      <c r="AG1305" s="3"/>
      <c r="AJ1305" s="3"/>
    </row>
    <row r="1306" spans="1:36" x14ac:dyDescent="0.25">
      <c r="A1306" s="1"/>
      <c r="B1306" s="2"/>
      <c r="AA1306" s="3"/>
      <c r="AD1306" s="3"/>
      <c r="AG1306" s="3"/>
      <c r="AJ1306" s="3"/>
    </row>
    <row r="1307" spans="1:36" x14ac:dyDescent="0.25">
      <c r="A1307" s="1"/>
      <c r="B1307" s="2"/>
      <c r="AA1307" s="3"/>
      <c r="AD1307" s="3"/>
      <c r="AG1307" s="3"/>
      <c r="AJ1307" s="3"/>
    </row>
    <row r="1308" spans="1:36" x14ac:dyDescent="0.25">
      <c r="A1308" s="1"/>
      <c r="B1308" s="2"/>
      <c r="AA1308" s="3"/>
      <c r="AD1308" s="3"/>
      <c r="AG1308" s="3"/>
      <c r="AJ1308" s="3"/>
    </row>
    <row r="1309" spans="1:36" x14ac:dyDescent="0.25">
      <c r="A1309" s="1"/>
      <c r="B1309" s="2"/>
      <c r="AA1309" s="3"/>
      <c r="AD1309" s="3"/>
      <c r="AG1309" s="3"/>
      <c r="AJ1309" s="3"/>
    </row>
    <row r="1310" spans="1:36" x14ac:dyDescent="0.25">
      <c r="A1310" s="1"/>
      <c r="B1310" s="2"/>
      <c r="AA1310" s="3"/>
      <c r="AD1310" s="3"/>
      <c r="AG1310" s="3"/>
      <c r="AJ1310" s="3"/>
    </row>
    <row r="1311" spans="1:36" x14ac:dyDescent="0.25">
      <c r="A1311" s="1"/>
      <c r="B1311" s="2"/>
      <c r="AA1311" s="3"/>
      <c r="AD1311" s="3"/>
      <c r="AG1311" s="3"/>
      <c r="AJ1311" s="3"/>
    </row>
    <row r="1312" spans="1:36" x14ac:dyDescent="0.25">
      <c r="A1312" s="1"/>
      <c r="B1312" s="2"/>
      <c r="AA1312" s="3"/>
      <c r="AD1312" s="3"/>
      <c r="AG1312" s="3"/>
      <c r="AJ1312" s="3"/>
    </row>
    <row r="1313" spans="1:36" x14ac:dyDescent="0.25">
      <c r="A1313" s="1"/>
      <c r="B1313" s="2"/>
      <c r="AA1313" s="3"/>
      <c r="AD1313" s="3"/>
      <c r="AG1313" s="3"/>
      <c r="AJ1313" s="3"/>
    </row>
    <row r="1314" spans="1:36" x14ac:dyDescent="0.25">
      <c r="A1314" s="1"/>
      <c r="B1314" s="2"/>
      <c r="AA1314" s="3"/>
      <c r="AD1314" s="3"/>
      <c r="AG1314" s="3"/>
      <c r="AJ1314" s="3"/>
    </row>
    <row r="1315" spans="1:36" x14ac:dyDescent="0.25">
      <c r="A1315" s="1"/>
      <c r="B1315" s="2"/>
      <c r="AA1315" s="3"/>
      <c r="AD1315" s="3"/>
      <c r="AG1315" s="3"/>
      <c r="AJ1315" s="3"/>
    </row>
    <row r="1316" spans="1:36" x14ac:dyDescent="0.25">
      <c r="A1316" s="1"/>
      <c r="B1316" s="2"/>
      <c r="AA1316" s="3"/>
      <c r="AD1316" s="3"/>
      <c r="AG1316" s="3"/>
      <c r="AJ1316" s="3"/>
    </row>
    <row r="1317" spans="1:36" x14ac:dyDescent="0.25">
      <c r="A1317" s="1"/>
      <c r="B1317" s="2"/>
      <c r="AA1317" s="3"/>
      <c r="AD1317" s="3"/>
      <c r="AG1317" s="3"/>
      <c r="AJ1317" s="3"/>
    </row>
    <row r="1318" spans="1:36" x14ac:dyDescent="0.25">
      <c r="A1318" s="1"/>
      <c r="B1318" s="2"/>
      <c r="AA1318" s="3"/>
      <c r="AD1318" s="3"/>
      <c r="AG1318" s="3"/>
      <c r="AJ1318" s="3"/>
    </row>
    <row r="1319" spans="1:36" x14ac:dyDescent="0.25">
      <c r="A1319" s="1"/>
      <c r="B1319" s="2"/>
      <c r="AA1319" s="3"/>
      <c r="AD1319" s="3"/>
      <c r="AG1319" s="3"/>
      <c r="AJ1319" s="3"/>
    </row>
    <row r="1320" spans="1:36" x14ac:dyDescent="0.25">
      <c r="A1320" s="1"/>
      <c r="B1320" s="2"/>
      <c r="AA1320" s="3"/>
      <c r="AD1320" s="3"/>
      <c r="AG1320" s="3"/>
      <c r="AJ1320" s="3"/>
    </row>
    <row r="1321" spans="1:36" x14ac:dyDescent="0.25">
      <c r="A1321" s="1"/>
      <c r="B1321" s="2"/>
      <c r="AA1321" s="3"/>
      <c r="AD1321" s="3"/>
      <c r="AG1321" s="3"/>
      <c r="AJ1321" s="3"/>
    </row>
    <row r="1322" spans="1:36" x14ac:dyDescent="0.25">
      <c r="A1322" s="1"/>
      <c r="B1322" s="2"/>
      <c r="AA1322" s="3"/>
      <c r="AD1322" s="3"/>
      <c r="AG1322" s="3"/>
      <c r="AJ1322" s="3"/>
    </row>
    <row r="1323" spans="1:36" x14ac:dyDescent="0.25">
      <c r="A1323" s="1"/>
      <c r="B1323" s="2"/>
      <c r="AA1323" s="3"/>
      <c r="AD1323" s="3"/>
      <c r="AG1323" s="3"/>
      <c r="AJ1323" s="3"/>
    </row>
    <row r="1324" spans="1:36" x14ac:dyDescent="0.25">
      <c r="A1324" s="1"/>
      <c r="B1324" s="2"/>
      <c r="AA1324" s="3"/>
      <c r="AD1324" s="3"/>
      <c r="AG1324" s="3"/>
      <c r="AJ1324" s="3"/>
    </row>
    <row r="1325" spans="1:36" x14ac:dyDescent="0.25">
      <c r="A1325" s="1"/>
      <c r="B1325" s="2"/>
      <c r="AA1325" s="3"/>
      <c r="AD1325" s="3"/>
      <c r="AG1325" s="3"/>
      <c r="AJ1325" s="3"/>
    </row>
    <row r="1326" spans="1:36" x14ac:dyDescent="0.25">
      <c r="A1326" s="1"/>
      <c r="B1326" s="2"/>
      <c r="AA1326" s="3"/>
      <c r="AD1326" s="3"/>
      <c r="AG1326" s="3"/>
      <c r="AJ1326" s="3"/>
    </row>
    <row r="1327" spans="1:36" x14ac:dyDescent="0.25">
      <c r="A1327" s="1"/>
      <c r="B1327" s="2"/>
      <c r="AA1327" s="3"/>
      <c r="AD1327" s="3"/>
      <c r="AG1327" s="3"/>
      <c r="AJ1327" s="3"/>
    </row>
    <row r="1328" spans="1:36" x14ac:dyDescent="0.25">
      <c r="A1328" s="1"/>
      <c r="B1328" s="2"/>
      <c r="AA1328" s="3"/>
      <c r="AD1328" s="3"/>
      <c r="AG1328" s="3"/>
      <c r="AJ1328" s="3"/>
    </row>
    <row r="1329" spans="1:36" x14ac:dyDescent="0.25">
      <c r="A1329" s="1"/>
      <c r="B1329" s="2"/>
      <c r="AA1329" s="3"/>
      <c r="AD1329" s="3"/>
      <c r="AG1329" s="3"/>
      <c r="AJ1329" s="3"/>
    </row>
    <row r="1330" spans="1:36" x14ac:dyDescent="0.25">
      <c r="A1330" s="1"/>
      <c r="B1330" s="2"/>
      <c r="AA1330" s="3"/>
      <c r="AD1330" s="3"/>
      <c r="AG1330" s="3"/>
      <c r="AJ1330" s="3"/>
    </row>
    <row r="1331" spans="1:36" x14ac:dyDescent="0.25">
      <c r="A1331" s="1"/>
      <c r="B1331" s="2"/>
      <c r="AA1331" s="3"/>
      <c r="AD1331" s="3"/>
      <c r="AG1331" s="3"/>
      <c r="AJ1331" s="3"/>
    </row>
    <row r="1332" spans="1:36" x14ac:dyDescent="0.25">
      <c r="A1332" s="1"/>
      <c r="B1332" s="2"/>
      <c r="AA1332" s="3"/>
      <c r="AD1332" s="3"/>
      <c r="AG1332" s="3"/>
      <c r="AJ1332" s="3"/>
    </row>
    <row r="1333" spans="1:36" x14ac:dyDescent="0.25">
      <c r="A1333" s="1"/>
      <c r="B1333" s="2"/>
      <c r="AA1333" s="3"/>
      <c r="AD1333" s="3"/>
      <c r="AG1333" s="3"/>
      <c r="AJ1333" s="3"/>
    </row>
    <row r="1334" spans="1:36" x14ac:dyDescent="0.25">
      <c r="A1334" s="1"/>
      <c r="B1334" s="2"/>
      <c r="AA1334" s="3"/>
      <c r="AD1334" s="3"/>
      <c r="AG1334" s="3"/>
      <c r="AJ1334" s="3"/>
    </row>
    <row r="1335" spans="1:36" x14ac:dyDescent="0.25">
      <c r="A1335" s="1"/>
      <c r="B1335" s="2"/>
      <c r="AA1335" s="3"/>
      <c r="AD1335" s="3"/>
      <c r="AG1335" s="3"/>
      <c r="AJ1335" s="3"/>
    </row>
    <row r="1336" spans="1:36" x14ac:dyDescent="0.25">
      <c r="A1336" s="1"/>
      <c r="B1336" s="2"/>
      <c r="AA1336" s="3"/>
      <c r="AD1336" s="3"/>
      <c r="AG1336" s="3"/>
      <c r="AJ1336" s="3"/>
    </row>
    <row r="1337" spans="1:36" x14ac:dyDescent="0.25">
      <c r="A1337" s="1"/>
      <c r="B1337" s="2"/>
      <c r="AA1337" s="3"/>
      <c r="AD1337" s="3"/>
      <c r="AG1337" s="3"/>
      <c r="AJ1337" s="3"/>
    </row>
    <row r="1338" spans="1:36" x14ac:dyDescent="0.25">
      <c r="A1338" s="1"/>
      <c r="B1338" s="2"/>
      <c r="AA1338" s="3"/>
      <c r="AD1338" s="3"/>
      <c r="AG1338" s="3"/>
      <c r="AJ1338" s="3"/>
    </row>
    <row r="1339" spans="1:36" x14ac:dyDescent="0.25">
      <c r="A1339" s="1"/>
      <c r="B1339" s="2"/>
      <c r="AA1339" s="3"/>
      <c r="AD1339" s="3"/>
      <c r="AG1339" s="3"/>
      <c r="AJ1339" s="3"/>
    </row>
    <row r="1340" spans="1:36" x14ac:dyDescent="0.25">
      <c r="A1340" s="1"/>
      <c r="B1340" s="2"/>
      <c r="AA1340" s="3"/>
      <c r="AD1340" s="3"/>
      <c r="AG1340" s="3"/>
      <c r="AJ1340" s="3"/>
    </row>
    <row r="1341" spans="1:36" x14ac:dyDescent="0.25">
      <c r="A1341" s="1"/>
      <c r="B1341" s="2"/>
      <c r="AA1341" s="3"/>
      <c r="AD1341" s="3"/>
      <c r="AG1341" s="3"/>
      <c r="AJ1341" s="3"/>
    </row>
    <row r="1342" spans="1:36" x14ac:dyDescent="0.25">
      <c r="A1342" s="1"/>
      <c r="B1342" s="2"/>
      <c r="AA1342" s="3"/>
      <c r="AD1342" s="3"/>
      <c r="AG1342" s="3"/>
      <c r="AJ1342" s="3"/>
    </row>
    <row r="1343" spans="1:36" x14ac:dyDescent="0.25">
      <c r="A1343" s="1"/>
      <c r="B1343" s="2"/>
      <c r="AA1343" s="3"/>
      <c r="AD1343" s="3"/>
      <c r="AG1343" s="3"/>
      <c r="AJ1343" s="3"/>
    </row>
    <row r="1344" spans="1:36" x14ac:dyDescent="0.25">
      <c r="A1344" s="1"/>
      <c r="B1344" s="2"/>
      <c r="AA1344" s="3"/>
      <c r="AD1344" s="3"/>
      <c r="AG1344" s="3"/>
      <c r="AJ1344" s="3"/>
    </row>
    <row r="1345" spans="1:36" x14ac:dyDescent="0.25">
      <c r="A1345" s="1"/>
      <c r="B1345" s="2"/>
      <c r="AA1345" s="3"/>
      <c r="AD1345" s="3"/>
      <c r="AG1345" s="3"/>
      <c r="AJ1345" s="3"/>
    </row>
    <row r="1346" spans="1:36" x14ac:dyDescent="0.25">
      <c r="A1346" s="1"/>
      <c r="B1346" s="2"/>
      <c r="AA1346" s="3"/>
      <c r="AD1346" s="3"/>
      <c r="AG1346" s="3"/>
      <c r="AJ1346" s="3"/>
    </row>
    <row r="1347" spans="1:36" x14ac:dyDescent="0.25">
      <c r="A1347" s="1"/>
      <c r="B1347" s="2"/>
      <c r="AA1347" s="3"/>
      <c r="AD1347" s="3"/>
      <c r="AG1347" s="3"/>
      <c r="AJ1347" s="3"/>
    </row>
    <row r="1348" spans="1:36" x14ac:dyDescent="0.25">
      <c r="A1348" s="1"/>
      <c r="B1348" s="2"/>
      <c r="AA1348" s="3"/>
      <c r="AD1348" s="3"/>
      <c r="AG1348" s="3"/>
      <c r="AJ1348" s="3"/>
    </row>
    <row r="1349" spans="1:36" x14ac:dyDescent="0.25">
      <c r="A1349" s="1"/>
      <c r="B1349" s="2"/>
      <c r="AA1349" s="3"/>
      <c r="AD1349" s="3"/>
      <c r="AG1349" s="3"/>
      <c r="AJ1349" s="3"/>
    </row>
    <row r="1350" spans="1:36" x14ac:dyDescent="0.25">
      <c r="A1350" s="1"/>
      <c r="B1350" s="2"/>
      <c r="AA1350" s="3"/>
      <c r="AD1350" s="3"/>
      <c r="AG1350" s="3"/>
      <c r="AJ1350" s="3"/>
    </row>
    <row r="1351" spans="1:36" x14ac:dyDescent="0.25">
      <c r="A1351" s="1"/>
      <c r="B1351" s="2"/>
      <c r="AA1351" s="3"/>
      <c r="AD1351" s="3"/>
      <c r="AG1351" s="3"/>
      <c r="AJ1351" s="3"/>
    </row>
    <row r="1352" spans="1:36" x14ac:dyDescent="0.25">
      <c r="A1352" s="1"/>
      <c r="B1352" s="2"/>
      <c r="AA1352" s="3"/>
      <c r="AD1352" s="3"/>
      <c r="AG1352" s="3"/>
      <c r="AJ1352" s="3"/>
    </row>
    <row r="1353" spans="1:36" x14ac:dyDescent="0.25">
      <c r="A1353" s="1"/>
      <c r="B1353" s="2"/>
      <c r="AA1353" s="3"/>
      <c r="AD1353" s="3"/>
      <c r="AG1353" s="3"/>
      <c r="AJ1353" s="3"/>
    </row>
    <row r="1354" spans="1:36" x14ac:dyDescent="0.25">
      <c r="A1354" s="1"/>
      <c r="B1354" s="2"/>
      <c r="AA1354" s="3"/>
      <c r="AD1354" s="3"/>
      <c r="AG1354" s="3"/>
      <c r="AJ1354" s="3"/>
    </row>
    <row r="1355" spans="1:36" x14ac:dyDescent="0.25">
      <c r="A1355" s="1"/>
      <c r="B1355" s="2"/>
      <c r="AA1355" s="3"/>
      <c r="AD1355" s="3"/>
      <c r="AG1355" s="3"/>
      <c r="AJ1355" s="3"/>
    </row>
    <row r="1356" spans="1:36" x14ac:dyDescent="0.25">
      <c r="A1356" s="1"/>
      <c r="B1356" s="2"/>
      <c r="AA1356" s="3"/>
      <c r="AD1356" s="3"/>
      <c r="AG1356" s="3"/>
      <c r="AJ1356" s="3"/>
    </row>
    <row r="1357" spans="1:36" x14ac:dyDescent="0.25">
      <c r="A1357" s="1"/>
      <c r="B1357" s="2"/>
      <c r="AA1357" s="3"/>
      <c r="AD1357" s="3"/>
      <c r="AG1357" s="3"/>
      <c r="AJ1357" s="3"/>
    </row>
    <row r="1358" spans="1:36" x14ac:dyDescent="0.25">
      <c r="A1358" s="1"/>
      <c r="B1358" s="2"/>
      <c r="AA1358" s="3"/>
      <c r="AD1358" s="3"/>
      <c r="AG1358" s="3"/>
      <c r="AJ1358" s="3"/>
    </row>
    <row r="1359" spans="1:36" x14ac:dyDescent="0.25">
      <c r="A1359" s="1"/>
      <c r="B1359" s="2"/>
      <c r="AA1359" s="3"/>
      <c r="AD1359" s="3"/>
      <c r="AG1359" s="3"/>
      <c r="AJ1359" s="3"/>
    </row>
    <row r="1360" spans="1:36" x14ac:dyDescent="0.25">
      <c r="A1360" s="1"/>
      <c r="B1360" s="2"/>
      <c r="AA1360" s="3"/>
      <c r="AD1360" s="3"/>
      <c r="AG1360" s="3"/>
      <c r="AJ1360" s="3"/>
    </row>
    <row r="1361" spans="1:36" x14ac:dyDescent="0.25">
      <c r="A1361" s="1"/>
      <c r="B1361" s="2"/>
      <c r="AA1361" s="3"/>
      <c r="AD1361" s="3"/>
      <c r="AG1361" s="3"/>
      <c r="AJ1361" s="3"/>
    </row>
    <row r="1362" spans="1:36" x14ac:dyDescent="0.25">
      <c r="A1362" s="1"/>
      <c r="B1362" s="2"/>
      <c r="AA1362" s="3"/>
      <c r="AD1362" s="3"/>
      <c r="AG1362" s="3"/>
      <c r="AJ1362" s="3"/>
    </row>
    <row r="1363" spans="1:36" x14ac:dyDescent="0.25">
      <c r="A1363" s="1"/>
      <c r="B1363" s="2"/>
      <c r="AA1363" s="3"/>
      <c r="AD1363" s="3"/>
      <c r="AG1363" s="3"/>
      <c r="AJ1363" s="3"/>
    </row>
    <row r="1364" spans="1:36" x14ac:dyDescent="0.25">
      <c r="A1364" s="1"/>
      <c r="B1364" s="2"/>
      <c r="AA1364" s="3"/>
      <c r="AD1364" s="3"/>
      <c r="AG1364" s="3"/>
      <c r="AJ1364" s="3"/>
    </row>
    <row r="1365" spans="1:36" x14ac:dyDescent="0.25">
      <c r="A1365" s="1"/>
      <c r="B1365" s="2"/>
      <c r="AA1365" s="3"/>
      <c r="AD1365" s="3"/>
      <c r="AG1365" s="3"/>
      <c r="AJ1365" s="3"/>
    </row>
    <row r="1366" spans="1:36" x14ac:dyDescent="0.25">
      <c r="A1366" s="1"/>
      <c r="B1366" s="2"/>
      <c r="AA1366" s="3"/>
      <c r="AD1366" s="3"/>
      <c r="AG1366" s="3"/>
      <c r="AJ1366" s="3"/>
    </row>
    <row r="1367" spans="1:36" x14ac:dyDescent="0.25">
      <c r="A1367" s="1"/>
      <c r="B1367" s="2"/>
      <c r="AA1367" s="3"/>
      <c r="AD1367" s="3"/>
      <c r="AG1367" s="3"/>
      <c r="AJ1367" s="3"/>
    </row>
    <row r="1368" spans="1:36" x14ac:dyDescent="0.25">
      <c r="A1368" s="1"/>
      <c r="B1368" s="2"/>
      <c r="AA1368" s="3"/>
      <c r="AD1368" s="3"/>
      <c r="AG1368" s="3"/>
      <c r="AJ1368" s="3"/>
    </row>
    <row r="1369" spans="1:36" x14ac:dyDescent="0.25">
      <c r="A1369" s="1"/>
      <c r="B1369" s="2"/>
      <c r="AA1369" s="3"/>
      <c r="AD1369" s="3"/>
      <c r="AG1369" s="3"/>
      <c r="AJ1369" s="3"/>
    </row>
    <row r="1370" spans="1:36" x14ac:dyDescent="0.25">
      <c r="A1370" s="1"/>
      <c r="B1370" s="2"/>
      <c r="AA1370" s="3"/>
      <c r="AD1370" s="3"/>
      <c r="AG1370" s="3"/>
      <c r="AJ1370" s="3"/>
    </row>
    <row r="1371" spans="1:36" x14ac:dyDescent="0.25">
      <c r="A1371" s="1"/>
      <c r="B1371" s="2"/>
      <c r="AA1371" s="3"/>
      <c r="AD1371" s="3"/>
      <c r="AG1371" s="3"/>
      <c r="AJ1371" s="3"/>
    </row>
    <row r="1372" spans="1:36" x14ac:dyDescent="0.25">
      <c r="A1372" s="1"/>
      <c r="B1372" s="2"/>
      <c r="AA1372" s="3"/>
      <c r="AD1372" s="3"/>
      <c r="AG1372" s="3"/>
      <c r="AJ1372" s="3"/>
    </row>
    <row r="1373" spans="1:36" x14ac:dyDescent="0.25">
      <c r="A1373" s="1"/>
      <c r="B1373" s="2"/>
      <c r="AA1373" s="3"/>
      <c r="AD1373" s="3"/>
      <c r="AG1373" s="3"/>
      <c r="AJ1373" s="3"/>
    </row>
    <row r="1374" spans="1:36" x14ac:dyDescent="0.25">
      <c r="A1374" s="1"/>
      <c r="B1374" s="2"/>
      <c r="AA1374" s="3"/>
      <c r="AD1374" s="3"/>
      <c r="AG1374" s="3"/>
      <c r="AJ1374" s="3"/>
    </row>
    <row r="1375" spans="1:36" x14ac:dyDescent="0.25">
      <c r="A1375" s="1"/>
      <c r="B1375" s="2"/>
      <c r="AA1375" s="3"/>
      <c r="AD1375" s="3"/>
      <c r="AG1375" s="3"/>
      <c r="AJ1375" s="3"/>
    </row>
    <row r="1376" spans="1:36" x14ac:dyDescent="0.25">
      <c r="A1376" s="1"/>
      <c r="B1376" s="2"/>
      <c r="AA1376" s="3"/>
      <c r="AD1376" s="3"/>
      <c r="AG1376" s="3"/>
      <c r="AJ1376" s="3"/>
    </row>
    <row r="1377" spans="1:36" x14ac:dyDescent="0.25">
      <c r="A1377" s="1"/>
      <c r="B1377" s="2"/>
      <c r="AA1377" s="3"/>
      <c r="AD1377" s="3"/>
      <c r="AG1377" s="3"/>
      <c r="AJ1377" s="3"/>
    </row>
    <row r="1378" spans="1:36" x14ac:dyDescent="0.25">
      <c r="A1378" s="1"/>
      <c r="B1378" s="2"/>
      <c r="AA1378" s="3"/>
      <c r="AD1378" s="3"/>
      <c r="AG1378" s="3"/>
      <c r="AJ1378" s="3"/>
    </row>
    <row r="1379" spans="1:36" x14ac:dyDescent="0.25">
      <c r="A1379" s="1"/>
      <c r="B1379" s="2"/>
      <c r="AA1379" s="3"/>
      <c r="AD1379" s="3"/>
      <c r="AG1379" s="3"/>
      <c r="AJ1379" s="3"/>
    </row>
    <row r="1380" spans="1:36" x14ac:dyDescent="0.25">
      <c r="A1380" s="1"/>
      <c r="B1380" s="2"/>
      <c r="AA1380" s="3"/>
      <c r="AD1380" s="3"/>
      <c r="AG1380" s="3"/>
      <c r="AJ1380" s="3"/>
    </row>
    <row r="1381" spans="1:36" x14ac:dyDescent="0.25">
      <c r="A1381" s="1"/>
      <c r="B1381" s="2"/>
      <c r="AA1381" s="3"/>
      <c r="AD1381" s="3"/>
      <c r="AG1381" s="3"/>
      <c r="AJ1381" s="3"/>
    </row>
    <row r="1382" spans="1:36" x14ac:dyDescent="0.25">
      <c r="A1382" s="1"/>
      <c r="B1382" s="2"/>
      <c r="AA1382" s="3"/>
      <c r="AD1382" s="3"/>
      <c r="AG1382" s="3"/>
      <c r="AJ1382" s="3"/>
    </row>
    <row r="1383" spans="1:36" x14ac:dyDescent="0.25">
      <c r="A1383" s="1"/>
      <c r="B1383" s="2"/>
      <c r="AA1383" s="3"/>
      <c r="AD1383" s="3"/>
      <c r="AG1383" s="3"/>
      <c r="AJ1383" s="3"/>
    </row>
    <row r="1384" spans="1:36" x14ac:dyDescent="0.25">
      <c r="A1384" s="1"/>
      <c r="B1384" s="2"/>
      <c r="AA1384" s="3"/>
      <c r="AD1384" s="3"/>
      <c r="AG1384" s="3"/>
      <c r="AJ1384" s="3"/>
    </row>
    <row r="1385" spans="1:36" x14ac:dyDescent="0.25">
      <c r="A1385" s="1"/>
      <c r="B1385" s="2"/>
      <c r="AA1385" s="3"/>
      <c r="AD1385" s="3"/>
      <c r="AG1385" s="3"/>
      <c r="AJ1385" s="3"/>
    </row>
    <row r="1386" spans="1:36" x14ac:dyDescent="0.25">
      <c r="A1386" s="1"/>
      <c r="B1386" s="2"/>
      <c r="AA1386" s="3"/>
      <c r="AD1386" s="3"/>
      <c r="AG1386" s="3"/>
      <c r="AJ1386" s="3"/>
    </row>
    <row r="1387" spans="1:36" x14ac:dyDescent="0.25">
      <c r="A1387" s="1"/>
      <c r="B1387" s="2"/>
      <c r="AA1387" s="3"/>
      <c r="AD1387" s="3"/>
      <c r="AG1387" s="3"/>
      <c r="AJ1387" s="3"/>
    </row>
    <row r="1388" spans="1:36" x14ac:dyDescent="0.25">
      <c r="A1388" s="1"/>
      <c r="B1388" s="2"/>
      <c r="AA1388" s="3"/>
      <c r="AD1388" s="3"/>
      <c r="AG1388" s="3"/>
      <c r="AJ1388" s="3"/>
    </row>
    <row r="1389" spans="1:36" x14ac:dyDescent="0.25">
      <c r="A1389" s="1"/>
      <c r="B1389" s="2"/>
      <c r="AA1389" s="3"/>
      <c r="AD1389" s="3"/>
      <c r="AG1389" s="3"/>
      <c r="AJ1389" s="3"/>
    </row>
    <row r="1390" spans="1:36" x14ac:dyDescent="0.25">
      <c r="A1390" s="1"/>
      <c r="B1390" s="2"/>
      <c r="AA1390" s="3"/>
      <c r="AD1390" s="3"/>
      <c r="AG1390" s="3"/>
      <c r="AJ1390" s="3"/>
    </row>
    <row r="1391" spans="1:36" x14ac:dyDescent="0.25">
      <c r="A1391" s="1"/>
      <c r="B1391" s="2"/>
      <c r="AA1391" s="3"/>
      <c r="AD1391" s="3"/>
      <c r="AG1391" s="3"/>
      <c r="AJ1391" s="3"/>
    </row>
    <row r="1392" spans="1:36" x14ac:dyDescent="0.25">
      <c r="A1392" s="1"/>
      <c r="B1392" s="2"/>
      <c r="AA1392" s="3"/>
      <c r="AD1392" s="3"/>
      <c r="AG1392" s="3"/>
      <c r="AJ1392" s="3"/>
    </row>
    <row r="1393" spans="1:36" x14ac:dyDescent="0.25">
      <c r="A1393" s="1"/>
      <c r="B1393" s="2"/>
      <c r="AA1393" s="3"/>
      <c r="AD1393" s="3"/>
      <c r="AG1393" s="3"/>
      <c r="AJ1393" s="3"/>
    </row>
    <row r="1394" spans="1:36" x14ac:dyDescent="0.25">
      <c r="A1394" s="1"/>
      <c r="B1394" s="2"/>
      <c r="AA1394" s="3"/>
      <c r="AD1394" s="3"/>
      <c r="AG1394" s="3"/>
      <c r="AJ1394" s="3"/>
    </row>
    <row r="1395" spans="1:36" x14ac:dyDescent="0.25">
      <c r="A1395" s="1"/>
      <c r="B1395" s="2"/>
      <c r="AA1395" s="3"/>
      <c r="AD1395" s="3"/>
      <c r="AG1395" s="3"/>
      <c r="AJ1395" s="3"/>
    </row>
    <row r="1396" spans="1:36" x14ac:dyDescent="0.25">
      <c r="A1396" s="1"/>
      <c r="B1396" s="2"/>
      <c r="AA1396" s="3"/>
      <c r="AD1396" s="3"/>
      <c r="AG1396" s="3"/>
      <c r="AJ1396" s="3"/>
    </row>
    <row r="1397" spans="1:36" x14ac:dyDescent="0.25">
      <c r="A1397" s="1"/>
      <c r="B1397" s="2"/>
      <c r="AA1397" s="3"/>
      <c r="AD1397" s="3"/>
      <c r="AG1397" s="3"/>
      <c r="AJ1397" s="3"/>
    </row>
    <row r="1398" spans="1:36" x14ac:dyDescent="0.25">
      <c r="A1398" s="1"/>
      <c r="B1398" s="2"/>
      <c r="AA1398" s="3"/>
      <c r="AD1398" s="3"/>
      <c r="AG1398" s="3"/>
      <c r="AJ1398" s="3"/>
    </row>
    <row r="1399" spans="1:36" x14ac:dyDescent="0.25">
      <c r="A1399" s="1"/>
      <c r="B1399" s="2"/>
      <c r="AA1399" s="3"/>
      <c r="AD1399" s="3"/>
      <c r="AG1399" s="3"/>
      <c r="AJ1399" s="3"/>
    </row>
    <row r="1400" spans="1:36" x14ac:dyDescent="0.25">
      <c r="A1400" s="1"/>
      <c r="B1400" s="2"/>
      <c r="AA1400" s="3"/>
      <c r="AD1400" s="3"/>
      <c r="AG1400" s="3"/>
      <c r="AJ1400" s="3"/>
    </row>
    <row r="1401" spans="1:36" x14ac:dyDescent="0.25">
      <c r="A1401" s="1"/>
      <c r="B1401" s="2"/>
      <c r="AA1401" s="3"/>
      <c r="AD1401" s="3"/>
      <c r="AG1401" s="3"/>
      <c r="AJ1401" s="3"/>
    </row>
    <row r="1402" spans="1:36" x14ac:dyDescent="0.25">
      <c r="A1402" s="1"/>
      <c r="B1402" s="2"/>
      <c r="AA1402" s="3"/>
      <c r="AD1402" s="3"/>
      <c r="AG1402" s="3"/>
      <c r="AJ1402" s="3"/>
    </row>
    <row r="1403" spans="1:36" x14ac:dyDescent="0.25">
      <c r="A1403" s="1"/>
      <c r="B1403" s="2"/>
      <c r="AA1403" s="3"/>
      <c r="AD1403" s="3"/>
      <c r="AG1403" s="3"/>
      <c r="AJ1403" s="3"/>
    </row>
    <row r="1404" spans="1:36" x14ac:dyDescent="0.25">
      <c r="A1404" s="1"/>
      <c r="B1404" s="2"/>
      <c r="AA1404" s="3"/>
      <c r="AD1404" s="3"/>
      <c r="AG1404" s="3"/>
      <c r="AJ1404" s="3"/>
    </row>
    <row r="1405" spans="1:36" x14ac:dyDescent="0.25">
      <c r="A1405" s="1"/>
      <c r="B1405" s="2"/>
      <c r="AA1405" s="3"/>
      <c r="AD1405" s="3"/>
      <c r="AG1405" s="3"/>
      <c r="AJ1405" s="3"/>
    </row>
    <row r="1406" spans="1:36" x14ac:dyDescent="0.25">
      <c r="A1406" s="1"/>
      <c r="B1406" s="2"/>
      <c r="AA1406" s="3"/>
      <c r="AD1406" s="3"/>
      <c r="AG1406" s="3"/>
      <c r="AJ1406" s="3"/>
    </row>
    <row r="1407" spans="1:36" x14ac:dyDescent="0.25">
      <c r="A1407" s="1"/>
      <c r="B1407" s="2"/>
      <c r="AA1407" s="3"/>
      <c r="AD1407" s="3"/>
      <c r="AG1407" s="3"/>
      <c r="AJ1407" s="3"/>
    </row>
    <row r="1408" spans="1:36" x14ac:dyDescent="0.25">
      <c r="A1408" s="1"/>
      <c r="B1408" s="2"/>
      <c r="AA1408" s="3"/>
      <c r="AD1408" s="3"/>
      <c r="AG1408" s="3"/>
      <c r="AJ1408" s="3"/>
    </row>
    <row r="1409" spans="1:36" x14ac:dyDescent="0.25">
      <c r="A1409" s="1"/>
      <c r="B1409" s="2"/>
      <c r="AA1409" s="3"/>
      <c r="AD1409" s="3"/>
      <c r="AG1409" s="3"/>
      <c r="AJ1409" s="3"/>
    </row>
    <row r="1410" spans="1:36" x14ac:dyDescent="0.25">
      <c r="A1410" s="1"/>
      <c r="B1410" s="2"/>
      <c r="AA1410" s="3"/>
      <c r="AD1410" s="3"/>
      <c r="AG1410" s="3"/>
      <c r="AJ1410" s="3"/>
    </row>
    <row r="1411" spans="1:36" x14ac:dyDescent="0.25">
      <c r="A1411" s="1"/>
      <c r="B1411" s="2"/>
      <c r="AA1411" s="3"/>
      <c r="AD1411" s="3"/>
      <c r="AG1411" s="3"/>
      <c r="AJ1411" s="3"/>
    </row>
    <row r="1412" spans="1:36" x14ac:dyDescent="0.25">
      <c r="A1412" s="1"/>
      <c r="B1412" s="2"/>
      <c r="AA1412" s="3"/>
      <c r="AD1412" s="3"/>
      <c r="AG1412" s="3"/>
      <c r="AJ1412" s="3"/>
    </row>
    <row r="1413" spans="1:36" x14ac:dyDescent="0.25">
      <c r="A1413" s="1"/>
      <c r="B1413" s="2"/>
      <c r="AA1413" s="3"/>
      <c r="AD1413" s="3"/>
      <c r="AG1413" s="3"/>
      <c r="AJ1413" s="3"/>
    </row>
    <row r="1414" spans="1:36" x14ac:dyDescent="0.25">
      <c r="A1414" s="1"/>
      <c r="B1414" s="2"/>
      <c r="AA1414" s="3"/>
      <c r="AD1414" s="3"/>
      <c r="AG1414" s="3"/>
      <c r="AJ1414" s="3"/>
    </row>
    <row r="1415" spans="1:36" x14ac:dyDescent="0.25">
      <c r="A1415" s="1"/>
      <c r="B1415" s="2"/>
      <c r="AA1415" s="3"/>
      <c r="AD1415" s="3"/>
      <c r="AG1415" s="3"/>
      <c r="AJ1415" s="3"/>
    </row>
    <row r="1416" spans="1:36" x14ac:dyDescent="0.25">
      <c r="A1416" s="1"/>
      <c r="B1416" s="2"/>
      <c r="AA1416" s="3"/>
      <c r="AD1416" s="3"/>
      <c r="AG1416" s="3"/>
      <c r="AJ1416" s="3"/>
    </row>
    <row r="1417" spans="1:36" x14ac:dyDescent="0.25">
      <c r="A1417" s="1"/>
      <c r="B1417" s="2"/>
      <c r="AA1417" s="3"/>
      <c r="AD1417" s="3"/>
      <c r="AG1417" s="3"/>
      <c r="AJ1417" s="3"/>
    </row>
    <row r="1418" spans="1:36" x14ac:dyDescent="0.25">
      <c r="A1418" s="1"/>
      <c r="B1418" s="2"/>
      <c r="AA1418" s="3"/>
      <c r="AD1418" s="3"/>
      <c r="AG1418" s="3"/>
      <c r="AJ1418" s="3"/>
    </row>
    <row r="1419" spans="1:36" x14ac:dyDescent="0.25">
      <c r="A1419" s="1"/>
      <c r="B1419" s="2"/>
      <c r="AA1419" s="3"/>
      <c r="AD1419" s="3"/>
      <c r="AG1419" s="3"/>
      <c r="AJ1419" s="3"/>
    </row>
    <row r="1420" spans="1:36" x14ac:dyDescent="0.25">
      <c r="A1420" s="1"/>
      <c r="B1420" s="2"/>
      <c r="AA1420" s="3"/>
      <c r="AD1420" s="3"/>
      <c r="AG1420" s="3"/>
      <c r="AJ1420" s="3"/>
    </row>
    <row r="1421" spans="1:36" x14ac:dyDescent="0.25">
      <c r="A1421" s="1"/>
      <c r="B1421" s="2"/>
      <c r="AA1421" s="3"/>
      <c r="AD1421" s="3"/>
      <c r="AG1421" s="3"/>
      <c r="AJ1421" s="3"/>
    </row>
    <row r="1422" spans="1:36" x14ac:dyDescent="0.25">
      <c r="A1422" s="1"/>
      <c r="B1422" s="2"/>
      <c r="AA1422" s="3"/>
      <c r="AD1422" s="3"/>
      <c r="AG1422" s="3"/>
      <c r="AJ1422" s="3"/>
    </row>
    <row r="1423" spans="1:36" x14ac:dyDescent="0.25">
      <c r="A1423" s="1"/>
      <c r="B1423" s="2"/>
      <c r="AA1423" s="3"/>
      <c r="AD1423" s="3"/>
      <c r="AG1423" s="3"/>
      <c r="AJ1423" s="3"/>
    </row>
    <row r="1424" spans="1:36" x14ac:dyDescent="0.25">
      <c r="A1424" s="1"/>
      <c r="B1424" s="2"/>
      <c r="AA1424" s="3"/>
      <c r="AD1424" s="3"/>
      <c r="AG1424" s="3"/>
      <c r="AJ1424" s="3"/>
    </row>
    <row r="1425" spans="1:36" x14ac:dyDescent="0.25">
      <c r="A1425" s="1"/>
      <c r="B1425" s="2"/>
      <c r="AA1425" s="3"/>
      <c r="AD1425" s="3"/>
      <c r="AG1425" s="3"/>
      <c r="AJ1425" s="3"/>
    </row>
    <row r="1426" spans="1:36" x14ac:dyDescent="0.25">
      <c r="A1426" s="1"/>
      <c r="B1426" s="2"/>
      <c r="AA1426" s="3"/>
      <c r="AD1426" s="3"/>
      <c r="AG1426" s="3"/>
      <c r="AJ1426" s="3"/>
    </row>
    <row r="1427" spans="1:36" x14ac:dyDescent="0.25">
      <c r="A1427" s="1"/>
      <c r="B1427" s="2"/>
      <c r="AA1427" s="3"/>
      <c r="AD1427" s="3"/>
      <c r="AG1427" s="3"/>
      <c r="AJ1427" s="3"/>
    </row>
    <row r="1428" spans="1:36" x14ac:dyDescent="0.25">
      <c r="A1428" s="1"/>
      <c r="B1428" s="2"/>
      <c r="AA1428" s="3"/>
      <c r="AD1428" s="3"/>
      <c r="AG1428" s="3"/>
      <c r="AJ1428" s="3"/>
    </row>
    <row r="1429" spans="1:36" x14ac:dyDescent="0.25">
      <c r="A1429" s="1"/>
      <c r="B1429" s="2"/>
      <c r="AA1429" s="3"/>
      <c r="AD1429" s="3"/>
      <c r="AG1429" s="3"/>
      <c r="AJ1429" s="3"/>
    </row>
    <row r="1430" spans="1:36" x14ac:dyDescent="0.25">
      <c r="A1430" s="1"/>
      <c r="B1430" s="2"/>
      <c r="AA1430" s="3"/>
      <c r="AD1430" s="3"/>
      <c r="AG1430" s="3"/>
      <c r="AJ1430" s="3"/>
    </row>
    <row r="1431" spans="1:36" x14ac:dyDescent="0.25">
      <c r="A1431" s="1"/>
      <c r="B1431" s="2"/>
      <c r="AA1431" s="3"/>
      <c r="AD1431" s="3"/>
      <c r="AG1431" s="3"/>
      <c r="AJ1431" s="3"/>
    </row>
    <row r="1432" spans="1:36" x14ac:dyDescent="0.25">
      <c r="A1432" s="1"/>
      <c r="B1432" s="2"/>
      <c r="AA1432" s="3"/>
      <c r="AD1432" s="3"/>
      <c r="AG1432" s="3"/>
      <c r="AJ1432" s="3"/>
    </row>
    <row r="1433" spans="1:36" x14ac:dyDescent="0.25">
      <c r="A1433" s="1"/>
      <c r="B1433" s="2"/>
      <c r="AA1433" s="3"/>
      <c r="AD1433" s="3"/>
      <c r="AG1433" s="3"/>
      <c r="AJ1433" s="3"/>
    </row>
    <row r="1434" spans="1:36" x14ac:dyDescent="0.25">
      <c r="A1434" s="1"/>
      <c r="B1434" s="2"/>
      <c r="AA1434" s="3"/>
      <c r="AD1434" s="3"/>
      <c r="AG1434" s="3"/>
      <c r="AJ1434" s="3"/>
    </row>
    <row r="1435" spans="1:36" x14ac:dyDescent="0.25">
      <c r="A1435" s="1"/>
      <c r="B1435" s="2"/>
      <c r="AA1435" s="3"/>
      <c r="AD1435" s="3"/>
      <c r="AG1435" s="3"/>
      <c r="AJ1435" s="3"/>
    </row>
    <row r="1436" spans="1:36" x14ac:dyDescent="0.25">
      <c r="A1436" s="1"/>
      <c r="B1436" s="2"/>
      <c r="AA1436" s="3"/>
      <c r="AD1436" s="3"/>
      <c r="AG1436" s="3"/>
      <c r="AJ1436" s="3"/>
    </row>
    <row r="1437" spans="1:36" x14ac:dyDescent="0.25">
      <c r="A1437" s="1"/>
      <c r="B1437" s="2"/>
      <c r="AA1437" s="3"/>
      <c r="AD1437" s="3"/>
      <c r="AG1437" s="3"/>
      <c r="AJ1437" s="3"/>
    </row>
    <row r="1438" spans="1:36" x14ac:dyDescent="0.25">
      <c r="A1438" s="1"/>
      <c r="B1438" s="2"/>
      <c r="AA1438" s="3"/>
      <c r="AD1438" s="3"/>
      <c r="AG1438" s="3"/>
      <c r="AJ1438" s="3"/>
    </row>
    <row r="1439" spans="1:36" x14ac:dyDescent="0.25">
      <c r="A1439" s="1"/>
      <c r="B1439" s="2"/>
      <c r="AA1439" s="3"/>
      <c r="AD1439" s="3"/>
      <c r="AG1439" s="3"/>
      <c r="AJ1439" s="3"/>
    </row>
    <row r="1440" spans="1:36" x14ac:dyDescent="0.25">
      <c r="A1440" s="1"/>
      <c r="B1440" s="2"/>
      <c r="AA1440" s="3"/>
      <c r="AD1440" s="3"/>
      <c r="AG1440" s="3"/>
      <c r="AJ1440" s="3"/>
    </row>
    <row r="1441" spans="1:36" x14ac:dyDescent="0.25">
      <c r="A1441" s="1"/>
      <c r="B1441" s="2"/>
      <c r="AA1441" s="3"/>
      <c r="AD1441" s="3"/>
      <c r="AG1441" s="3"/>
      <c r="AJ1441" s="3"/>
    </row>
    <row r="1442" spans="1:36" x14ac:dyDescent="0.25">
      <c r="A1442" s="1"/>
      <c r="B1442" s="2"/>
      <c r="AA1442" s="3"/>
      <c r="AD1442" s="3"/>
      <c r="AG1442" s="3"/>
      <c r="AJ1442" s="3"/>
    </row>
    <row r="1443" spans="1:36" x14ac:dyDescent="0.25">
      <c r="A1443" s="1"/>
      <c r="B1443" s="2"/>
      <c r="AA1443" s="3"/>
      <c r="AD1443" s="3"/>
      <c r="AG1443" s="3"/>
      <c r="AJ1443" s="3"/>
    </row>
    <row r="1444" spans="1:36" x14ac:dyDescent="0.25">
      <c r="A1444" s="1"/>
      <c r="B1444" s="2"/>
      <c r="AA1444" s="3"/>
      <c r="AD1444" s="3"/>
      <c r="AG1444" s="3"/>
      <c r="AJ1444" s="3"/>
    </row>
    <row r="1445" spans="1:36" x14ac:dyDescent="0.25">
      <c r="A1445" s="1"/>
      <c r="B1445" s="2"/>
      <c r="AA1445" s="3"/>
      <c r="AD1445" s="3"/>
      <c r="AG1445" s="3"/>
      <c r="AJ1445" s="3"/>
    </row>
    <row r="1446" spans="1:36" x14ac:dyDescent="0.25">
      <c r="A1446" s="1"/>
      <c r="B1446" s="2"/>
      <c r="AA1446" s="3"/>
      <c r="AD1446" s="3"/>
      <c r="AG1446" s="3"/>
      <c r="AJ1446" s="3"/>
    </row>
    <row r="1447" spans="1:36" x14ac:dyDescent="0.25">
      <c r="A1447" s="1"/>
      <c r="B1447" s="2"/>
      <c r="AA1447" s="3"/>
      <c r="AD1447" s="3"/>
      <c r="AG1447" s="3"/>
      <c r="AJ1447" s="3"/>
    </row>
    <row r="1448" spans="1:36" x14ac:dyDescent="0.25">
      <c r="A1448" s="1"/>
      <c r="B1448" s="2"/>
      <c r="AA1448" s="3"/>
      <c r="AD1448" s="3"/>
      <c r="AG1448" s="3"/>
      <c r="AJ1448" s="3"/>
    </row>
    <row r="1449" spans="1:36" x14ac:dyDescent="0.25">
      <c r="A1449" s="1"/>
      <c r="B1449" s="2"/>
      <c r="AA1449" s="3"/>
      <c r="AD1449" s="3"/>
      <c r="AG1449" s="3"/>
      <c r="AJ1449" s="3"/>
    </row>
    <row r="1450" spans="1:36" x14ac:dyDescent="0.25">
      <c r="A1450" s="1"/>
      <c r="B1450" s="2"/>
      <c r="AA1450" s="3"/>
      <c r="AD1450" s="3"/>
      <c r="AG1450" s="3"/>
      <c r="AJ1450" s="3"/>
    </row>
    <row r="1451" spans="1:36" x14ac:dyDescent="0.25">
      <c r="A1451" s="1"/>
      <c r="B1451" s="2"/>
      <c r="AA1451" s="3"/>
      <c r="AD1451" s="3"/>
      <c r="AG1451" s="3"/>
      <c r="AJ1451" s="3"/>
    </row>
    <row r="1452" spans="1:36" x14ac:dyDescent="0.25">
      <c r="A1452" s="1"/>
      <c r="B1452" s="2"/>
      <c r="AA1452" s="3"/>
      <c r="AD1452" s="3"/>
      <c r="AG1452" s="3"/>
      <c r="AJ1452" s="3"/>
    </row>
    <row r="1453" spans="1:36" x14ac:dyDescent="0.25">
      <c r="A1453" s="1"/>
      <c r="B1453" s="2"/>
      <c r="AA1453" s="3"/>
      <c r="AD1453" s="3"/>
      <c r="AG1453" s="3"/>
      <c r="AJ1453" s="3"/>
    </row>
    <row r="1454" spans="1:36" x14ac:dyDescent="0.25">
      <c r="A1454" s="1"/>
      <c r="B1454" s="2"/>
      <c r="AA1454" s="3"/>
      <c r="AD1454" s="3"/>
      <c r="AG1454" s="3"/>
      <c r="AJ1454" s="3"/>
    </row>
    <row r="1455" spans="1:36" x14ac:dyDescent="0.25">
      <c r="A1455" s="1"/>
      <c r="B1455" s="2"/>
      <c r="AA1455" s="3"/>
      <c r="AD1455" s="3"/>
      <c r="AG1455" s="3"/>
      <c r="AJ1455" s="3"/>
    </row>
    <row r="1456" spans="1:36" x14ac:dyDescent="0.25">
      <c r="A1456" s="1"/>
      <c r="B1456" s="2"/>
      <c r="AA1456" s="3"/>
      <c r="AD1456" s="3"/>
      <c r="AG1456" s="3"/>
      <c r="AJ1456" s="3"/>
    </row>
    <row r="1457" spans="1:36" x14ac:dyDescent="0.25">
      <c r="A1457" s="1"/>
      <c r="B1457" s="2"/>
      <c r="AA1457" s="3"/>
      <c r="AD1457" s="3"/>
      <c r="AG1457" s="3"/>
      <c r="AJ1457" s="3"/>
    </row>
    <row r="1458" spans="1:36" x14ac:dyDescent="0.25">
      <c r="A1458" s="1"/>
      <c r="B1458" s="2"/>
      <c r="AA1458" s="3"/>
      <c r="AD1458" s="3"/>
      <c r="AG1458" s="3"/>
      <c r="AJ1458" s="3"/>
    </row>
    <row r="1459" spans="1:36" x14ac:dyDescent="0.25">
      <c r="A1459" s="1"/>
      <c r="B1459" s="2"/>
      <c r="AA1459" s="3"/>
      <c r="AD1459" s="3"/>
      <c r="AG1459" s="3"/>
      <c r="AJ1459" s="3"/>
    </row>
    <row r="1460" spans="1:36" x14ac:dyDescent="0.25">
      <c r="A1460" s="1"/>
      <c r="B1460" s="2"/>
      <c r="AA1460" s="3"/>
      <c r="AD1460" s="3"/>
      <c r="AG1460" s="3"/>
      <c r="AJ1460" s="3"/>
    </row>
    <row r="1461" spans="1:36" x14ac:dyDescent="0.25">
      <c r="A1461" s="1"/>
      <c r="B1461" s="2"/>
      <c r="AA1461" s="3"/>
      <c r="AD1461" s="3"/>
      <c r="AG1461" s="3"/>
      <c r="AJ1461" s="3"/>
    </row>
    <row r="1462" spans="1:36" x14ac:dyDescent="0.25">
      <c r="A1462" s="1"/>
      <c r="B1462" s="2"/>
      <c r="AA1462" s="3"/>
      <c r="AD1462" s="3"/>
      <c r="AG1462" s="3"/>
      <c r="AJ1462" s="3"/>
    </row>
    <row r="1463" spans="1:36" x14ac:dyDescent="0.25">
      <c r="A1463" s="1"/>
      <c r="B1463" s="2"/>
      <c r="AA1463" s="3"/>
      <c r="AD1463" s="3"/>
      <c r="AG1463" s="3"/>
      <c r="AJ1463" s="3"/>
    </row>
    <row r="1464" spans="1:36" x14ac:dyDescent="0.25">
      <c r="A1464" s="1"/>
      <c r="B1464" s="2"/>
      <c r="AA1464" s="3"/>
      <c r="AD1464" s="3"/>
      <c r="AG1464" s="3"/>
      <c r="AJ1464" s="3"/>
    </row>
    <row r="1465" spans="1:36" x14ac:dyDescent="0.25">
      <c r="A1465" s="1"/>
      <c r="B1465" s="2"/>
      <c r="AA1465" s="3"/>
      <c r="AD1465" s="3"/>
      <c r="AG1465" s="3"/>
      <c r="AJ1465" s="3"/>
    </row>
    <row r="1466" spans="1:36" x14ac:dyDescent="0.25">
      <c r="A1466" s="1"/>
      <c r="B1466" s="2"/>
      <c r="AA1466" s="3"/>
      <c r="AD1466" s="3"/>
      <c r="AG1466" s="3"/>
      <c r="AJ1466" s="3"/>
    </row>
    <row r="1467" spans="1:36" x14ac:dyDescent="0.25">
      <c r="A1467" s="1"/>
      <c r="B1467" s="2"/>
      <c r="AA1467" s="3"/>
      <c r="AD1467" s="3"/>
      <c r="AG1467" s="3"/>
      <c r="AJ1467" s="3"/>
    </row>
    <row r="1468" spans="1:36" x14ac:dyDescent="0.25">
      <c r="A1468" s="1"/>
      <c r="B1468" s="2"/>
      <c r="AA1468" s="3"/>
      <c r="AD1468" s="3"/>
      <c r="AG1468" s="3"/>
      <c r="AJ1468" s="3"/>
    </row>
    <row r="1469" spans="1:36" x14ac:dyDescent="0.25">
      <c r="A1469" s="1"/>
      <c r="B1469" s="2"/>
      <c r="AA1469" s="3"/>
      <c r="AD1469" s="3"/>
      <c r="AG1469" s="3"/>
      <c r="AJ1469" s="3"/>
    </row>
    <row r="1470" spans="1:36" x14ac:dyDescent="0.25">
      <c r="A1470" s="1"/>
      <c r="B1470" s="2"/>
      <c r="AA1470" s="3"/>
      <c r="AD1470" s="3"/>
      <c r="AG1470" s="3"/>
      <c r="AJ1470" s="3"/>
    </row>
    <row r="1471" spans="1:36" x14ac:dyDescent="0.25">
      <c r="A1471" s="1"/>
      <c r="B1471" s="2"/>
      <c r="AA1471" s="3"/>
      <c r="AD1471" s="3"/>
      <c r="AG1471" s="3"/>
      <c r="AJ1471" s="3"/>
    </row>
    <row r="1472" spans="1:36" x14ac:dyDescent="0.25">
      <c r="A1472" s="1"/>
      <c r="B1472" s="2"/>
      <c r="AA1472" s="3"/>
      <c r="AD1472" s="3"/>
      <c r="AG1472" s="3"/>
      <c r="AJ1472" s="3"/>
    </row>
    <row r="1473" spans="1:36" x14ac:dyDescent="0.25">
      <c r="A1473" s="1"/>
      <c r="B1473" s="2"/>
      <c r="AA1473" s="3"/>
      <c r="AD1473" s="3"/>
      <c r="AG1473" s="3"/>
      <c r="AJ1473" s="3"/>
    </row>
    <row r="1474" spans="1:36" x14ac:dyDescent="0.25">
      <c r="A1474" s="1"/>
      <c r="B1474" s="2"/>
      <c r="AA1474" s="3"/>
      <c r="AD1474" s="3"/>
      <c r="AG1474" s="3"/>
      <c r="AJ1474" s="3"/>
    </row>
    <row r="1475" spans="1:36" x14ac:dyDescent="0.25">
      <c r="A1475" s="1"/>
      <c r="B1475" s="2"/>
      <c r="AA1475" s="3"/>
      <c r="AD1475" s="3"/>
      <c r="AG1475" s="3"/>
      <c r="AJ1475" s="3"/>
    </row>
    <row r="1476" spans="1:36" x14ac:dyDescent="0.25">
      <c r="A1476" s="1"/>
      <c r="B1476" s="2"/>
      <c r="AA1476" s="3"/>
      <c r="AD1476" s="3"/>
      <c r="AG1476" s="3"/>
      <c r="AJ1476" s="3"/>
    </row>
    <row r="1477" spans="1:36" x14ac:dyDescent="0.25">
      <c r="A1477" s="1"/>
      <c r="B1477" s="2"/>
      <c r="AA1477" s="3"/>
      <c r="AD1477" s="3"/>
      <c r="AG1477" s="3"/>
      <c r="AJ1477" s="3"/>
    </row>
    <row r="1478" spans="1:36" x14ac:dyDescent="0.25">
      <c r="A1478" s="1"/>
      <c r="B1478" s="2"/>
      <c r="AA1478" s="3"/>
      <c r="AD1478" s="3"/>
      <c r="AG1478" s="3"/>
      <c r="AJ1478" s="3"/>
    </row>
    <row r="1479" spans="1:36" x14ac:dyDescent="0.25">
      <c r="A1479" s="1"/>
      <c r="B1479" s="2"/>
      <c r="AA1479" s="3"/>
      <c r="AD1479" s="3"/>
      <c r="AG1479" s="3"/>
      <c r="AJ1479" s="3"/>
    </row>
    <row r="1480" spans="1:36" x14ac:dyDescent="0.25">
      <c r="A1480" s="1"/>
      <c r="B1480" s="2"/>
      <c r="AA1480" s="3"/>
      <c r="AD1480" s="3"/>
      <c r="AG1480" s="3"/>
      <c r="AJ1480" s="3"/>
    </row>
    <row r="1481" spans="1:36" x14ac:dyDescent="0.25">
      <c r="A1481" s="1"/>
      <c r="B1481" s="2"/>
      <c r="AA1481" s="3"/>
      <c r="AD1481" s="3"/>
      <c r="AG1481" s="3"/>
      <c r="AJ1481" s="3"/>
    </row>
    <row r="1482" spans="1:36" x14ac:dyDescent="0.25">
      <c r="A1482" s="1"/>
      <c r="B1482" s="2"/>
      <c r="AA1482" s="3"/>
      <c r="AD1482" s="3"/>
      <c r="AG1482" s="3"/>
      <c r="AJ1482" s="3"/>
    </row>
    <row r="1483" spans="1:36" x14ac:dyDescent="0.25">
      <c r="A1483" s="1"/>
      <c r="B1483" s="2"/>
      <c r="AA1483" s="3"/>
      <c r="AD1483" s="3"/>
      <c r="AG1483" s="3"/>
      <c r="AJ1483" s="3"/>
    </row>
    <row r="1484" spans="1:36" x14ac:dyDescent="0.25">
      <c r="A1484" s="1"/>
      <c r="B1484" s="2"/>
      <c r="AA1484" s="3"/>
      <c r="AD1484" s="3"/>
      <c r="AG1484" s="3"/>
      <c r="AJ1484" s="3"/>
    </row>
    <row r="1485" spans="1:36" x14ac:dyDescent="0.25">
      <c r="A1485" s="1"/>
      <c r="B1485" s="2"/>
      <c r="AA1485" s="3"/>
      <c r="AD1485" s="3"/>
      <c r="AG1485" s="3"/>
      <c r="AJ1485" s="3"/>
    </row>
    <row r="1486" spans="1:36" x14ac:dyDescent="0.25">
      <c r="A1486" s="1"/>
      <c r="B1486" s="2"/>
      <c r="AA1486" s="3"/>
      <c r="AD1486" s="3"/>
      <c r="AG1486" s="3"/>
      <c r="AJ1486" s="3"/>
    </row>
    <row r="1487" spans="1:36" x14ac:dyDescent="0.25">
      <c r="A1487" s="1"/>
      <c r="B1487" s="2"/>
      <c r="AA1487" s="3"/>
      <c r="AD1487" s="3"/>
      <c r="AG1487" s="3"/>
      <c r="AJ1487" s="3"/>
    </row>
    <row r="1488" spans="1:36" x14ac:dyDescent="0.25">
      <c r="A1488" s="1"/>
      <c r="B1488" s="2"/>
      <c r="AA1488" s="3"/>
      <c r="AD1488" s="3"/>
      <c r="AG1488" s="3"/>
      <c r="AJ1488" s="3"/>
    </row>
    <row r="1489" spans="1:36" x14ac:dyDescent="0.25">
      <c r="A1489" s="1"/>
      <c r="B1489" s="2"/>
      <c r="AA1489" s="3"/>
      <c r="AD1489" s="3"/>
      <c r="AG1489" s="3"/>
      <c r="AJ1489" s="3"/>
    </row>
    <row r="1490" spans="1:36" x14ac:dyDescent="0.25">
      <c r="A1490" s="1"/>
      <c r="B1490" s="2"/>
      <c r="AA1490" s="3"/>
      <c r="AD1490" s="3"/>
      <c r="AG1490" s="3"/>
      <c r="AJ1490" s="3"/>
    </row>
    <row r="1491" spans="1:36" x14ac:dyDescent="0.25">
      <c r="A1491" s="1"/>
      <c r="B1491" s="2"/>
      <c r="AA1491" s="3"/>
      <c r="AD1491" s="3"/>
      <c r="AG1491" s="3"/>
      <c r="AJ1491" s="3"/>
    </row>
    <row r="1492" spans="1:36" x14ac:dyDescent="0.25">
      <c r="A1492" s="1"/>
      <c r="B1492" s="2"/>
      <c r="AA1492" s="3"/>
      <c r="AD1492" s="3"/>
      <c r="AG1492" s="3"/>
      <c r="AJ1492" s="3"/>
    </row>
    <row r="1493" spans="1:36" x14ac:dyDescent="0.25">
      <c r="A1493" s="1"/>
      <c r="B1493" s="2"/>
      <c r="AA1493" s="3"/>
      <c r="AD1493" s="3"/>
      <c r="AG1493" s="3"/>
      <c r="AJ1493" s="3"/>
    </row>
    <row r="1494" spans="1:36" x14ac:dyDescent="0.25">
      <c r="A1494" s="1"/>
      <c r="B1494" s="2"/>
      <c r="AA1494" s="3"/>
      <c r="AD1494" s="3"/>
      <c r="AG1494" s="3"/>
      <c r="AJ1494" s="3"/>
    </row>
    <row r="1495" spans="1:36" x14ac:dyDescent="0.25">
      <c r="A1495" s="1"/>
      <c r="B1495" s="2"/>
      <c r="AA1495" s="3"/>
      <c r="AD1495" s="3"/>
      <c r="AG1495" s="3"/>
      <c r="AJ1495" s="3"/>
    </row>
    <row r="1496" spans="1:36" x14ac:dyDescent="0.25">
      <c r="A1496" s="1"/>
      <c r="B1496" s="2"/>
      <c r="AA1496" s="3"/>
      <c r="AD1496" s="3"/>
      <c r="AG1496" s="3"/>
      <c r="AJ1496" s="3"/>
    </row>
    <row r="1497" spans="1:36" x14ac:dyDescent="0.25">
      <c r="A1497" s="1"/>
      <c r="B1497" s="2"/>
      <c r="AA1497" s="3"/>
      <c r="AD1497" s="3"/>
      <c r="AG1497" s="3"/>
      <c r="AJ1497" s="3"/>
    </row>
    <row r="1498" spans="1:36" x14ac:dyDescent="0.25">
      <c r="A1498" s="1"/>
      <c r="B1498" s="2"/>
      <c r="AA1498" s="3"/>
      <c r="AD1498" s="3"/>
      <c r="AG1498" s="3"/>
      <c r="AJ1498" s="3"/>
    </row>
    <row r="1499" spans="1:36" x14ac:dyDescent="0.25">
      <c r="A1499" s="1"/>
      <c r="B1499" s="2"/>
      <c r="AA1499" s="3"/>
      <c r="AD1499" s="3"/>
      <c r="AG1499" s="3"/>
      <c r="AJ1499" s="3"/>
    </row>
    <row r="1500" spans="1:36" x14ac:dyDescent="0.25">
      <c r="A1500" s="1"/>
      <c r="B1500" s="2"/>
      <c r="AA1500" s="3"/>
      <c r="AD1500" s="3"/>
      <c r="AG1500" s="3"/>
      <c r="AJ1500" s="3"/>
    </row>
    <row r="1501" spans="1:36" x14ac:dyDescent="0.25">
      <c r="A1501" s="1"/>
      <c r="B1501" s="2"/>
      <c r="AA1501" s="3"/>
      <c r="AD1501" s="3"/>
      <c r="AG1501" s="3"/>
      <c r="AJ1501" s="3"/>
    </row>
    <row r="1502" spans="1:36" x14ac:dyDescent="0.25">
      <c r="A1502" s="1"/>
      <c r="B1502" s="2"/>
      <c r="AA1502" s="3"/>
      <c r="AD1502" s="3"/>
      <c r="AG1502" s="3"/>
      <c r="AJ1502" s="3"/>
    </row>
    <row r="1503" spans="1:36" x14ac:dyDescent="0.25">
      <c r="A1503" s="1"/>
      <c r="B1503" s="2"/>
      <c r="AA1503" s="3"/>
      <c r="AD1503" s="3"/>
      <c r="AG1503" s="3"/>
      <c r="AJ1503" s="3"/>
    </row>
    <row r="1504" spans="1:36" x14ac:dyDescent="0.25">
      <c r="A1504" s="1"/>
      <c r="B1504" s="2"/>
      <c r="AA1504" s="3"/>
      <c r="AD1504" s="3"/>
      <c r="AG1504" s="3"/>
      <c r="AJ1504" s="3"/>
    </row>
    <row r="1505" spans="1:36" x14ac:dyDescent="0.25">
      <c r="A1505" s="1"/>
      <c r="B1505" s="2"/>
      <c r="AA1505" s="3"/>
      <c r="AD1505" s="3"/>
      <c r="AG1505" s="3"/>
      <c r="AJ1505" s="3"/>
    </row>
    <row r="1506" spans="1:36" x14ac:dyDescent="0.25">
      <c r="A1506" s="1"/>
      <c r="B1506" s="2"/>
      <c r="AA1506" s="3"/>
      <c r="AD1506" s="3"/>
      <c r="AG1506" s="3"/>
      <c r="AJ1506" s="3"/>
    </row>
    <row r="1507" spans="1:36" x14ac:dyDescent="0.25">
      <c r="A1507" s="1"/>
      <c r="B1507" s="2"/>
      <c r="AA1507" s="3"/>
      <c r="AD1507" s="3"/>
      <c r="AG1507" s="3"/>
      <c r="AJ1507" s="3"/>
    </row>
    <row r="1508" spans="1:36" x14ac:dyDescent="0.25">
      <c r="A1508" s="1"/>
      <c r="B1508" s="2"/>
      <c r="AA1508" s="3"/>
      <c r="AD1508" s="3"/>
      <c r="AG1508" s="3"/>
      <c r="AJ1508" s="3"/>
    </row>
    <row r="1509" spans="1:36" x14ac:dyDescent="0.25">
      <c r="A1509" s="1"/>
      <c r="B1509" s="2"/>
      <c r="AA1509" s="3"/>
      <c r="AD1509" s="3"/>
      <c r="AG1509" s="3"/>
      <c r="AJ1509" s="3"/>
    </row>
    <row r="1510" spans="1:36" x14ac:dyDescent="0.25">
      <c r="A1510" s="1"/>
      <c r="B1510" s="2"/>
      <c r="AA1510" s="3"/>
      <c r="AD1510" s="3"/>
      <c r="AG1510" s="3"/>
      <c r="AJ1510" s="3"/>
    </row>
    <row r="1511" spans="1:36" x14ac:dyDescent="0.25">
      <c r="A1511" s="1"/>
      <c r="B1511" s="2"/>
      <c r="AA1511" s="3"/>
      <c r="AD1511" s="3"/>
      <c r="AG1511" s="3"/>
      <c r="AJ1511" s="3"/>
    </row>
    <row r="1512" spans="1:36" x14ac:dyDescent="0.25">
      <c r="A1512" s="1"/>
      <c r="B1512" s="2"/>
      <c r="AA1512" s="3"/>
      <c r="AD1512" s="3"/>
      <c r="AG1512" s="3"/>
      <c r="AJ1512" s="3"/>
    </row>
    <row r="1513" spans="1:36" x14ac:dyDescent="0.25">
      <c r="A1513" s="1"/>
      <c r="B1513" s="2"/>
      <c r="AA1513" s="3"/>
      <c r="AD1513" s="3"/>
      <c r="AG1513" s="3"/>
      <c r="AJ1513" s="3"/>
    </row>
    <row r="1514" spans="1:36" x14ac:dyDescent="0.25">
      <c r="A1514" s="1"/>
      <c r="B1514" s="2"/>
      <c r="AA1514" s="3"/>
      <c r="AD1514" s="3"/>
      <c r="AG1514" s="3"/>
      <c r="AJ1514" s="3"/>
    </row>
    <row r="1515" spans="1:36" x14ac:dyDescent="0.25">
      <c r="A1515" s="1"/>
      <c r="B1515" s="2"/>
      <c r="AA1515" s="3"/>
      <c r="AD1515" s="3"/>
      <c r="AG1515" s="3"/>
      <c r="AJ1515" s="3"/>
    </row>
    <row r="1516" spans="1:36" x14ac:dyDescent="0.25">
      <c r="A1516" s="1"/>
      <c r="B1516" s="2"/>
      <c r="AA1516" s="3"/>
      <c r="AD1516" s="3"/>
      <c r="AG1516" s="3"/>
      <c r="AJ1516" s="3"/>
    </row>
    <row r="1517" spans="1:36" x14ac:dyDescent="0.25">
      <c r="A1517" s="1"/>
      <c r="B1517" s="2"/>
      <c r="AA1517" s="3"/>
      <c r="AD1517" s="3"/>
      <c r="AG1517" s="3"/>
      <c r="AJ1517" s="3"/>
    </row>
    <row r="1518" spans="1:36" x14ac:dyDescent="0.25">
      <c r="A1518" s="1"/>
      <c r="B1518" s="2"/>
      <c r="AA1518" s="3"/>
      <c r="AD1518" s="3"/>
      <c r="AG1518" s="3"/>
      <c r="AJ1518" s="3"/>
    </row>
    <row r="1519" spans="1:36" x14ac:dyDescent="0.25">
      <c r="A1519" s="1"/>
      <c r="B1519" s="2"/>
      <c r="AA1519" s="3"/>
      <c r="AD1519" s="3"/>
      <c r="AG1519" s="3"/>
      <c r="AJ1519" s="3"/>
    </row>
    <row r="1520" spans="1:36" x14ac:dyDescent="0.25">
      <c r="A1520" s="1"/>
      <c r="B1520" s="2"/>
      <c r="AA1520" s="3"/>
      <c r="AD1520" s="3"/>
      <c r="AG1520" s="3"/>
      <c r="AJ1520" s="3"/>
    </row>
    <row r="1521" spans="1:36" x14ac:dyDescent="0.25">
      <c r="A1521" s="1"/>
      <c r="B1521" s="2"/>
      <c r="AA1521" s="3"/>
      <c r="AD1521" s="3"/>
      <c r="AG1521" s="3"/>
      <c r="AJ1521" s="3"/>
    </row>
    <row r="1522" spans="1:36" x14ac:dyDescent="0.25">
      <c r="A1522" s="1"/>
      <c r="B1522" s="2"/>
      <c r="AA1522" s="3"/>
      <c r="AD1522" s="3"/>
      <c r="AG1522" s="3"/>
      <c r="AJ1522" s="3"/>
    </row>
    <row r="1523" spans="1:36" x14ac:dyDescent="0.25">
      <c r="A1523" s="1"/>
      <c r="B1523" s="2"/>
      <c r="AA1523" s="3"/>
      <c r="AD1523" s="3"/>
      <c r="AG1523" s="3"/>
      <c r="AJ1523" s="3"/>
    </row>
    <row r="1524" spans="1:36" x14ac:dyDescent="0.25">
      <c r="A1524" s="1"/>
      <c r="B1524" s="2"/>
      <c r="AA1524" s="3"/>
      <c r="AD1524" s="3"/>
      <c r="AG1524" s="3"/>
      <c r="AJ1524" s="3"/>
    </row>
    <row r="1525" spans="1:36" x14ac:dyDescent="0.25">
      <c r="A1525" s="1"/>
      <c r="B1525" s="2"/>
      <c r="AA1525" s="3"/>
      <c r="AD1525" s="3"/>
      <c r="AG1525" s="3"/>
      <c r="AJ1525" s="3"/>
    </row>
    <row r="1526" spans="1:36" x14ac:dyDescent="0.25">
      <c r="A1526" s="1"/>
      <c r="B1526" s="2"/>
      <c r="AA1526" s="3"/>
      <c r="AD1526" s="3"/>
      <c r="AG1526" s="3"/>
      <c r="AJ1526" s="3"/>
    </row>
    <row r="1527" spans="1:36" x14ac:dyDescent="0.25">
      <c r="A1527" s="1"/>
      <c r="B1527" s="2"/>
      <c r="AA1527" s="3"/>
      <c r="AD1527" s="3"/>
      <c r="AG1527" s="3"/>
      <c r="AJ1527" s="3"/>
    </row>
    <row r="1528" spans="1:36" x14ac:dyDescent="0.25">
      <c r="A1528" s="1"/>
      <c r="B1528" s="2"/>
      <c r="AA1528" s="3"/>
      <c r="AD1528" s="3"/>
      <c r="AG1528" s="3"/>
      <c r="AJ1528" s="3"/>
    </row>
    <row r="1529" spans="1:36" x14ac:dyDescent="0.25">
      <c r="A1529" s="1"/>
      <c r="B1529" s="2"/>
      <c r="AA1529" s="3"/>
      <c r="AD1529" s="3"/>
      <c r="AG1529" s="3"/>
      <c r="AJ1529" s="3"/>
    </row>
    <row r="1530" spans="1:36" x14ac:dyDescent="0.25">
      <c r="A1530" s="1"/>
      <c r="B1530" s="2"/>
      <c r="AA1530" s="3"/>
      <c r="AD1530" s="3"/>
      <c r="AG1530" s="3"/>
      <c r="AJ1530" s="3"/>
    </row>
    <row r="1531" spans="1:36" x14ac:dyDescent="0.25">
      <c r="A1531" s="1"/>
      <c r="B1531" s="2"/>
      <c r="AA1531" s="3"/>
      <c r="AD1531" s="3"/>
      <c r="AG1531" s="3"/>
      <c r="AJ1531" s="3"/>
    </row>
    <row r="1532" spans="1:36" x14ac:dyDescent="0.25">
      <c r="A1532" s="1"/>
      <c r="B1532" s="2"/>
      <c r="AA1532" s="3"/>
      <c r="AD1532" s="3"/>
      <c r="AG1532" s="3"/>
      <c r="AJ1532" s="3"/>
    </row>
    <row r="1533" spans="1:36" x14ac:dyDescent="0.25">
      <c r="A1533" s="1"/>
      <c r="B1533" s="2"/>
      <c r="AA1533" s="3"/>
      <c r="AD1533" s="3"/>
      <c r="AG1533" s="3"/>
      <c r="AJ1533" s="3"/>
    </row>
    <row r="1534" spans="1:36" x14ac:dyDescent="0.25">
      <c r="A1534" s="1"/>
      <c r="B1534" s="2"/>
      <c r="AA1534" s="3"/>
      <c r="AD1534" s="3"/>
      <c r="AG1534" s="3"/>
      <c r="AJ1534" s="3"/>
    </row>
    <row r="1535" spans="1:36" x14ac:dyDescent="0.25">
      <c r="A1535" s="1"/>
      <c r="B1535" s="2"/>
      <c r="AA1535" s="3"/>
      <c r="AD1535" s="3"/>
      <c r="AG1535" s="3"/>
      <c r="AJ1535" s="3"/>
    </row>
    <row r="1536" spans="1:36" x14ac:dyDescent="0.25">
      <c r="A1536" s="1"/>
      <c r="B1536" s="2"/>
      <c r="AA1536" s="3"/>
      <c r="AD1536" s="3"/>
      <c r="AG1536" s="3"/>
      <c r="AJ1536" s="3"/>
    </row>
    <row r="1537" spans="1:36" x14ac:dyDescent="0.25">
      <c r="A1537" s="1"/>
      <c r="B1537" s="2"/>
      <c r="AA1537" s="3"/>
      <c r="AD1537" s="3"/>
      <c r="AG1537" s="3"/>
      <c r="AJ1537" s="3"/>
    </row>
    <row r="1538" spans="1:36" x14ac:dyDescent="0.25">
      <c r="A1538" s="1"/>
      <c r="B1538" s="2"/>
      <c r="AA1538" s="3"/>
      <c r="AD1538" s="3"/>
      <c r="AG1538" s="3"/>
      <c r="AJ1538" s="3"/>
    </row>
    <row r="1539" spans="1:36" x14ac:dyDescent="0.25">
      <c r="A1539" s="1"/>
      <c r="B1539" s="2"/>
      <c r="AA1539" s="3"/>
      <c r="AD1539" s="3"/>
      <c r="AG1539" s="3"/>
      <c r="AJ1539" s="3"/>
    </row>
    <row r="1540" spans="1:36" x14ac:dyDescent="0.25">
      <c r="A1540" s="1"/>
      <c r="B1540" s="2"/>
      <c r="AA1540" s="3"/>
      <c r="AD1540" s="3"/>
      <c r="AG1540" s="3"/>
      <c r="AJ1540" s="3"/>
    </row>
    <row r="1541" spans="1:36" x14ac:dyDescent="0.25">
      <c r="A1541" s="1"/>
      <c r="B1541" s="2"/>
      <c r="AA1541" s="3"/>
      <c r="AD1541" s="3"/>
      <c r="AG1541" s="3"/>
      <c r="AJ1541" s="3"/>
    </row>
    <row r="1542" spans="1:36" x14ac:dyDescent="0.25">
      <c r="A1542" s="1"/>
      <c r="B1542" s="2"/>
      <c r="AA1542" s="3"/>
      <c r="AD1542" s="3"/>
      <c r="AG1542" s="3"/>
      <c r="AJ1542" s="3"/>
    </row>
    <row r="1543" spans="1:36" x14ac:dyDescent="0.25">
      <c r="A1543" s="1"/>
      <c r="B1543" s="2"/>
      <c r="AA1543" s="3"/>
      <c r="AD1543" s="3"/>
      <c r="AG1543" s="3"/>
      <c r="AJ1543" s="3"/>
    </row>
    <row r="1544" spans="1:36" x14ac:dyDescent="0.25">
      <c r="A1544" s="1"/>
      <c r="B1544" s="2"/>
      <c r="AA1544" s="3"/>
      <c r="AD1544" s="3"/>
      <c r="AG1544" s="3"/>
      <c r="AJ1544" s="3"/>
    </row>
    <row r="1545" spans="1:36" x14ac:dyDescent="0.25">
      <c r="A1545" s="1"/>
      <c r="B1545" s="2"/>
      <c r="AA1545" s="3"/>
      <c r="AD1545" s="3"/>
      <c r="AG1545" s="3"/>
      <c r="AJ1545" s="3"/>
    </row>
    <row r="1546" spans="1:36" x14ac:dyDescent="0.25">
      <c r="A1546" s="1"/>
      <c r="B1546" s="2"/>
      <c r="AA1546" s="3"/>
      <c r="AD1546" s="3"/>
      <c r="AG1546" s="3"/>
      <c r="AJ1546" s="3"/>
    </row>
    <row r="1547" spans="1:36" x14ac:dyDescent="0.25">
      <c r="A1547" s="1"/>
      <c r="B1547" s="2"/>
      <c r="AA1547" s="3"/>
      <c r="AD1547" s="3"/>
      <c r="AG1547" s="3"/>
      <c r="AJ1547" s="3"/>
    </row>
    <row r="1548" spans="1:36" x14ac:dyDescent="0.25">
      <c r="A1548" s="1"/>
      <c r="B1548" s="2"/>
      <c r="AA1548" s="3"/>
      <c r="AD1548" s="3"/>
      <c r="AG1548" s="3"/>
      <c r="AJ1548" s="3"/>
    </row>
    <row r="1549" spans="1:36" x14ac:dyDescent="0.25">
      <c r="A1549" s="1"/>
      <c r="B1549" s="2"/>
      <c r="AA1549" s="3"/>
      <c r="AD1549" s="3"/>
      <c r="AG1549" s="3"/>
      <c r="AJ1549" s="3"/>
    </row>
    <row r="1550" spans="1:36" x14ac:dyDescent="0.25">
      <c r="A1550" s="1"/>
      <c r="B1550" s="2"/>
      <c r="AA1550" s="3"/>
      <c r="AD1550" s="3"/>
      <c r="AG1550" s="3"/>
      <c r="AJ1550" s="3"/>
    </row>
    <row r="1551" spans="1:36" x14ac:dyDescent="0.25">
      <c r="A1551" s="1"/>
      <c r="B1551" s="2"/>
      <c r="AA1551" s="3"/>
      <c r="AD1551" s="3"/>
      <c r="AG1551" s="3"/>
      <c r="AJ1551" s="3"/>
    </row>
    <row r="1552" spans="1:36" x14ac:dyDescent="0.25">
      <c r="A1552" s="1"/>
      <c r="B1552" s="2"/>
      <c r="AA1552" s="3"/>
      <c r="AD1552" s="3"/>
      <c r="AG1552" s="3"/>
      <c r="AJ1552" s="3"/>
    </row>
    <row r="1553" spans="1:36" x14ac:dyDescent="0.25">
      <c r="A1553" s="1"/>
      <c r="B1553" s="2"/>
      <c r="AA1553" s="3"/>
      <c r="AD1553" s="3"/>
      <c r="AG1553" s="3"/>
      <c r="AJ1553" s="3"/>
    </row>
    <row r="1554" spans="1:36" x14ac:dyDescent="0.25">
      <c r="A1554" s="1"/>
      <c r="B1554" s="2"/>
      <c r="AA1554" s="3"/>
      <c r="AD1554" s="3"/>
      <c r="AG1554" s="3"/>
      <c r="AJ1554" s="3"/>
    </row>
    <row r="1555" spans="1:36" x14ac:dyDescent="0.25">
      <c r="A1555" s="1"/>
      <c r="B1555" s="2"/>
      <c r="AA1555" s="3"/>
      <c r="AD1555" s="3"/>
      <c r="AG1555" s="3"/>
      <c r="AJ1555" s="3"/>
    </row>
    <row r="1556" spans="1:36" x14ac:dyDescent="0.25">
      <c r="A1556" s="1"/>
      <c r="B1556" s="2"/>
      <c r="AA1556" s="3"/>
      <c r="AD1556" s="3"/>
      <c r="AG1556" s="3"/>
      <c r="AJ1556" s="3"/>
    </row>
    <row r="1557" spans="1:36" x14ac:dyDescent="0.25">
      <c r="A1557" s="1"/>
      <c r="B1557" s="2"/>
      <c r="AA1557" s="3"/>
      <c r="AD1557" s="3"/>
      <c r="AG1557" s="3"/>
      <c r="AJ1557" s="3"/>
    </row>
    <row r="1558" spans="1:36" x14ac:dyDescent="0.25">
      <c r="A1558" s="1"/>
      <c r="B1558" s="2"/>
      <c r="AA1558" s="3"/>
      <c r="AD1558" s="3"/>
      <c r="AG1558" s="3"/>
      <c r="AJ1558" s="3"/>
    </row>
    <row r="1559" spans="1:36" x14ac:dyDescent="0.25">
      <c r="A1559" s="1"/>
      <c r="B1559" s="2"/>
      <c r="AA1559" s="3"/>
      <c r="AD1559" s="3"/>
      <c r="AG1559" s="3"/>
      <c r="AJ1559" s="3"/>
    </row>
    <row r="1560" spans="1:36" x14ac:dyDescent="0.25">
      <c r="A1560" s="1"/>
      <c r="B1560" s="2"/>
      <c r="AA1560" s="3"/>
      <c r="AD1560" s="3"/>
      <c r="AG1560" s="3"/>
      <c r="AJ1560" s="3"/>
    </row>
    <row r="1561" spans="1:36" x14ac:dyDescent="0.25">
      <c r="A1561" s="1"/>
      <c r="B1561" s="2"/>
      <c r="AA1561" s="3"/>
      <c r="AD1561" s="3"/>
      <c r="AG1561" s="3"/>
      <c r="AJ1561" s="3"/>
    </row>
    <row r="1562" spans="1:36" x14ac:dyDescent="0.25">
      <c r="A1562" s="1"/>
      <c r="B1562" s="2"/>
      <c r="AA1562" s="3"/>
      <c r="AD1562" s="3"/>
      <c r="AG1562" s="3"/>
      <c r="AJ1562" s="3"/>
    </row>
    <row r="1563" spans="1:36" x14ac:dyDescent="0.25">
      <c r="A1563" s="1"/>
      <c r="B1563" s="2"/>
      <c r="AA1563" s="3"/>
      <c r="AD1563" s="3"/>
      <c r="AG1563" s="3"/>
      <c r="AJ1563" s="3"/>
    </row>
    <row r="1564" spans="1:36" x14ac:dyDescent="0.25">
      <c r="A1564" s="1"/>
      <c r="B1564" s="2"/>
      <c r="AA1564" s="3"/>
      <c r="AD1564" s="3"/>
      <c r="AG1564" s="3"/>
      <c r="AJ1564" s="3"/>
    </row>
    <row r="1565" spans="1:36" x14ac:dyDescent="0.25">
      <c r="A1565" s="1"/>
      <c r="B1565" s="2"/>
      <c r="AA1565" s="3"/>
      <c r="AD1565" s="3"/>
      <c r="AG1565" s="3"/>
      <c r="AJ1565" s="3"/>
    </row>
    <row r="1566" spans="1:36" x14ac:dyDescent="0.25">
      <c r="A1566" s="1"/>
      <c r="B1566" s="2"/>
      <c r="AA1566" s="3"/>
      <c r="AD1566" s="3"/>
      <c r="AG1566" s="3"/>
      <c r="AJ1566" s="3"/>
    </row>
    <row r="1567" spans="1:36" x14ac:dyDescent="0.25">
      <c r="A1567" s="1"/>
      <c r="B1567" s="2"/>
      <c r="AA1567" s="3"/>
      <c r="AD1567" s="3"/>
      <c r="AG1567" s="3"/>
      <c r="AJ1567" s="3"/>
    </row>
    <row r="1568" spans="1:36" x14ac:dyDescent="0.25">
      <c r="A1568" s="1"/>
      <c r="B1568" s="2"/>
      <c r="AA1568" s="3"/>
      <c r="AD1568" s="3"/>
      <c r="AG1568" s="3"/>
      <c r="AJ1568" s="3"/>
    </row>
    <row r="1569" spans="1:36" x14ac:dyDescent="0.25">
      <c r="A1569" s="1"/>
      <c r="B1569" s="2"/>
      <c r="AA1569" s="3"/>
      <c r="AD1569" s="3"/>
      <c r="AG1569" s="3"/>
      <c r="AJ1569" s="3"/>
    </row>
    <row r="1570" spans="1:36" x14ac:dyDescent="0.25">
      <c r="A1570" s="1"/>
      <c r="B1570" s="2"/>
      <c r="AA1570" s="3"/>
      <c r="AD1570" s="3"/>
      <c r="AG1570" s="3"/>
      <c r="AJ1570" s="3"/>
    </row>
    <row r="1571" spans="1:36" x14ac:dyDescent="0.25">
      <c r="A1571" s="1"/>
      <c r="B1571" s="2"/>
      <c r="AA1571" s="3"/>
      <c r="AD1571" s="3"/>
      <c r="AG1571" s="3"/>
      <c r="AJ1571" s="3"/>
    </row>
    <row r="1572" spans="1:36" x14ac:dyDescent="0.25">
      <c r="A1572" s="1"/>
      <c r="B1572" s="2"/>
      <c r="AA1572" s="3"/>
      <c r="AD1572" s="3"/>
      <c r="AG1572" s="3"/>
      <c r="AJ1572" s="3"/>
    </row>
    <row r="1573" spans="1:36" x14ac:dyDescent="0.25">
      <c r="A1573" s="1"/>
      <c r="B1573" s="2"/>
      <c r="AA1573" s="3"/>
      <c r="AD1573" s="3"/>
      <c r="AG1573" s="3"/>
      <c r="AJ1573" s="3"/>
    </row>
    <row r="1574" spans="1:36" x14ac:dyDescent="0.25">
      <c r="A1574" s="1"/>
      <c r="B1574" s="2"/>
      <c r="AA1574" s="3"/>
      <c r="AD1574" s="3"/>
      <c r="AG1574" s="3"/>
      <c r="AJ1574" s="3"/>
    </row>
    <row r="1575" spans="1:36" x14ac:dyDescent="0.25">
      <c r="A1575" s="1"/>
      <c r="B1575" s="2"/>
      <c r="AA1575" s="3"/>
      <c r="AD1575" s="3"/>
      <c r="AG1575" s="3"/>
      <c r="AJ1575" s="3"/>
    </row>
    <row r="1576" spans="1:36" x14ac:dyDescent="0.25">
      <c r="A1576" s="1"/>
      <c r="B1576" s="2"/>
      <c r="AA1576" s="3"/>
      <c r="AD1576" s="3"/>
      <c r="AG1576" s="3"/>
      <c r="AJ1576" s="3"/>
    </row>
    <row r="1577" spans="1:36" x14ac:dyDescent="0.25">
      <c r="A1577" s="1"/>
      <c r="B1577" s="2"/>
      <c r="AA1577" s="3"/>
      <c r="AD1577" s="3"/>
      <c r="AG1577" s="3"/>
      <c r="AJ1577" s="3"/>
    </row>
    <row r="1578" spans="1:36" x14ac:dyDescent="0.25">
      <c r="A1578" s="1"/>
      <c r="B1578" s="2"/>
      <c r="AA1578" s="3"/>
      <c r="AD1578" s="3"/>
      <c r="AG1578" s="3"/>
      <c r="AJ1578" s="3"/>
    </row>
    <row r="1579" spans="1:36" x14ac:dyDescent="0.25">
      <c r="A1579" s="1"/>
      <c r="B1579" s="2"/>
      <c r="AA1579" s="3"/>
      <c r="AD1579" s="3"/>
      <c r="AG1579" s="3"/>
      <c r="AJ1579" s="3"/>
    </row>
    <row r="1580" spans="1:36" x14ac:dyDescent="0.25">
      <c r="A1580" s="1"/>
      <c r="B1580" s="2"/>
      <c r="AA1580" s="3"/>
      <c r="AD1580" s="3"/>
      <c r="AG1580" s="3"/>
      <c r="AJ1580" s="3"/>
    </row>
    <row r="1581" spans="1:36" x14ac:dyDescent="0.25">
      <c r="A1581" s="1"/>
      <c r="B1581" s="2"/>
      <c r="AA1581" s="3"/>
      <c r="AD1581" s="3"/>
      <c r="AG1581" s="3"/>
      <c r="AJ1581" s="3"/>
    </row>
    <row r="1582" spans="1:36" x14ac:dyDescent="0.25">
      <c r="A1582" s="1"/>
      <c r="B1582" s="2"/>
      <c r="AA1582" s="3"/>
      <c r="AD1582" s="3"/>
      <c r="AG1582" s="3"/>
      <c r="AJ1582" s="3"/>
    </row>
    <row r="1583" spans="1:36" x14ac:dyDescent="0.25">
      <c r="A1583" s="1"/>
      <c r="B1583" s="2"/>
      <c r="AA1583" s="3"/>
      <c r="AD1583" s="3"/>
      <c r="AG1583" s="3"/>
      <c r="AJ1583" s="3"/>
    </row>
    <row r="1584" spans="1:36" x14ac:dyDescent="0.25">
      <c r="A1584" s="1"/>
      <c r="B1584" s="2"/>
      <c r="AA1584" s="3"/>
      <c r="AD1584" s="3"/>
      <c r="AG1584" s="3"/>
      <c r="AJ1584" s="3"/>
    </row>
    <row r="1585" spans="1:36" x14ac:dyDescent="0.25">
      <c r="A1585" s="1"/>
      <c r="B1585" s="2"/>
      <c r="AA1585" s="3"/>
      <c r="AD1585" s="3"/>
      <c r="AG1585" s="3"/>
      <c r="AJ1585" s="3"/>
    </row>
    <row r="1586" spans="1:36" x14ac:dyDescent="0.25">
      <c r="A1586" s="1"/>
      <c r="B1586" s="2"/>
      <c r="AA1586" s="3"/>
      <c r="AD1586" s="3"/>
      <c r="AG1586" s="3"/>
      <c r="AJ1586" s="3"/>
    </row>
    <row r="1587" spans="1:36" x14ac:dyDescent="0.25">
      <c r="A1587" s="1"/>
      <c r="B1587" s="2"/>
      <c r="AA1587" s="3"/>
      <c r="AD1587" s="3"/>
      <c r="AG1587" s="3"/>
      <c r="AJ1587" s="3"/>
    </row>
    <row r="1588" spans="1:36" x14ac:dyDescent="0.25">
      <c r="A1588" s="1"/>
      <c r="B1588" s="2"/>
      <c r="AA1588" s="3"/>
      <c r="AD1588" s="3"/>
      <c r="AG1588" s="3"/>
      <c r="AJ1588" s="3"/>
    </row>
    <row r="1589" spans="1:36" x14ac:dyDescent="0.25">
      <c r="A1589" s="1"/>
      <c r="B1589" s="2"/>
      <c r="AA1589" s="3"/>
      <c r="AD1589" s="3"/>
      <c r="AG1589" s="3"/>
      <c r="AJ1589" s="3"/>
    </row>
    <row r="1590" spans="1:36" x14ac:dyDescent="0.25">
      <c r="A1590" s="1"/>
      <c r="B1590" s="2"/>
      <c r="AA1590" s="3"/>
      <c r="AD1590" s="3"/>
      <c r="AG1590" s="3"/>
      <c r="AJ1590" s="3"/>
    </row>
    <row r="1591" spans="1:36" x14ac:dyDescent="0.25">
      <c r="A1591" s="1"/>
      <c r="B1591" s="2"/>
      <c r="AA1591" s="3"/>
      <c r="AD1591" s="3"/>
      <c r="AG1591" s="3"/>
      <c r="AJ1591" s="3"/>
    </row>
    <row r="1592" spans="1:36" x14ac:dyDescent="0.25">
      <c r="A1592" s="1"/>
      <c r="B1592" s="2"/>
      <c r="AA1592" s="3"/>
      <c r="AD1592" s="3"/>
      <c r="AG1592" s="3"/>
      <c r="AJ1592" s="3"/>
    </row>
    <row r="1593" spans="1:36" x14ac:dyDescent="0.25">
      <c r="A1593" s="1"/>
      <c r="B1593" s="2"/>
      <c r="AA1593" s="3"/>
      <c r="AD1593" s="3"/>
      <c r="AG1593" s="3"/>
      <c r="AJ1593" s="3"/>
    </row>
    <row r="1594" spans="1:36" x14ac:dyDescent="0.25">
      <c r="A1594" s="1"/>
      <c r="B1594" s="2"/>
      <c r="AA1594" s="3"/>
      <c r="AD1594" s="3"/>
      <c r="AG1594" s="3"/>
      <c r="AJ1594" s="3"/>
    </row>
    <row r="1595" spans="1:36" x14ac:dyDescent="0.25">
      <c r="A1595" s="1"/>
      <c r="B1595" s="2"/>
      <c r="AA1595" s="3"/>
      <c r="AD1595" s="3"/>
      <c r="AG1595" s="3"/>
      <c r="AJ1595" s="3"/>
    </row>
    <row r="1596" spans="1:36" x14ac:dyDescent="0.25">
      <c r="A1596" s="1"/>
      <c r="B1596" s="2"/>
      <c r="AA1596" s="3"/>
      <c r="AD1596" s="3"/>
      <c r="AG1596" s="3"/>
      <c r="AJ1596" s="3"/>
    </row>
    <row r="1597" spans="1:36" x14ac:dyDescent="0.25">
      <c r="A1597" s="1"/>
      <c r="B1597" s="2"/>
      <c r="AA1597" s="3"/>
      <c r="AD1597" s="3"/>
      <c r="AG1597" s="3"/>
      <c r="AJ1597" s="3"/>
    </row>
    <row r="1598" spans="1:36" x14ac:dyDescent="0.25">
      <c r="A1598" s="1"/>
      <c r="B1598" s="2"/>
      <c r="AA1598" s="3"/>
      <c r="AD1598" s="3"/>
      <c r="AG1598" s="3"/>
      <c r="AJ1598" s="3"/>
    </row>
    <row r="1599" spans="1:36" x14ac:dyDescent="0.25">
      <c r="A1599" s="1"/>
      <c r="B1599" s="2"/>
      <c r="AA1599" s="3"/>
      <c r="AD1599" s="3"/>
      <c r="AG1599" s="3"/>
      <c r="AJ1599" s="3"/>
    </row>
    <row r="1600" spans="1:36" x14ac:dyDescent="0.25">
      <c r="A1600" s="1"/>
      <c r="B1600" s="2"/>
      <c r="AA1600" s="3"/>
      <c r="AD1600" s="3"/>
      <c r="AG1600" s="3"/>
      <c r="AJ1600" s="3"/>
    </row>
    <row r="1601" spans="1:36" x14ac:dyDescent="0.25">
      <c r="A1601" s="1"/>
      <c r="B1601" s="2"/>
      <c r="AA1601" s="3"/>
      <c r="AD1601" s="3"/>
      <c r="AG1601" s="3"/>
      <c r="AJ1601" s="3"/>
    </row>
    <row r="1602" spans="1:36" x14ac:dyDescent="0.25">
      <c r="A1602" s="1"/>
      <c r="B1602" s="2"/>
      <c r="AA1602" s="3"/>
      <c r="AD1602" s="3"/>
      <c r="AG1602" s="3"/>
      <c r="AJ1602" s="3"/>
    </row>
    <row r="1603" spans="1:36" x14ac:dyDescent="0.25">
      <c r="A1603" s="1"/>
      <c r="B1603" s="2"/>
      <c r="AA1603" s="3"/>
      <c r="AD1603" s="3"/>
      <c r="AG1603" s="3"/>
      <c r="AJ1603" s="3"/>
    </row>
    <row r="1604" spans="1:36" x14ac:dyDescent="0.25">
      <c r="A1604" s="1"/>
      <c r="B1604" s="2"/>
      <c r="AA1604" s="3"/>
      <c r="AD1604" s="3"/>
      <c r="AG1604" s="3"/>
      <c r="AJ1604" s="3"/>
    </row>
    <row r="1605" spans="1:36" x14ac:dyDescent="0.25">
      <c r="A1605" s="1"/>
      <c r="B1605" s="2"/>
      <c r="AA1605" s="3"/>
      <c r="AD1605" s="3"/>
      <c r="AG1605" s="3"/>
      <c r="AJ1605" s="3"/>
    </row>
    <row r="1606" spans="1:36" x14ac:dyDescent="0.25">
      <c r="A1606" s="1"/>
      <c r="B1606" s="2"/>
      <c r="AA1606" s="3"/>
      <c r="AD1606" s="3"/>
      <c r="AG1606" s="3"/>
      <c r="AJ1606" s="3"/>
    </row>
    <row r="1607" spans="1:36" x14ac:dyDescent="0.25">
      <c r="A1607" s="1"/>
      <c r="B1607" s="2"/>
      <c r="AA1607" s="3"/>
      <c r="AD1607" s="3"/>
      <c r="AG1607" s="3"/>
      <c r="AJ1607" s="3"/>
    </row>
    <row r="1608" spans="1:36" x14ac:dyDescent="0.25">
      <c r="A1608" s="1"/>
      <c r="B1608" s="2"/>
      <c r="AA1608" s="3"/>
      <c r="AD1608" s="3"/>
      <c r="AG1608" s="3"/>
      <c r="AJ1608" s="3"/>
    </row>
    <row r="1609" spans="1:36" x14ac:dyDescent="0.25">
      <c r="A1609" s="1"/>
      <c r="B1609" s="2"/>
      <c r="AA1609" s="3"/>
      <c r="AD1609" s="3"/>
      <c r="AG1609" s="3"/>
      <c r="AJ1609" s="3"/>
    </row>
    <row r="1610" spans="1:36" x14ac:dyDescent="0.25">
      <c r="A1610" s="1"/>
      <c r="B1610" s="2"/>
      <c r="AA1610" s="3"/>
      <c r="AD1610" s="3"/>
      <c r="AG1610" s="3"/>
      <c r="AJ1610" s="3"/>
    </row>
    <row r="1611" spans="1:36" x14ac:dyDescent="0.25">
      <c r="A1611" s="1"/>
      <c r="B1611" s="2"/>
      <c r="AA1611" s="3"/>
      <c r="AD1611" s="3"/>
      <c r="AG1611" s="3"/>
      <c r="AJ1611" s="3"/>
    </row>
    <row r="1612" spans="1:36" x14ac:dyDescent="0.25">
      <c r="A1612" s="1"/>
      <c r="B1612" s="2"/>
      <c r="AA1612" s="3"/>
      <c r="AD1612" s="3"/>
      <c r="AG1612" s="3"/>
      <c r="AJ1612" s="3"/>
    </row>
    <row r="1613" spans="1:36" x14ac:dyDescent="0.25">
      <c r="A1613" s="1"/>
      <c r="B1613" s="2"/>
      <c r="AA1613" s="3"/>
      <c r="AD1613" s="3"/>
      <c r="AG1613" s="3"/>
      <c r="AJ1613" s="3"/>
    </row>
    <row r="1614" spans="1:36" x14ac:dyDescent="0.25">
      <c r="A1614" s="1"/>
      <c r="B1614" s="2"/>
      <c r="AA1614" s="3"/>
      <c r="AD1614" s="3"/>
      <c r="AG1614" s="3"/>
      <c r="AJ1614" s="3"/>
    </row>
    <row r="1615" spans="1:36" x14ac:dyDescent="0.25">
      <c r="A1615" s="1"/>
      <c r="B1615" s="2"/>
      <c r="AA1615" s="3"/>
      <c r="AD1615" s="3"/>
      <c r="AG1615" s="3"/>
      <c r="AJ1615" s="3"/>
    </row>
    <row r="1616" spans="1:36" x14ac:dyDescent="0.25">
      <c r="A1616" s="1"/>
      <c r="B1616" s="2"/>
      <c r="AA1616" s="3"/>
      <c r="AD1616" s="3"/>
      <c r="AG1616" s="3"/>
      <c r="AJ1616" s="3"/>
    </row>
    <row r="1617" spans="1:36" x14ac:dyDescent="0.25">
      <c r="A1617" s="1"/>
      <c r="B1617" s="2"/>
      <c r="AA1617" s="3"/>
      <c r="AD1617" s="3"/>
      <c r="AG1617" s="3"/>
      <c r="AJ1617" s="3"/>
    </row>
    <row r="1618" spans="1:36" x14ac:dyDescent="0.25">
      <c r="A1618" s="1"/>
      <c r="B1618" s="2"/>
      <c r="AA1618" s="3"/>
      <c r="AD1618" s="3"/>
      <c r="AG1618" s="3"/>
      <c r="AJ1618" s="3"/>
    </row>
    <row r="1619" spans="1:36" x14ac:dyDescent="0.25">
      <c r="A1619" s="1"/>
      <c r="B1619" s="2"/>
      <c r="AA1619" s="3"/>
      <c r="AD1619" s="3"/>
      <c r="AG1619" s="3"/>
      <c r="AJ1619" s="3"/>
    </row>
    <row r="1620" spans="1:36" x14ac:dyDescent="0.25">
      <c r="A1620" s="1"/>
      <c r="B1620" s="2"/>
      <c r="AA1620" s="3"/>
      <c r="AD1620" s="3"/>
      <c r="AG1620" s="3"/>
      <c r="AJ1620" s="3"/>
    </row>
    <row r="1621" spans="1:36" x14ac:dyDescent="0.25">
      <c r="A1621" s="1"/>
      <c r="B1621" s="2"/>
      <c r="AA1621" s="3"/>
      <c r="AD1621" s="3"/>
      <c r="AG1621" s="3"/>
      <c r="AJ1621" s="3"/>
    </row>
    <row r="1622" spans="1:36" x14ac:dyDescent="0.25">
      <c r="A1622" s="1"/>
      <c r="B1622" s="2"/>
      <c r="AA1622" s="3"/>
      <c r="AD1622" s="3"/>
      <c r="AG1622" s="3"/>
      <c r="AJ1622" s="3"/>
    </row>
    <row r="1623" spans="1:36" x14ac:dyDescent="0.25">
      <c r="A1623" s="1"/>
      <c r="B1623" s="2"/>
      <c r="AA1623" s="3"/>
      <c r="AD1623" s="3"/>
      <c r="AG1623" s="3"/>
      <c r="AJ1623" s="3"/>
    </row>
    <row r="1624" spans="1:36" x14ac:dyDescent="0.25">
      <c r="A1624" s="1"/>
      <c r="B1624" s="2"/>
      <c r="AA1624" s="3"/>
      <c r="AD1624" s="3"/>
      <c r="AG1624" s="3"/>
      <c r="AJ1624" s="3"/>
    </row>
    <row r="1625" spans="1:36" x14ac:dyDescent="0.25">
      <c r="A1625" s="1"/>
      <c r="B1625" s="2"/>
      <c r="AA1625" s="3"/>
      <c r="AD1625" s="3"/>
      <c r="AG1625" s="3"/>
      <c r="AJ1625" s="3"/>
    </row>
    <row r="1626" spans="1:36" x14ac:dyDescent="0.25">
      <c r="A1626" s="1"/>
      <c r="B1626" s="2"/>
      <c r="AA1626" s="3"/>
      <c r="AD1626" s="3"/>
      <c r="AG1626" s="3"/>
      <c r="AJ1626" s="3"/>
    </row>
    <row r="1627" spans="1:36" x14ac:dyDescent="0.25">
      <c r="A1627" s="1"/>
      <c r="B1627" s="2"/>
      <c r="AA1627" s="3"/>
      <c r="AD1627" s="3"/>
      <c r="AG1627" s="3"/>
      <c r="AJ1627" s="3"/>
    </row>
    <row r="1628" spans="1:36" x14ac:dyDescent="0.25">
      <c r="A1628" s="1"/>
      <c r="B1628" s="2"/>
      <c r="AA1628" s="3"/>
      <c r="AD1628" s="3"/>
      <c r="AG1628" s="3"/>
      <c r="AJ1628" s="3"/>
    </row>
    <row r="1629" spans="1:36" x14ac:dyDescent="0.25">
      <c r="A1629" s="1"/>
      <c r="B1629" s="2"/>
      <c r="AA1629" s="3"/>
      <c r="AD1629" s="3"/>
      <c r="AG1629" s="3"/>
      <c r="AJ1629" s="3"/>
    </row>
    <row r="1630" spans="1:36" x14ac:dyDescent="0.25">
      <c r="A1630" s="1"/>
      <c r="B1630" s="2"/>
      <c r="AA1630" s="3"/>
      <c r="AD1630" s="3"/>
      <c r="AG1630" s="3"/>
      <c r="AJ1630" s="3"/>
    </row>
    <row r="1631" spans="1:36" x14ac:dyDescent="0.25">
      <c r="A1631" s="1"/>
      <c r="B1631" s="2"/>
      <c r="AA1631" s="3"/>
      <c r="AD1631" s="3"/>
      <c r="AG1631" s="3"/>
      <c r="AJ1631" s="3"/>
    </row>
    <row r="1632" spans="1:36" x14ac:dyDescent="0.25">
      <c r="A1632" s="1"/>
      <c r="B1632" s="2"/>
      <c r="AA1632" s="3"/>
      <c r="AD1632" s="3"/>
      <c r="AG1632" s="3"/>
      <c r="AJ1632" s="3"/>
    </row>
    <row r="1633" spans="1:36" x14ac:dyDescent="0.25">
      <c r="A1633" s="1"/>
      <c r="B1633" s="2"/>
      <c r="AA1633" s="3"/>
      <c r="AD1633" s="3"/>
      <c r="AG1633" s="3"/>
      <c r="AJ1633" s="3"/>
    </row>
    <row r="1634" spans="1:36" x14ac:dyDescent="0.25">
      <c r="A1634" s="1"/>
      <c r="B1634" s="2"/>
      <c r="AA1634" s="3"/>
      <c r="AD1634" s="3"/>
      <c r="AG1634" s="3"/>
      <c r="AJ1634" s="3"/>
    </row>
    <row r="1635" spans="1:36" x14ac:dyDescent="0.25">
      <c r="A1635" s="1"/>
      <c r="B1635" s="2"/>
      <c r="AA1635" s="3"/>
      <c r="AD1635" s="3"/>
      <c r="AG1635" s="3"/>
      <c r="AJ1635" s="3"/>
    </row>
    <row r="1636" spans="1:36" x14ac:dyDescent="0.25">
      <c r="A1636" s="1"/>
      <c r="B1636" s="2"/>
      <c r="AA1636" s="3"/>
      <c r="AD1636" s="3"/>
      <c r="AG1636" s="3"/>
      <c r="AJ1636" s="3"/>
    </row>
    <row r="1637" spans="1:36" x14ac:dyDescent="0.25">
      <c r="A1637" s="1"/>
      <c r="B1637" s="2"/>
      <c r="AA1637" s="3"/>
      <c r="AD1637" s="3"/>
      <c r="AG1637" s="3"/>
      <c r="AJ1637" s="3"/>
    </row>
    <row r="1638" spans="1:36" x14ac:dyDescent="0.25">
      <c r="A1638" s="1"/>
      <c r="B1638" s="2"/>
      <c r="AA1638" s="3"/>
      <c r="AD1638" s="3"/>
      <c r="AG1638" s="3"/>
      <c r="AJ1638" s="3"/>
    </row>
    <row r="1639" spans="1:36" x14ac:dyDescent="0.25">
      <c r="A1639" s="1"/>
      <c r="B1639" s="2"/>
      <c r="AA1639" s="3"/>
      <c r="AD1639" s="3"/>
      <c r="AG1639" s="3"/>
      <c r="AJ1639" s="3"/>
    </row>
    <row r="1640" spans="1:36" x14ac:dyDescent="0.25">
      <c r="A1640" s="1"/>
      <c r="B1640" s="2"/>
      <c r="AA1640" s="3"/>
      <c r="AD1640" s="3"/>
      <c r="AG1640" s="3"/>
      <c r="AJ1640" s="3"/>
    </row>
    <row r="1641" spans="1:36" x14ac:dyDescent="0.25">
      <c r="A1641" s="1"/>
      <c r="B1641" s="2"/>
      <c r="AA1641" s="3"/>
      <c r="AD1641" s="3"/>
      <c r="AG1641" s="3"/>
      <c r="AJ1641" s="3"/>
    </row>
    <row r="1642" spans="1:36" x14ac:dyDescent="0.25">
      <c r="A1642" s="1"/>
      <c r="B1642" s="2"/>
      <c r="AA1642" s="3"/>
      <c r="AD1642" s="3"/>
      <c r="AG1642" s="3"/>
      <c r="AJ1642" s="3"/>
    </row>
    <row r="1643" spans="1:36" x14ac:dyDescent="0.25">
      <c r="A1643" s="1"/>
      <c r="B1643" s="2"/>
      <c r="AA1643" s="3"/>
      <c r="AD1643" s="3"/>
      <c r="AG1643" s="3"/>
      <c r="AJ1643" s="3"/>
    </row>
    <row r="1644" spans="1:36" x14ac:dyDescent="0.25">
      <c r="A1644" s="1"/>
      <c r="B1644" s="2"/>
      <c r="AA1644" s="3"/>
      <c r="AD1644" s="3"/>
      <c r="AG1644" s="3"/>
      <c r="AJ1644" s="3"/>
    </row>
    <row r="1645" spans="1:36" x14ac:dyDescent="0.25">
      <c r="A1645" s="1"/>
      <c r="B1645" s="2"/>
      <c r="AA1645" s="3"/>
      <c r="AD1645" s="3"/>
      <c r="AG1645" s="3"/>
      <c r="AJ1645" s="3"/>
    </row>
    <row r="1646" spans="1:36" x14ac:dyDescent="0.25">
      <c r="A1646" s="1"/>
      <c r="B1646" s="2"/>
      <c r="AA1646" s="3"/>
      <c r="AD1646" s="3"/>
      <c r="AG1646" s="3"/>
      <c r="AJ1646" s="3"/>
    </row>
    <row r="1647" spans="1:36" x14ac:dyDescent="0.25">
      <c r="A1647" s="1"/>
      <c r="B1647" s="2"/>
      <c r="AA1647" s="3"/>
      <c r="AD1647" s="3"/>
      <c r="AG1647" s="3"/>
      <c r="AJ1647" s="3"/>
    </row>
    <row r="1648" spans="1:36" x14ac:dyDescent="0.25">
      <c r="A1648" s="1"/>
      <c r="B1648" s="2"/>
      <c r="AA1648" s="3"/>
      <c r="AD1648" s="3"/>
      <c r="AG1648" s="3"/>
      <c r="AJ1648" s="3"/>
    </row>
    <row r="1649" spans="1:36" x14ac:dyDescent="0.25">
      <c r="A1649" s="1"/>
      <c r="B1649" s="2"/>
      <c r="AA1649" s="3"/>
      <c r="AD1649" s="3"/>
      <c r="AG1649" s="3"/>
      <c r="AJ1649" s="3"/>
    </row>
    <row r="1650" spans="1:36" x14ac:dyDescent="0.25">
      <c r="A1650" s="1"/>
      <c r="B1650" s="2"/>
      <c r="AA1650" s="3"/>
      <c r="AD1650" s="3"/>
      <c r="AG1650" s="3"/>
      <c r="AJ1650" s="3"/>
    </row>
    <row r="1651" spans="1:36" x14ac:dyDescent="0.25">
      <c r="A1651" s="1"/>
      <c r="B1651" s="2"/>
      <c r="AA1651" s="3"/>
      <c r="AD1651" s="3"/>
      <c r="AG1651" s="3"/>
      <c r="AJ1651" s="3"/>
    </row>
    <row r="1652" spans="1:36" x14ac:dyDescent="0.25">
      <c r="A1652" s="1"/>
      <c r="B1652" s="2"/>
      <c r="AA1652" s="3"/>
      <c r="AD1652" s="3"/>
      <c r="AG1652" s="3"/>
      <c r="AJ1652" s="3"/>
    </row>
    <row r="1653" spans="1:36" x14ac:dyDescent="0.25">
      <c r="A1653" s="1"/>
      <c r="B1653" s="2"/>
      <c r="AA1653" s="3"/>
      <c r="AD1653" s="3"/>
      <c r="AG1653" s="3"/>
      <c r="AJ1653" s="3"/>
    </row>
    <row r="1654" spans="1:36" x14ac:dyDescent="0.25">
      <c r="A1654" s="1"/>
      <c r="B1654" s="2"/>
      <c r="AA1654" s="3"/>
      <c r="AD1654" s="3"/>
      <c r="AG1654" s="3"/>
      <c r="AJ1654" s="3"/>
    </row>
    <row r="1655" spans="1:36" x14ac:dyDescent="0.25">
      <c r="A1655" s="1"/>
      <c r="B1655" s="2"/>
      <c r="AA1655" s="3"/>
      <c r="AD1655" s="3"/>
      <c r="AG1655" s="3"/>
      <c r="AJ1655" s="3"/>
    </row>
    <row r="1656" spans="1:36" x14ac:dyDescent="0.25">
      <c r="A1656" s="1"/>
      <c r="B1656" s="2"/>
      <c r="AA1656" s="3"/>
      <c r="AD1656" s="3"/>
      <c r="AG1656" s="3"/>
      <c r="AJ1656" s="3"/>
    </row>
    <row r="1657" spans="1:36" x14ac:dyDescent="0.25">
      <c r="A1657" s="1"/>
      <c r="B1657" s="2"/>
      <c r="AA1657" s="3"/>
      <c r="AD1657" s="3"/>
      <c r="AG1657" s="3"/>
      <c r="AJ1657" s="3"/>
    </row>
    <row r="1658" spans="1:36" x14ac:dyDescent="0.25">
      <c r="A1658" s="1"/>
      <c r="B1658" s="2"/>
      <c r="AA1658" s="3"/>
      <c r="AD1658" s="3"/>
      <c r="AG1658" s="3"/>
      <c r="AJ1658" s="3"/>
    </row>
    <row r="1659" spans="1:36" x14ac:dyDescent="0.25">
      <c r="A1659" s="1"/>
      <c r="B1659" s="2"/>
      <c r="AA1659" s="3"/>
      <c r="AD1659" s="3"/>
      <c r="AG1659" s="3"/>
      <c r="AJ1659" s="3"/>
    </row>
    <row r="1660" spans="1:36" x14ac:dyDescent="0.25">
      <c r="A1660" s="1"/>
      <c r="B1660" s="2"/>
      <c r="AA1660" s="3"/>
      <c r="AD1660" s="3"/>
      <c r="AG1660" s="3"/>
      <c r="AJ1660" s="3"/>
    </row>
    <row r="1661" spans="1:36" x14ac:dyDescent="0.25">
      <c r="A1661" s="1"/>
      <c r="B1661" s="2"/>
      <c r="AA1661" s="3"/>
      <c r="AD1661" s="3"/>
      <c r="AG1661" s="3"/>
      <c r="AJ1661" s="3"/>
    </row>
    <row r="1662" spans="1:36" x14ac:dyDescent="0.25">
      <c r="A1662" s="1"/>
      <c r="B1662" s="2"/>
      <c r="AA1662" s="3"/>
      <c r="AD1662" s="3"/>
      <c r="AG1662" s="3"/>
      <c r="AJ1662" s="3"/>
    </row>
    <row r="1663" spans="1:36" x14ac:dyDescent="0.25">
      <c r="A1663" s="1"/>
      <c r="B1663" s="2"/>
      <c r="AA1663" s="3"/>
      <c r="AD1663" s="3"/>
      <c r="AG1663" s="3"/>
      <c r="AJ1663" s="3"/>
    </row>
    <row r="1664" spans="1:36" x14ac:dyDescent="0.25">
      <c r="A1664" s="1"/>
      <c r="B1664" s="2"/>
      <c r="AA1664" s="3"/>
      <c r="AD1664" s="3"/>
      <c r="AG1664" s="3"/>
      <c r="AJ1664" s="3"/>
    </row>
    <row r="1665" spans="1:36" x14ac:dyDescent="0.25">
      <c r="A1665" s="1"/>
      <c r="B1665" s="2"/>
      <c r="AA1665" s="3"/>
      <c r="AD1665" s="3"/>
      <c r="AG1665" s="3"/>
      <c r="AJ1665" s="3"/>
    </row>
    <row r="1666" spans="1:36" x14ac:dyDescent="0.25">
      <c r="A1666" s="1"/>
      <c r="B1666" s="2"/>
      <c r="AA1666" s="3"/>
      <c r="AD1666" s="3"/>
      <c r="AG1666" s="3"/>
      <c r="AJ1666" s="3"/>
    </row>
    <row r="1667" spans="1:36" x14ac:dyDescent="0.25">
      <c r="A1667" s="1"/>
      <c r="B1667" s="2"/>
      <c r="AA1667" s="3"/>
      <c r="AD1667" s="3"/>
      <c r="AG1667" s="3"/>
      <c r="AJ1667" s="3"/>
    </row>
    <row r="1668" spans="1:36" x14ac:dyDescent="0.25">
      <c r="A1668" s="1"/>
      <c r="B1668" s="2"/>
      <c r="AA1668" s="3"/>
      <c r="AD1668" s="3"/>
      <c r="AG1668" s="3"/>
      <c r="AJ1668" s="3"/>
    </row>
    <row r="1669" spans="1:36" x14ac:dyDescent="0.25">
      <c r="A1669" s="1"/>
      <c r="B1669" s="2"/>
      <c r="AA1669" s="3"/>
      <c r="AD1669" s="3"/>
      <c r="AG1669" s="3"/>
      <c r="AJ1669" s="3"/>
    </row>
    <row r="1670" spans="1:36" x14ac:dyDescent="0.25">
      <c r="A1670" s="1"/>
      <c r="B1670" s="2"/>
      <c r="AA1670" s="3"/>
      <c r="AD1670" s="3"/>
      <c r="AG1670" s="3"/>
      <c r="AJ1670" s="3"/>
    </row>
    <row r="1671" spans="1:36" x14ac:dyDescent="0.25">
      <c r="A1671" s="1"/>
      <c r="B1671" s="2"/>
      <c r="AA1671" s="3"/>
      <c r="AD1671" s="3"/>
      <c r="AG1671" s="3"/>
      <c r="AJ1671" s="3"/>
    </row>
    <row r="1672" spans="1:36" x14ac:dyDescent="0.25">
      <c r="A1672" s="1"/>
      <c r="B1672" s="2"/>
      <c r="AA1672" s="3"/>
      <c r="AD1672" s="3"/>
      <c r="AG1672" s="3"/>
      <c r="AJ1672" s="3"/>
    </row>
    <row r="1673" spans="1:36" x14ac:dyDescent="0.25">
      <c r="A1673" s="1"/>
      <c r="B1673" s="2"/>
      <c r="AA1673" s="3"/>
      <c r="AD1673" s="3"/>
      <c r="AG1673" s="3"/>
      <c r="AJ1673" s="3"/>
    </row>
    <row r="1674" spans="1:36" x14ac:dyDescent="0.25">
      <c r="A1674" s="1"/>
      <c r="B1674" s="2"/>
      <c r="AA1674" s="3"/>
      <c r="AD1674" s="3"/>
      <c r="AG1674" s="3"/>
      <c r="AJ1674" s="3"/>
    </row>
    <row r="1675" spans="1:36" x14ac:dyDescent="0.25">
      <c r="A1675" s="1"/>
      <c r="B1675" s="2"/>
      <c r="AA1675" s="3"/>
      <c r="AD1675" s="3"/>
      <c r="AG1675" s="3"/>
      <c r="AJ1675" s="3"/>
    </row>
    <row r="1676" spans="1:36" x14ac:dyDescent="0.25">
      <c r="A1676" s="1"/>
      <c r="B1676" s="2"/>
      <c r="AA1676" s="3"/>
      <c r="AD1676" s="3"/>
      <c r="AG1676" s="3"/>
      <c r="AJ1676" s="3"/>
    </row>
    <row r="1677" spans="1:36" x14ac:dyDescent="0.25">
      <c r="A1677" s="1"/>
      <c r="B1677" s="2"/>
      <c r="AA1677" s="3"/>
      <c r="AD1677" s="3"/>
      <c r="AG1677" s="3"/>
      <c r="AJ1677" s="3"/>
    </row>
    <row r="1678" spans="1:36" x14ac:dyDescent="0.25">
      <c r="A1678" s="1"/>
      <c r="B1678" s="2"/>
      <c r="AA1678" s="3"/>
      <c r="AD1678" s="3"/>
      <c r="AG1678" s="3"/>
      <c r="AJ1678" s="3"/>
    </row>
    <row r="1679" spans="1:36" x14ac:dyDescent="0.25">
      <c r="A1679" s="1"/>
      <c r="B1679" s="2"/>
      <c r="AA1679" s="3"/>
      <c r="AD1679" s="3"/>
      <c r="AG1679" s="3"/>
      <c r="AJ1679" s="3"/>
    </row>
    <row r="1680" spans="1:36" x14ac:dyDescent="0.25">
      <c r="A1680" s="1"/>
      <c r="B1680" s="2"/>
      <c r="AA1680" s="3"/>
      <c r="AD1680" s="3"/>
      <c r="AG1680" s="3"/>
      <c r="AJ1680" s="3"/>
    </row>
    <row r="1681" spans="1:36" x14ac:dyDescent="0.25">
      <c r="A1681" s="1"/>
      <c r="B1681" s="2"/>
      <c r="AA1681" s="3"/>
      <c r="AD1681" s="3"/>
      <c r="AG1681" s="3"/>
      <c r="AJ1681" s="3"/>
    </row>
    <row r="1682" spans="1:36" x14ac:dyDescent="0.25">
      <c r="A1682" s="1"/>
      <c r="B1682" s="2"/>
      <c r="AA1682" s="3"/>
      <c r="AD1682" s="3"/>
      <c r="AG1682" s="3"/>
      <c r="AJ1682" s="3"/>
    </row>
    <row r="1683" spans="1:36" x14ac:dyDescent="0.25">
      <c r="A1683" s="1"/>
      <c r="B1683" s="2"/>
      <c r="AA1683" s="3"/>
      <c r="AD1683" s="3"/>
      <c r="AG1683" s="3"/>
      <c r="AJ1683" s="3"/>
    </row>
    <row r="1684" spans="1:36" x14ac:dyDescent="0.25">
      <c r="A1684" s="1"/>
      <c r="B1684" s="2"/>
      <c r="AA1684" s="3"/>
      <c r="AD1684" s="3"/>
      <c r="AG1684" s="3"/>
      <c r="AJ1684" s="3"/>
    </row>
    <row r="1685" spans="1:36" x14ac:dyDescent="0.25">
      <c r="A1685" s="1"/>
      <c r="B1685" s="2"/>
      <c r="AA1685" s="3"/>
      <c r="AD1685" s="3"/>
      <c r="AG1685" s="3"/>
      <c r="AJ1685" s="3"/>
    </row>
    <row r="1686" spans="1:36" x14ac:dyDescent="0.25">
      <c r="A1686" s="1"/>
      <c r="B1686" s="2"/>
      <c r="AA1686" s="3"/>
      <c r="AD1686" s="3"/>
      <c r="AG1686" s="3"/>
      <c r="AJ1686" s="3"/>
    </row>
    <row r="1687" spans="1:36" x14ac:dyDescent="0.25">
      <c r="A1687" s="1"/>
      <c r="B1687" s="2"/>
      <c r="AA1687" s="3"/>
      <c r="AD1687" s="3"/>
      <c r="AG1687" s="3"/>
      <c r="AJ1687" s="3"/>
    </row>
    <row r="1688" spans="1:36" x14ac:dyDescent="0.25">
      <c r="A1688" s="1"/>
      <c r="B1688" s="2"/>
      <c r="AA1688" s="3"/>
      <c r="AD1688" s="3"/>
      <c r="AG1688" s="3"/>
      <c r="AJ1688" s="3"/>
    </row>
    <row r="1689" spans="1:36" x14ac:dyDescent="0.25">
      <c r="A1689" s="1"/>
      <c r="B1689" s="2"/>
      <c r="AA1689" s="3"/>
      <c r="AD1689" s="3"/>
      <c r="AG1689" s="3"/>
      <c r="AJ1689" s="3"/>
    </row>
    <row r="1690" spans="1:36" x14ac:dyDescent="0.25">
      <c r="A1690" s="1"/>
      <c r="B1690" s="2"/>
      <c r="AA1690" s="3"/>
      <c r="AD1690" s="3"/>
      <c r="AG1690" s="3"/>
      <c r="AJ1690" s="3"/>
    </row>
    <row r="1691" spans="1:36" x14ac:dyDescent="0.25">
      <c r="A1691" s="1"/>
      <c r="B1691" s="2"/>
      <c r="AA1691" s="3"/>
      <c r="AD1691" s="3"/>
      <c r="AG1691" s="3"/>
      <c r="AJ1691" s="3"/>
    </row>
    <row r="1692" spans="1:36" x14ac:dyDescent="0.25">
      <c r="A1692" s="1"/>
      <c r="B1692" s="2"/>
      <c r="AA1692" s="3"/>
      <c r="AD1692" s="3"/>
      <c r="AG1692" s="3"/>
      <c r="AJ1692" s="3"/>
    </row>
    <row r="1693" spans="1:36" x14ac:dyDescent="0.25">
      <c r="A1693" s="1"/>
      <c r="B1693" s="2"/>
      <c r="AA1693" s="3"/>
      <c r="AD1693" s="3"/>
      <c r="AG1693" s="3"/>
      <c r="AJ1693" s="3"/>
    </row>
    <row r="1694" spans="1:36" x14ac:dyDescent="0.25">
      <c r="A1694" s="1"/>
      <c r="B1694" s="2"/>
      <c r="AA1694" s="3"/>
      <c r="AD1694" s="3"/>
      <c r="AG1694" s="3"/>
      <c r="AJ1694" s="3"/>
    </row>
    <row r="1695" spans="1:36" x14ac:dyDescent="0.25">
      <c r="A1695" s="1"/>
      <c r="B1695" s="2"/>
      <c r="AA1695" s="3"/>
      <c r="AD1695" s="3"/>
      <c r="AG1695" s="3"/>
      <c r="AJ1695" s="3"/>
    </row>
    <row r="1696" spans="1:36" x14ac:dyDescent="0.25">
      <c r="A1696" s="1"/>
      <c r="B1696" s="2"/>
      <c r="AA1696" s="3"/>
      <c r="AD1696" s="3"/>
      <c r="AG1696" s="3"/>
      <c r="AJ1696" s="3"/>
    </row>
    <row r="1697" spans="1:36" x14ac:dyDescent="0.25">
      <c r="A1697" s="1"/>
      <c r="B1697" s="2"/>
      <c r="AA1697" s="3"/>
      <c r="AD1697" s="3"/>
      <c r="AG1697" s="3"/>
      <c r="AJ1697" s="3"/>
    </row>
    <row r="1698" spans="1:36" x14ac:dyDescent="0.25">
      <c r="A1698" s="1"/>
      <c r="B1698" s="2"/>
      <c r="AA1698" s="3"/>
      <c r="AD1698" s="3"/>
      <c r="AG1698" s="3"/>
      <c r="AJ1698" s="3"/>
    </row>
    <row r="1699" spans="1:36" x14ac:dyDescent="0.25">
      <c r="A1699" s="1"/>
      <c r="B1699" s="2"/>
      <c r="AA1699" s="3"/>
      <c r="AD1699" s="3"/>
      <c r="AG1699" s="3"/>
      <c r="AJ1699" s="3"/>
    </row>
    <row r="1700" spans="1:36" x14ac:dyDescent="0.25">
      <c r="A1700" s="1"/>
      <c r="B1700" s="2"/>
      <c r="AA1700" s="3"/>
      <c r="AD1700" s="3"/>
      <c r="AG1700" s="3"/>
      <c r="AJ1700" s="3"/>
    </row>
    <row r="1701" spans="1:36" x14ac:dyDescent="0.25">
      <c r="A1701" s="1"/>
      <c r="B1701" s="2"/>
      <c r="AA1701" s="3"/>
      <c r="AD1701" s="3"/>
      <c r="AG1701" s="3"/>
      <c r="AJ1701" s="3"/>
    </row>
    <row r="1702" spans="1:36" x14ac:dyDescent="0.25">
      <c r="A1702" s="1"/>
      <c r="B1702" s="2"/>
      <c r="AA1702" s="3"/>
      <c r="AD1702" s="3"/>
      <c r="AG1702" s="3"/>
      <c r="AJ1702" s="3"/>
    </row>
    <row r="1703" spans="1:36" x14ac:dyDescent="0.25">
      <c r="A1703" s="1"/>
      <c r="B1703" s="2"/>
      <c r="AA1703" s="3"/>
      <c r="AD1703" s="3"/>
      <c r="AG1703" s="3"/>
      <c r="AJ1703" s="3"/>
    </row>
    <row r="1704" spans="1:36" x14ac:dyDescent="0.25">
      <c r="A1704" s="1"/>
      <c r="B1704" s="2"/>
      <c r="AA1704" s="3"/>
      <c r="AD1704" s="3"/>
      <c r="AG1704" s="3"/>
      <c r="AJ1704" s="3"/>
    </row>
    <row r="1705" spans="1:36" x14ac:dyDescent="0.25">
      <c r="A1705" s="1"/>
      <c r="B1705" s="2"/>
      <c r="AA1705" s="3"/>
      <c r="AD1705" s="3"/>
      <c r="AG1705" s="3"/>
      <c r="AJ1705" s="3"/>
    </row>
    <row r="1706" spans="1:36" x14ac:dyDescent="0.25">
      <c r="A1706" s="1"/>
      <c r="B1706" s="2"/>
      <c r="AA1706" s="3"/>
      <c r="AD1706" s="3"/>
      <c r="AG1706" s="3"/>
      <c r="AJ1706" s="3"/>
    </row>
    <row r="1707" spans="1:36" x14ac:dyDescent="0.25">
      <c r="A1707" s="1"/>
      <c r="B1707" s="2"/>
      <c r="AA1707" s="3"/>
      <c r="AD1707" s="3"/>
      <c r="AG1707" s="3"/>
      <c r="AJ1707" s="3"/>
    </row>
    <row r="1708" spans="1:36" x14ac:dyDescent="0.25">
      <c r="A1708" s="1"/>
      <c r="B1708" s="2"/>
      <c r="AA1708" s="3"/>
      <c r="AD1708" s="3"/>
      <c r="AG1708" s="3"/>
      <c r="AJ1708" s="3"/>
    </row>
    <row r="1709" spans="1:36" x14ac:dyDescent="0.25">
      <c r="A1709" s="1"/>
      <c r="B1709" s="2"/>
      <c r="AA1709" s="3"/>
      <c r="AD1709" s="3"/>
      <c r="AG1709" s="3"/>
      <c r="AJ1709" s="3"/>
    </row>
    <row r="1710" spans="1:36" x14ac:dyDescent="0.25">
      <c r="A1710" s="1"/>
      <c r="B1710" s="2"/>
      <c r="AA1710" s="3"/>
      <c r="AD1710" s="3"/>
      <c r="AG1710" s="3"/>
      <c r="AJ1710" s="3"/>
    </row>
    <row r="1711" spans="1:36" x14ac:dyDescent="0.25">
      <c r="A1711" s="1"/>
      <c r="B1711" s="2"/>
      <c r="AA1711" s="3"/>
      <c r="AD1711" s="3"/>
      <c r="AG1711" s="3"/>
      <c r="AJ1711" s="3"/>
    </row>
    <row r="1712" spans="1:36" x14ac:dyDescent="0.25">
      <c r="A1712" s="1"/>
      <c r="B1712" s="2"/>
      <c r="AA1712" s="3"/>
      <c r="AD1712" s="3"/>
      <c r="AG1712" s="3"/>
      <c r="AJ1712" s="3"/>
    </row>
    <row r="1713" spans="1:36" x14ac:dyDescent="0.25">
      <c r="A1713" s="1"/>
      <c r="B1713" s="2"/>
      <c r="AA1713" s="3"/>
      <c r="AD1713" s="3"/>
      <c r="AG1713" s="3"/>
      <c r="AJ1713" s="3"/>
    </row>
    <row r="1714" spans="1:36" x14ac:dyDescent="0.25">
      <c r="A1714" s="1"/>
      <c r="B1714" s="2"/>
      <c r="AA1714" s="3"/>
      <c r="AD1714" s="3"/>
      <c r="AG1714" s="3"/>
      <c r="AJ1714" s="3"/>
    </row>
    <row r="1715" spans="1:36" x14ac:dyDescent="0.25">
      <c r="A1715" s="1"/>
      <c r="B1715" s="2"/>
      <c r="AA1715" s="3"/>
      <c r="AD1715" s="3"/>
      <c r="AG1715" s="3"/>
      <c r="AJ1715" s="3"/>
    </row>
    <row r="1716" spans="1:36" x14ac:dyDescent="0.25">
      <c r="A1716" s="1"/>
      <c r="B1716" s="2"/>
      <c r="AA1716" s="3"/>
      <c r="AD1716" s="3"/>
      <c r="AG1716" s="3"/>
      <c r="AJ1716" s="3"/>
    </row>
    <row r="1717" spans="1:36" x14ac:dyDescent="0.25">
      <c r="A1717" s="1"/>
      <c r="B1717" s="2"/>
      <c r="AA1717" s="3"/>
      <c r="AD1717" s="3"/>
      <c r="AG1717" s="3"/>
      <c r="AJ1717" s="3"/>
    </row>
    <row r="1718" spans="1:36" x14ac:dyDescent="0.25">
      <c r="A1718" s="1"/>
      <c r="B1718" s="2"/>
      <c r="AA1718" s="3"/>
      <c r="AD1718" s="3"/>
      <c r="AG1718" s="3"/>
      <c r="AJ1718" s="3"/>
    </row>
    <row r="1719" spans="1:36" x14ac:dyDescent="0.25">
      <c r="A1719" s="1"/>
      <c r="B1719" s="2"/>
      <c r="AA1719" s="3"/>
      <c r="AD1719" s="3"/>
      <c r="AG1719" s="3"/>
      <c r="AJ1719" s="3"/>
    </row>
    <row r="1720" spans="1:36" x14ac:dyDescent="0.25">
      <c r="A1720" s="1"/>
      <c r="B1720" s="2"/>
      <c r="AA1720" s="3"/>
      <c r="AD1720" s="3"/>
      <c r="AG1720" s="3"/>
      <c r="AJ1720" s="3"/>
    </row>
    <row r="1721" spans="1:36" x14ac:dyDescent="0.25">
      <c r="A1721" s="1"/>
      <c r="B1721" s="2"/>
      <c r="AA1721" s="3"/>
      <c r="AD1721" s="3"/>
      <c r="AG1721" s="3"/>
      <c r="AJ1721" s="3"/>
    </row>
    <row r="1722" spans="1:36" x14ac:dyDescent="0.25">
      <c r="A1722" s="1"/>
      <c r="B1722" s="2"/>
      <c r="AA1722" s="3"/>
      <c r="AD1722" s="3"/>
      <c r="AG1722" s="3"/>
      <c r="AJ1722" s="3"/>
    </row>
    <row r="1723" spans="1:36" x14ac:dyDescent="0.25">
      <c r="A1723" s="1"/>
      <c r="B1723" s="2"/>
      <c r="AA1723" s="3"/>
      <c r="AD1723" s="3"/>
      <c r="AG1723" s="3"/>
      <c r="AJ1723" s="3"/>
    </row>
    <row r="1724" spans="1:36" x14ac:dyDescent="0.25">
      <c r="A1724" s="1"/>
      <c r="B1724" s="2"/>
      <c r="AA1724" s="3"/>
      <c r="AD1724" s="3"/>
      <c r="AG1724" s="3"/>
      <c r="AJ1724" s="3"/>
    </row>
    <row r="1725" spans="1:36" x14ac:dyDescent="0.25">
      <c r="A1725" s="1"/>
      <c r="B1725" s="2"/>
      <c r="AA1725" s="3"/>
      <c r="AD1725" s="3"/>
      <c r="AG1725" s="3"/>
      <c r="AJ1725" s="3"/>
    </row>
    <row r="1726" spans="1:36" x14ac:dyDescent="0.25">
      <c r="A1726" s="1"/>
      <c r="B1726" s="2"/>
      <c r="AA1726" s="3"/>
      <c r="AD1726" s="3"/>
      <c r="AG1726" s="3"/>
      <c r="AJ1726" s="3"/>
    </row>
    <row r="1727" spans="1:36" x14ac:dyDescent="0.25">
      <c r="A1727" s="1"/>
      <c r="B1727" s="2"/>
      <c r="AA1727" s="3"/>
      <c r="AD1727" s="3"/>
      <c r="AG1727" s="3"/>
      <c r="AJ1727" s="3"/>
    </row>
    <row r="1728" spans="1:36" x14ac:dyDescent="0.25">
      <c r="A1728" s="1"/>
      <c r="B1728" s="2"/>
      <c r="AA1728" s="3"/>
      <c r="AD1728" s="3"/>
      <c r="AG1728" s="3"/>
      <c r="AJ1728" s="3"/>
    </row>
    <row r="1729" spans="1:36" x14ac:dyDescent="0.25">
      <c r="A1729" s="1"/>
      <c r="B1729" s="2"/>
      <c r="AA1729" s="3"/>
      <c r="AD1729" s="3"/>
      <c r="AG1729" s="3"/>
      <c r="AJ1729" s="3"/>
    </row>
    <row r="1730" spans="1:36" x14ac:dyDescent="0.25">
      <c r="A1730" s="1"/>
      <c r="B1730" s="2"/>
      <c r="AA1730" s="3"/>
      <c r="AD1730" s="3"/>
      <c r="AG1730" s="3"/>
      <c r="AJ1730" s="3"/>
    </row>
    <row r="1731" spans="1:36" x14ac:dyDescent="0.25">
      <c r="A1731" s="1"/>
      <c r="B1731" s="2"/>
      <c r="AA1731" s="3"/>
      <c r="AD1731" s="3"/>
      <c r="AG1731" s="3"/>
      <c r="AJ1731" s="3"/>
    </row>
    <row r="1732" spans="1:36" x14ac:dyDescent="0.25">
      <c r="A1732" s="1"/>
      <c r="B1732" s="2"/>
      <c r="AA1732" s="3"/>
      <c r="AD1732" s="3"/>
      <c r="AG1732" s="3"/>
      <c r="AJ1732" s="3"/>
    </row>
    <row r="1733" spans="1:36" x14ac:dyDescent="0.25">
      <c r="A1733" s="1"/>
      <c r="B1733" s="2"/>
      <c r="AA1733" s="3"/>
      <c r="AD1733" s="3"/>
      <c r="AG1733" s="3"/>
      <c r="AJ1733" s="3"/>
    </row>
    <row r="1734" spans="1:36" x14ac:dyDescent="0.25">
      <c r="A1734" s="1"/>
      <c r="B1734" s="2"/>
      <c r="AA1734" s="3"/>
      <c r="AD1734" s="3"/>
      <c r="AG1734" s="3"/>
      <c r="AJ1734" s="3"/>
    </row>
    <row r="1735" spans="1:36" x14ac:dyDescent="0.25">
      <c r="A1735" s="1"/>
      <c r="B1735" s="2"/>
      <c r="AA1735" s="3"/>
      <c r="AD1735" s="3"/>
      <c r="AG1735" s="3"/>
      <c r="AJ1735" s="3"/>
    </row>
    <row r="1736" spans="1:36" x14ac:dyDescent="0.25">
      <c r="A1736" s="1"/>
      <c r="B1736" s="2"/>
      <c r="AA1736" s="3"/>
      <c r="AD1736" s="3"/>
      <c r="AG1736" s="3"/>
      <c r="AJ1736" s="3"/>
    </row>
    <row r="1737" spans="1:36" x14ac:dyDescent="0.25">
      <c r="A1737" s="1"/>
      <c r="B1737" s="2"/>
      <c r="AA1737" s="3"/>
      <c r="AD1737" s="3"/>
      <c r="AG1737" s="3"/>
      <c r="AJ1737" s="3"/>
    </row>
    <row r="1738" spans="1:36" x14ac:dyDescent="0.25">
      <c r="A1738" s="1"/>
      <c r="B1738" s="2"/>
      <c r="AA1738" s="3"/>
      <c r="AD1738" s="3"/>
      <c r="AG1738" s="3"/>
      <c r="AJ1738" s="3"/>
    </row>
    <row r="1739" spans="1:36" x14ac:dyDescent="0.25">
      <c r="A1739" s="1"/>
      <c r="B1739" s="2"/>
      <c r="AA1739" s="3"/>
      <c r="AD1739" s="3"/>
      <c r="AG1739" s="3"/>
      <c r="AJ1739" s="3"/>
    </row>
    <row r="1740" spans="1:36" x14ac:dyDescent="0.25">
      <c r="A1740" s="1"/>
      <c r="B1740" s="2"/>
      <c r="AA1740" s="3"/>
      <c r="AD1740" s="3"/>
      <c r="AG1740" s="3"/>
      <c r="AJ1740" s="3"/>
    </row>
    <row r="1741" spans="1:36" x14ac:dyDescent="0.25">
      <c r="A1741" s="1"/>
      <c r="B1741" s="2"/>
      <c r="AA1741" s="3"/>
      <c r="AD1741" s="3"/>
      <c r="AG1741" s="3"/>
      <c r="AJ1741" s="3"/>
    </row>
    <row r="1742" spans="1:36" x14ac:dyDescent="0.25">
      <c r="A1742" s="1"/>
      <c r="B1742" s="2"/>
      <c r="AA1742" s="3"/>
      <c r="AD1742" s="3"/>
      <c r="AG1742" s="3"/>
      <c r="AJ1742" s="3"/>
    </row>
    <row r="1743" spans="1:36" x14ac:dyDescent="0.25">
      <c r="A1743" s="1"/>
      <c r="B1743" s="2"/>
      <c r="AA1743" s="3"/>
      <c r="AD1743" s="3"/>
      <c r="AG1743" s="3"/>
      <c r="AJ1743" s="3"/>
    </row>
    <row r="1744" spans="1:36" x14ac:dyDescent="0.25">
      <c r="A1744" s="1"/>
      <c r="B1744" s="2"/>
      <c r="AA1744" s="3"/>
      <c r="AD1744" s="3"/>
      <c r="AG1744" s="3"/>
      <c r="AJ1744" s="3"/>
    </row>
    <row r="1745" spans="1:36" x14ac:dyDescent="0.25">
      <c r="A1745" s="1"/>
      <c r="B1745" s="2"/>
      <c r="AA1745" s="3"/>
      <c r="AD1745" s="3"/>
      <c r="AG1745" s="3"/>
      <c r="AJ1745" s="3"/>
    </row>
    <row r="1746" spans="1:36" x14ac:dyDescent="0.25">
      <c r="A1746" s="1"/>
      <c r="B1746" s="2"/>
      <c r="AA1746" s="3"/>
      <c r="AD1746" s="3"/>
      <c r="AG1746" s="3"/>
      <c r="AJ1746" s="3"/>
    </row>
    <row r="1747" spans="1:36" x14ac:dyDescent="0.25">
      <c r="A1747" s="1"/>
      <c r="B1747" s="2"/>
      <c r="AA1747" s="3"/>
      <c r="AD1747" s="3"/>
      <c r="AG1747" s="3"/>
      <c r="AJ1747" s="3"/>
    </row>
    <row r="1748" spans="1:36" x14ac:dyDescent="0.25">
      <c r="A1748" s="1"/>
      <c r="B1748" s="2"/>
      <c r="AA1748" s="3"/>
      <c r="AD1748" s="3"/>
      <c r="AG1748" s="3"/>
      <c r="AJ1748" s="3"/>
    </row>
    <row r="1749" spans="1:36" x14ac:dyDescent="0.25">
      <c r="A1749" s="1"/>
      <c r="B1749" s="2"/>
      <c r="AA1749" s="3"/>
      <c r="AD1749" s="3"/>
      <c r="AG1749" s="3"/>
      <c r="AJ1749" s="3"/>
    </row>
    <row r="1750" spans="1:36" x14ac:dyDescent="0.25">
      <c r="A1750" s="1"/>
      <c r="B1750" s="2"/>
      <c r="AA1750" s="3"/>
      <c r="AD1750" s="3"/>
      <c r="AG1750" s="3"/>
      <c r="AJ1750" s="3"/>
    </row>
    <row r="1751" spans="1:36" x14ac:dyDescent="0.25">
      <c r="A1751" s="1"/>
      <c r="B1751" s="2"/>
      <c r="AA1751" s="3"/>
      <c r="AD1751" s="3"/>
      <c r="AG1751" s="3"/>
      <c r="AJ1751" s="3"/>
    </row>
    <row r="1752" spans="1:36" x14ac:dyDescent="0.25">
      <c r="A1752" s="1"/>
      <c r="B1752" s="2"/>
      <c r="AA1752" s="3"/>
      <c r="AD1752" s="3"/>
      <c r="AG1752" s="3"/>
      <c r="AJ1752" s="3"/>
    </row>
    <row r="1753" spans="1:36" x14ac:dyDescent="0.25">
      <c r="A1753" s="1"/>
      <c r="B1753" s="2"/>
      <c r="AA1753" s="3"/>
      <c r="AD1753" s="3"/>
      <c r="AG1753" s="3"/>
      <c r="AJ1753" s="3"/>
    </row>
    <row r="1754" spans="1:36" x14ac:dyDescent="0.25">
      <c r="A1754" s="1"/>
      <c r="B1754" s="2"/>
      <c r="AA1754" s="3"/>
      <c r="AD1754" s="3"/>
      <c r="AG1754" s="3"/>
      <c r="AJ1754" s="3"/>
    </row>
    <row r="1755" spans="1:36" x14ac:dyDescent="0.25">
      <c r="A1755" s="1"/>
      <c r="B1755" s="2"/>
      <c r="AA1755" s="3"/>
      <c r="AD1755" s="3"/>
      <c r="AG1755" s="3"/>
      <c r="AJ1755" s="3"/>
    </row>
    <row r="1756" spans="1:36" x14ac:dyDescent="0.25">
      <c r="A1756" s="1"/>
      <c r="B1756" s="2"/>
      <c r="AA1756" s="3"/>
      <c r="AD1756" s="3"/>
      <c r="AG1756" s="3"/>
      <c r="AJ1756" s="3"/>
    </row>
    <row r="1757" spans="1:36" x14ac:dyDescent="0.25">
      <c r="A1757" s="1"/>
      <c r="B1757" s="2"/>
      <c r="AA1757" s="3"/>
      <c r="AD1757" s="3"/>
      <c r="AG1757" s="3"/>
      <c r="AJ1757" s="3"/>
    </row>
    <row r="1758" spans="1:36" x14ac:dyDescent="0.25">
      <c r="A1758" s="1"/>
      <c r="B1758" s="2"/>
      <c r="AA1758" s="3"/>
      <c r="AD1758" s="3"/>
      <c r="AG1758" s="3"/>
      <c r="AJ1758" s="3"/>
    </row>
    <row r="1759" spans="1:36" x14ac:dyDescent="0.25">
      <c r="A1759" s="1"/>
      <c r="B1759" s="2"/>
      <c r="AA1759" s="3"/>
      <c r="AD1759" s="3"/>
      <c r="AG1759" s="3"/>
      <c r="AJ1759" s="3"/>
    </row>
    <row r="1760" spans="1:36" x14ac:dyDescent="0.25">
      <c r="A1760" s="1"/>
      <c r="B1760" s="2"/>
      <c r="AA1760" s="3"/>
      <c r="AD1760" s="3"/>
      <c r="AG1760" s="3"/>
      <c r="AJ1760" s="3"/>
    </row>
    <row r="1761" spans="1:36" x14ac:dyDescent="0.25">
      <c r="A1761" s="1"/>
      <c r="B1761" s="2"/>
      <c r="AA1761" s="3"/>
      <c r="AD1761" s="3"/>
      <c r="AG1761" s="3"/>
      <c r="AJ1761" s="3"/>
    </row>
    <row r="1762" spans="1:36" x14ac:dyDescent="0.25">
      <c r="A1762" s="1"/>
      <c r="B1762" s="2"/>
      <c r="AA1762" s="3"/>
      <c r="AD1762" s="3"/>
      <c r="AG1762" s="3"/>
      <c r="AJ1762" s="3"/>
    </row>
    <row r="1763" spans="1:36" x14ac:dyDescent="0.25">
      <c r="A1763" s="1"/>
      <c r="B1763" s="2"/>
      <c r="AA1763" s="3"/>
      <c r="AD1763" s="3"/>
      <c r="AG1763" s="3"/>
      <c r="AJ1763" s="3"/>
    </row>
    <row r="1764" spans="1:36" x14ac:dyDescent="0.25">
      <c r="A1764" s="1"/>
      <c r="B1764" s="2"/>
      <c r="AA1764" s="3"/>
      <c r="AD1764" s="3"/>
      <c r="AG1764" s="3"/>
      <c r="AJ1764" s="3"/>
    </row>
    <row r="1765" spans="1:36" x14ac:dyDescent="0.25">
      <c r="A1765" s="1"/>
      <c r="B1765" s="2"/>
      <c r="AA1765" s="3"/>
      <c r="AD1765" s="3"/>
      <c r="AG1765" s="3"/>
      <c r="AJ1765" s="3"/>
    </row>
    <row r="1766" spans="1:36" x14ac:dyDescent="0.25">
      <c r="A1766" s="1"/>
      <c r="B1766" s="2"/>
      <c r="AA1766" s="3"/>
      <c r="AD1766" s="3"/>
      <c r="AG1766" s="3"/>
      <c r="AJ1766" s="3"/>
    </row>
    <row r="1767" spans="1:36" x14ac:dyDescent="0.25">
      <c r="A1767" s="1"/>
      <c r="B1767" s="2"/>
      <c r="AA1767" s="3"/>
      <c r="AD1767" s="3"/>
      <c r="AG1767" s="3"/>
      <c r="AJ1767" s="3"/>
    </row>
    <row r="1768" spans="1:36" x14ac:dyDescent="0.25">
      <c r="A1768" s="1"/>
      <c r="B1768" s="2"/>
      <c r="AA1768" s="3"/>
      <c r="AD1768" s="3"/>
      <c r="AG1768" s="3"/>
      <c r="AJ1768" s="3"/>
    </row>
    <row r="1769" spans="1:36" x14ac:dyDescent="0.25">
      <c r="A1769" s="1"/>
      <c r="B1769" s="2"/>
      <c r="AA1769" s="3"/>
      <c r="AD1769" s="3"/>
      <c r="AG1769" s="3"/>
      <c r="AJ1769" s="3"/>
    </row>
    <row r="1770" spans="1:36" x14ac:dyDescent="0.25">
      <c r="A1770" s="1"/>
      <c r="B1770" s="2"/>
      <c r="AA1770" s="3"/>
      <c r="AD1770" s="3"/>
      <c r="AG1770" s="3"/>
      <c r="AJ1770" s="3"/>
    </row>
    <row r="1771" spans="1:36" x14ac:dyDescent="0.25">
      <c r="A1771" s="1"/>
      <c r="B1771" s="2"/>
      <c r="AA1771" s="3"/>
      <c r="AD1771" s="3"/>
      <c r="AG1771" s="3"/>
      <c r="AJ1771" s="3"/>
    </row>
    <row r="1772" spans="1:36" x14ac:dyDescent="0.25">
      <c r="A1772" s="1"/>
      <c r="B1772" s="2"/>
      <c r="AA1772" s="3"/>
      <c r="AD1772" s="3"/>
      <c r="AG1772" s="3"/>
      <c r="AJ1772" s="3"/>
    </row>
    <row r="1773" spans="1:36" x14ac:dyDescent="0.25">
      <c r="A1773" s="1"/>
      <c r="B1773" s="2"/>
      <c r="AA1773" s="3"/>
      <c r="AD1773" s="3"/>
      <c r="AG1773" s="3"/>
      <c r="AJ1773" s="3"/>
    </row>
    <row r="1774" spans="1:36" x14ac:dyDescent="0.25">
      <c r="A1774" s="1"/>
      <c r="B1774" s="2"/>
      <c r="AA1774" s="3"/>
      <c r="AD1774" s="3"/>
      <c r="AG1774" s="3"/>
      <c r="AJ1774" s="3"/>
    </row>
    <row r="1775" spans="1:36" x14ac:dyDescent="0.25">
      <c r="A1775" s="1"/>
      <c r="B1775" s="2"/>
      <c r="AA1775" s="3"/>
      <c r="AD1775" s="3"/>
      <c r="AG1775" s="3"/>
      <c r="AJ1775" s="3"/>
    </row>
    <row r="1776" spans="1:36" x14ac:dyDescent="0.25">
      <c r="A1776" s="1"/>
      <c r="B1776" s="2"/>
      <c r="AA1776" s="3"/>
      <c r="AD1776" s="3"/>
      <c r="AG1776" s="3"/>
      <c r="AJ1776" s="3"/>
    </row>
    <row r="1777" spans="1:36" x14ac:dyDescent="0.25">
      <c r="A1777" s="1"/>
      <c r="B1777" s="2"/>
      <c r="AA1777" s="3"/>
      <c r="AD1777" s="3"/>
      <c r="AG1777" s="3"/>
      <c r="AJ1777" s="3"/>
    </row>
    <row r="1778" spans="1:36" x14ac:dyDescent="0.25">
      <c r="A1778" s="1"/>
      <c r="B1778" s="2"/>
      <c r="AA1778" s="3"/>
      <c r="AD1778" s="3"/>
      <c r="AG1778" s="3"/>
      <c r="AJ1778" s="3"/>
    </row>
    <row r="1779" spans="1:36" x14ac:dyDescent="0.25">
      <c r="A1779" s="1"/>
      <c r="B1779" s="2"/>
      <c r="AA1779" s="3"/>
      <c r="AD1779" s="3"/>
      <c r="AG1779" s="3"/>
      <c r="AJ1779" s="3"/>
    </row>
    <row r="1780" spans="1:36" x14ac:dyDescent="0.25">
      <c r="A1780" s="1"/>
      <c r="B1780" s="2"/>
      <c r="AA1780" s="3"/>
      <c r="AD1780" s="3"/>
      <c r="AG1780" s="3"/>
      <c r="AJ1780" s="3"/>
    </row>
    <row r="1781" spans="1:36" x14ac:dyDescent="0.25">
      <c r="A1781" s="1"/>
      <c r="B1781" s="2"/>
      <c r="AA1781" s="3"/>
      <c r="AD1781" s="3"/>
      <c r="AG1781" s="3"/>
      <c r="AJ1781" s="3"/>
    </row>
    <row r="1782" spans="1:36" x14ac:dyDescent="0.25">
      <c r="A1782" s="1"/>
      <c r="B1782" s="2"/>
      <c r="AA1782" s="3"/>
      <c r="AD1782" s="3"/>
      <c r="AG1782" s="3"/>
      <c r="AJ1782" s="3"/>
    </row>
    <row r="1783" spans="1:36" x14ac:dyDescent="0.25">
      <c r="A1783" s="1"/>
      <c r="B1783" s="2"/>
      <c r="AA1783" s="3"/>
      <c r="AD1783" s="3"/>
      <c r="AG1783" s="3"/>
      <c r="AJ1783" s="3"/>
    </row>
    <row r="1784" spans="1:36" x14ac:dyDescent="0.25">
      <c r="A1784" s="1"/>
      <c r="B1784" s="2"/>
      <c r="AA1784" s="3"/>
      <c r="AD1784" s="3"/>
      <c r="AG1784" s="3"/>
      <c r="AJ1784" s="3"/>
    </row>
    <row r="1785" spans="1:36" x14ac:dyDescent="0.25">
      <c r="A1785" s="1"/>
      <c r="B1785" s="2"/>
      <c r="AA1785" s="3"/>
      <c r="AD1785" s="3"/>
      <c r="AG1785" s="3"/>
      <c r="AJ1785" s="3"/>
    </row>
    <row r="1786" spans="1:36" x14ac:dyDescent="0.25">
      <c r="A1786" s="1"/>
      <c r="B1786" s="2"/>
      <c r="AA1786" s="3"/>
      <c r="AD1786" s="3"/>
      <c r="AG1786" s="3"/>
      <c r="AJ1786" s="3"/>
    </row>
    <row r="1787" spans="1:36" x14ac:dyDescent="0.25">
      <c r="A1787" s="1"/>
      <c r="B1787" s="2"/>
      <c r="AA1787" s="3"/>
      <c r="AD1787" s="3"/>
      <c r="AG1787" s="3"/>
      <c r="AJ1787" s="3"/>
    </row>
    <row r="1788" spans="1:36" x14ac:dyDescent="0.25">
      <c r="A1788" s="1"/>
      <c r="B1788" s="2"/>
      <c r="AA1788" s="3"/>
      <c r="AD1788" s="3"/>
      <c r="AG1788" s="3"/>
      <c r="AJ1788" s="3"/>
    </row>
    <row r="1789" spans="1:36" x14ac:dyDescent="0.25">
      <c r="A1789" s="1"/>
      <c r="B1789" s="2"/>
      <c r="AA1789" s="3"/>
      <c r="AD1789" s="3"/>
      <c r="AG1789" s="3"/>
      <c r="AJ1789" s="3"/>
    </row>
    <row r="1790" spans="1:36" x14ac:dyDescent="0.25">
      <c r="A1790" s="1"/>
      <c r="B1790" s="2"/>
      <c r="AA1790" s="3"/>
      <c r="AD1790" s="3"/>
      <c r="AG1790" s="3"/>
      <c r="AJ1790" s="3"/>
    </row>
    <row r="1791" spans="1:36" x14ac:dyDescent="0.25">
      <c r="A1791" s="1"/>
      <c r="B1791" s="2"/>
      <c r="AA1791" s="3"/>
      <c r="AD1791" s="3"/>
      <c r="AG1791" s="3"/>
      <c r="AJ1791" s="3"/>
    </row>
    <row r="1792" spans="1:36" x14ac:dyDescent="0.25">
      <c r="A1792" s="1"/>
      <c r="B1792" s="2"/>
      <c r="AA1792" s="3"/>
      <c r="AD1792" s="3"/>
      <c r="AG1792" s="3"/>
      <c r="AJ1792" s="3"/>
    </row>
    <row r="1793" spans="1:36" x14ac:dyDescent="0.25">
      <c r="A1793" s="1"/>
      <c r="B1793" s="2"/>
      <c r="AA1793" s="3"/>
      <c r="AD1793" s="3"/>
      <c r="AG1793" s="3"/>
      <c r="AJ1793" s="3"/>
    </row>
    <row r="1794" spans="1:36" x14ac:dyDescent="0.25">
      <c r="A1794" s="1"/>
      <c r="B1794" s="2"/>
      <c r="AA1794" s="3"/>
      <c r="AD1794" s="3"/>
      <c r="AG1794" s="3"/>
      <c r="AJ1794" s="3"/>
    </row>
    <row r="1795" spans="1:36" x14ac:dyDescent="0.25">
      <c r="A1795" s="1"/>
      <c r="B1795" s="2"/>
      <c r="AA1795" s="3"/>
      <c r="AD1795" s="3"/>
      <c r="AG1795" s="3"/>
      <c r="AJ1795" s="3"/>
    </row>
    <row r="1796" spans="1:36" x14ac:dyDescent="0.25">
      <c r="A1796" s="1"/>
      <c r="B1796" s="2"/>
      <c r="AA1796" s="3"/>
      <c r="AD1796" s="3"/>
      <c r="AG1796" s="3"/>
      <c r="AJ1796" s="3"/>
    </row>
    <row r="1797" spans="1:36" x14ac:dyDescent="0.25">
      <c r="A1797" s="1"/>
      <c r="B1797" s="2"/>
      <c r="AA1797" s="3"/>
      <c r="AD1797" s="3"/>
      <c r="AG1797" s="3"/>
      <c r="AJ1797" s="3"/>
    </row>
    <row r="1798" spans="1:36" x14ac:dyDescent="0.25">
      <c r="A1798" s="1"/>
      <c r="B1798" s="2"/>
      <c r="AA1798" s="3"/>
      <c r="AD1798" s="3"/>
      <c r="AG1798" s="3"/>
      <c r="AJ1798" s="3"/>
    </row>
    <row r="1799" spans="1:36" x14ac:dyDescent="0.25">
      <c r="A1799" s="1"/>
      <c r="B1799" s="2"/>
      <c r="AA1799" s="3"/>
      <c r="AD1799" s="3"/>
      <c r="AG1799" s="3"/>
      <c r="AJ1799" s="3"/>
    </row>
    <row r="1800" spans="1:36" x14ac:dyDescent="0.25">
      <c r="A1800" s="1"/>
      <c r="B1800" s="2"/>
      <c r="AA1800" s="3"/>
      <c r="AD1800" s="3"/>
      <c r="AG1800" s="3"/>
      <c r="AJ1800" s="3"/>
    </row>
    <row r="1801" spans="1:36" x14ac:dyDescent="0.25">
      <c r="A1801" s="1"/>
      <c r="B1801" s="2"/>
      <c r="AA1801" s="3"/>
      <c r="AD1801" s="3"/>
      <c r="AG1801" s="3"/>
      <c r="AJ1801" s="3"/>
    </row>
    <row r="1802" spans="1:36" x14ac:dyDescent="0.25">
      <c r="A1802" s="1"/>
      <c r="B1802" s="2"/>
      <c r="AA1802" s="3"/>
      <c r="AD1802" s="3"/>
      <c r="AG1802" s="3"/>
      <c r="AJ1802" s="3"/>
    </row>
    <row r="1803" spans="1:36" x14ac:dyDescent="0.25">
      <c r="A1803" s="1"/>
      <c r="B1803" s="2"/>
      <c r="AA1803" s="3"/>
      <c r="AD1803" s="3"/>
      <c r="AG1803" s="3"/>
      <c r="AJ1803" s="3"/>
    </row>
    <row r="1804" spans="1:36" x14ac:dyDescent="0.25">
      <c r="A1804" s="1"/>
      <c r="B1804" s="2"/>
      <c r="AA1804" s="3"/>
      <c r="AD1804" s="3"/>
      <c r="AG1804" s="3"/>
      <c r="AJ1804" s="3"/>
    </row>
    <row r="1805" spans="1:36" x14ac:dyDescent="0.25">
      <c r="A1805" s="1"/>
      <c r="B1805" s="2"/>
      <c r="AA1805" s="3"/>
      <c r="AD1805" s="3"/>
      <c r="AG1805" s="3"/>
      <c r="AJ1805" s="3"/>
    </row>
    <row r="1806" spans="1:36" x14ac:dyDescent="0.25">
      <c r="A1806" s="1"/>
      <c r="B1806" s="2"/>
      <c r="AA1806" s="3"/>
      <c r="AD1806" s="3"/>
      <c r="AG1806" s="3"/>
      <c r="AJ1806" s="3"/>
    </row>
    <row r="1807" spans="1:36" x14ac:dyDescent="0.25">
      <c r="A1807" s="1"/>
      <c r="B1807" s="2"/>
      <c r="AA1807" s="3"/>
      <c r="AD1807" s="3"/>
      <c r="AG1807" s="3"/>
      <c r="AJ1807" s="3"/>
    </row>
    <row r="1808" spans="1:36" x14ac:dyDescent="0.25">
      <c r="A1808" s="1"/>
      <c r="B1808" s="2"/>
      <c r="AA1808" s="3"/>
      <c r="AD1808" s="3"/>
      <c r="AG1808" s="3"/>
      <c r="AJ1808" s="3"/>
    </row>
    <row r="1809" spans="1:36" x14ac:dyDescent="0.25">
      <c r="A1809" s="1"/>
      <c r="B1809" s="2"/>
      <c r="AA1809" s="3"/>
      <c r="AD1809" s="3"/>
      <c r="AG1809" s="3"/>
      <c r="AJ1809" s="3"/>
    </row>
    <row r="1810" spans="1:36" x14ac:dyDescent="0.25">
      <c r="A1810" s="1"/>
      <c r="B1810" s="2"/>
      <c r="AA1810" s="3"/>
      <c r="AD1810" s="3"/>
      <c r="AG1810" s="3"/>
      <c r="AJ1810" s="3"/>
    </row>
    <row r="1811" spans="1:36" x14ac:dyDescent="0.25">
      <c r="A1811" s="1"/>
      <c r="B1811" s="2"/>
      <c r="AA1811" s="3"/>
      <c r="AD1811" s="3"/>
      <c r="AG1811" s="3"/>
      <c r="AJ1811" s="3"/>
    </row>
    <row r="1812" spans="1:36" x14ac:dyDescent="0.25">
      <c r="A1812" s="1"/>
      <c r="B1812" s="2"/>
      <c r="AA1812" s="3"/>
      <c r="AD1812" s="3"/>
      <c r="AG1812" s="3"/>
      <c r="AJ1812" s="3"/>
    </row>
    <row r="1813" spans="1:36" x14ac:dyDescent="0.25">
      <c r="A1813" s="1"/>
      <c r="B1813" s="2"/>
      <c r="AA1813" s="3"/>
      <c r="AD1813" s="3"/>
      <c r="AG1813" s="3"/>
      <c r="AJ1813" s="3"/>
    </row>
    <row r="1814" spans="1:36" x14ac:dyDescent="0.25">
      <c r="A1814" s="1"/>
      <c r="B1814" s="2"/>
      <c r="AA1814" s="3"/>
      <c r="AD1814" s="3"/>
      <c r="AG1814" s="3"/>
      <c r="AJ1814" s="3"/>
    </row>
    <row r="1815" spans="1:36" x14ac:dyDescent="0.25">
      <c r="A1815" s="1"/>
      <c r="B1815" s="2"/>
      <c r="AA1815" s="3"/>
      <c r="AD1815" s="3"/>
      <c r="AG1815" s="3"/>
      <c r="AJ1815" s="3"/>
    </row>
    <row r="1816" spans="1:36" x14ac:dyDescent="0.25">
      <c r="A1816" s="1"/>
      <c r="B1816" s="2"/>
      <c r="AA1816" s="3"/>
      <c r="AD1816" s="3"/>
      <c r="AG1816" s="3"/>
      <c r="AJ1816" s="3"/>
    </row>
    <row r="1817" spans="1:36" x14ac:dyDescent="0.25">
      <c r="A1817" s="1"/>
      <c r="B1817" s="2"/>
      <c r="AA1817" s="3"/>
      <c r="AD1817" s="3"/>
      <c r="AG1817" s="3"/>
      <c r="AJ1817" s="3"/>
    </row>
    <row r="1818" spans="1:36" x14ac:dyDescent="0.25">
      <c r="A1818" s="1"/>
      <c r="B1818" s="2"/>
      <c r="AA1818" s="3"/>
      <c r="AD1818" s="3"/>
      <c r="AG1818" s="3"/>
      <c r="AJ1818" s="3"/>
    </row>
    <row r="1819" spans="1:36" x14ac:dyDescent="0.25">
      <c r="A1819" s="1"/>
      <c r="B1819" s="2"/>
      <c r="AA1819" s="3"/>
      <c r="AD1819" s="3"/>
      <c r="AG1819" s="3"/>
      <c r="AJ1819" s="3"/>
    </row>
    <row r="1820" spans="1:36" x14ac:dyDescent="0.25">
      <c r="A1820" s="1"/>
      <c r="B1820" s="2"/>
      <c r="AA1820" s="3"/>
      <c r="AD1820" s="3"/>
      <c r="AG1820" s="3"/>
      <c r="AJ1820" s="3"/>
    </row>
    <row r="1821" spans="1:36" x14ac:dyDescent="0.25">
      <c r="A1821" s="1"/>
      <c r="B1821" s="2"/>
      <c r="AA1821" s="3"/>
      <c r="AD1821" s="3"/>
      <c r="AG1821" s="3"/>
      <c r="AJ1821" s="3"/>
    </row>
    <row r="1822" spans="1:36" x14ac:dyDescent="0.25">
      <c r="A1822" s="1"/>
      <c r="B1822" s="2"/>
      <c r="AA1822" s="3"/>
      <c r="AD1822" s="3"/>
      <c r="AG1822" s="3"/>
      <c r="AJ1822" s="3"/>
    </row>
    <row r="1823" spans="1:36" x14ac:dyDescent="0.25">
      <c r="A1823" s="1"/>
      <c r="B1823" s="2"/>
      <c r="AA1823" s="3"/>
      <c r="AD1823" s="3"/>
      <c r="AG1823" s="3"/>
      <c r="AJ1823" s="3"/>
    </row>
    <row r="1824" spans="1:36" x14ac:dyDescent="0.25">
      <c r="A1824" s="1"/>
      <c r="B1824" s="2"/>
      <c r="AA1824" s="3"/>
      <c r="AD1824" s="3"/>
      <c r="AG1824" s="3"/>
      <c r="AJ1824" s="3"/>
    </row>
    <row r="1825" spans="1:36" x14ac:dyDescent="0.25">
      <c r="A1825" s="1"/>
      <c r="B1825" s="2"/>
      <c r="AA1825" s="3"/>
      <c r="AD1825" s="3"/>
      <c r="AG1825" s="3"/>
      <c r="AJ1825" s="3"/>
    </row>
    <row r="1826" spans="1:36" x14ac:dyDescent="0.25">
      <c r="A1826" s="1"/>
      <c r="B1826" s="2"/>
      <c r="AA1826" s="3"/>
      <c r="AD1826" s="3"/>
      <c r="AG1826" s="3"/>
      <c r="AJ1826" s="3"/>
    </row>
    <row r="1827" spans="1:36" x14ac:dyDescent="0.25">
      <c r="A1827" s="1"/>
      <c r="B1827" s="2"/>
      <c r="AA1827" s="3"/>
      <c r="AD1827" s="3"/>
      <c r="AG1827" s="3"/>
      <c r="AJ1827" s="3"/>
    </row>
    <row r="1828" spans="1:36" x14ac:dyDescent="0.25">
      <c r="A1828" s="1"/>
      <c r="B1828" s="2"/>
      <c r="AA1828" s="3"/>
      <c r="AD1828" s="3"/>
      <c r="AG1828" s="3"/>
      <c r="AJ1828" s="3"/>
    </row>
    <row r="1829" spans="1:36" x14ac:dyDescent="0.25">
      <c r="A1829" s="1"/>
      <c r="B1829" s="2"/>
      <c r="AA1829" s="3"/>
      <c r="AD1829" s="3"/>
      <c r="AG1829" s="3"/>
      <c r="AJ1829" s="3"/>
    </row>
    <row r="1830" spans="1:36" x14ac:dyDescent="0.25">
      <c r="A1830" s="1"/>
      <c r="B1830" s="2"/>
      <c r="AA1830" s="3"/>
      <c r="AD1830" s="3"/>
      <c r="AG1830" s="3"/>
      <c r="AJ1830" s="3"/>
    </row>
    <row r="1831" spans="1:36" x14ac:dyDescent="0.25">
      <c r="A1831" s="1"/>
      <c r="B1831" s="2"/>
      <c r="AA1831" s="3"/>
      <c r="AD1831" s="3"/>
      <c r="AG1831" s="3"/>
      <c r="AJ1831" s="3"/>
    </row>
    <row r="1832" spans="1:36" x14ac:dyDescent="0.25">
      <c r="A1832" s="1"/>
      <c r="B1832" s="2"/>
      <c r="AA1832" s="3"/>
      <c r="AD1832" s="3"/>
      <c r="AG1832" s="3"/>
      <c r="AJ1832" s="3"/>
    </row>
    <row r="1833" spans="1:36" x14ac:dyDescent="0.25">
      <c r="A1833" s="1"/>
      <c r="B1833" s="2"/>
      <c r="AA1833" s="3"/>
      <c r="AD1833" s="3"/>
      <c r="AG1833" s="3"/>
      <c r="AJ1833" s="3"/>
    </row>
    <row r="1834" spans="1:36" x14ac:dyDescent="0.25">
      <c r="A1834" s="1"/>
      <c r="B1834" s="2"/>
      <c r="AA1834" s="3"/>
      <c r="AD1834" s="3"/>
      <c r="AG1834" s="3"/>
      <c r="AJ1834" s="3"/>
    </row>
    <row r="1835" spans="1:36" x14ac:dyDescent="0.25">
      <c r="A1835" s="1"/>
      <c r="B1835" s="2"/>
      <c r="AA1835" s="3"/>
      <c r="AD1835" s="3"/>
      <c r="AG1835" s="3"/>
      <c r="AJ1835" s="3"/>
    </row>
    <row r="1836" spans="1:36" x14ac:dyDescent="0.25">
      <c r="A1836" s="1"/>
      <c r="B1836" s="2"/>
      <c r="AA1836" s="3"/>
      <c r="AD1836" s="3"/>
      <c r="AG1836" s="3"/>
      <c r="AJ1836" s="3"/>
    </row>
    <row r="1837" spans="1:36" x14ac:dyDescent="0.25">
      <c r="A1837" s="1"/>
      <c r="B1837" s="2"/>
      <c r="AA1837" s="3"/>
      <c r="AD1837" s="3"/>
      <c r="AG1837" s="3"/>
      <c r="AJ1837" s="3"/>
    </row>
    <row r="1838" spans="1:36" x14ac:dyDescent="0.25">
      <c r="A1838" s="1"/>
      <c r="B1838" s="2"/>
      <c r="AA1838" s="3"/>
      <c r="AD1838" s="3"/>
      <c r="AG1838" s="3"/>
      <c r="AJ1838" s="3"/>
    </row>
    <row r="1839" spans="1:36" x14ac:dyDescent="0.25">
      <c r="A1839" s="1"/>
      <c r="B1839" s="2"/>
      <c r="AA1839" s="3"/>
      <c r="AD1839" s="3"/>
      <c r="AG1839" s="3"/>
      <c r="AJ1839" s="3"/>
    </row>
    <row r="1840" spans="1:36" x14ac:dyDescent="0.25">
      <c r="A1840" s="1"/>
      <c r="B1840" s="2"/>
      <c r="AA1840" s="3"/>
      <c r="AD1840" s="3"/>
      <c r="AG1840" s="3"/>
      <c r="AJ1840" s="3"/>
    </row>
    <row r="1841" spans="1:36" x14ac:dyDescent="0.25">
      <c r="A1841" s="1"/>
      <c r="B1841" s="2"/>
      <c r="AA1841" s="3"/>
      <c r="AD1841" s="3"/>
      <c r="AG1841" s="3"/>
      <c r="AJ1841" s="3"/>
    </row>
    <row r="1842" spans="1:36" x14ac:dyDescent="0.25">
      <c r="A1842" s="1"/>
      <c r="B1842" s="2"/>
      <c r="AA1842" s="3"/>
      <c r="AD1842" s="3"/>
      <c r="AG1842" s="3"/>
      <c r="AJ1842" s="3"/>
    </row>
    <row r="1843" spans="1:36" x14ac:dyDescent="0.25">
      <c r="A1843" s="1"/>
      <c r="B1843" s="2"/>
      <c r="AA1843" s="3"/>
      <c r="AD1843" s="3"/>
      <c r="AG1843" s="3"/>
      <c r="AJ1843" s="3"/>
    </row>
    <row r="1844" spans="1:36" x14ac:dyDescent="0.25">
      <c r="A1844" s="1"/>
      <c r="B1844" s="2"/>
      <c r="AA1844" s="3"/>
      <c r="AD1844" s="3"/>
      <c r="AG1844" s="3"/>
      <c r="AJ1844" s="3"/>
    </row>
    <row r="1845" spans="1:36" x14ac:dyDescent="0.25">
      <c r="A1845" s="1"/>
      <c r="B1845" s="2"/>
      <c r="AA1845" s="3"/>
      <c r="AD1845" s="3"/>
      <c r="AG1845" s="3"/>
      <c r="AJ1845" s="3"/>
    </row>
    <row r="1846" spans="1:36" x14ac:dyDescent="0.25">
      <c r="A1846" s="1"/>
      <c r="B1846" s="2"/>
      <c r="AA1846" s="3"/>
      <c r="AD1846" s="3"/>
      <c r="AG1846" s="3"/>
      <c r="AJ1846" s="3"/>
    </row>
    <row r="1847" spans="1:36" x14ac:dyDescent="0.25">
      <c r="A1847" s="1"/>
      <c r="B1847" s="2"/>
      <c r="AA1847" s="3"/>
      <c r="AD1847" s="3"/>
      <c r="AG1847" s="3"/>
      <c r="AJ1847" s="3"/>
    </row>
    <row r="1848" spans="1:36" x14ac:dyDescent="0.25">
      <c r="A1848" s="1"/>
      <c r="B1848" s="2"/>
      <c r="AA1848" s="3"/>
      <c r="AD1848" s="3"/>
      <c r="AG1848" s="3"/>
      <c r="AJ1848" s="3"/>
    </row>
    <row r="1849" spans="1:36" x14ac:dyDescent="0.25">
      <c r="A1849" s="1"/>
      <c r="B1849" s="2"/>
      <c r="AA1849" s="3"/>
      <c r="AD1849" s="3"/>
      <c r="AG1849" s="3"/>
      <c r="AJ1849" s="3"/>
    </row>
    <row r="1850" spans="1:36" x14ac:dyDescent="0.25">
      <c r="A1850" s="1"/>
      <c r="B1850" s="2"/>
      <c r="AA1850" s="3"/>
      <c r="AD1850" s="3"/>
      <c r="AG1850" s="3"/>
      <c r="AJ1850" s="3"/>
    </row>
    <row r="1851" spans="1:36" x14ac:dyDescent="0.25">
      <c r="A1851" s="1"/>
      <c r="B1851" s="2"/>
      <c r="AA1851" s="3"/>
      <c r="AD1851" s="3"/>
      <c r="AG1851" s="3"/>
      <c r="AJ1851" s="3"/>
    </row>
    <row r="1852" spans="1:36" x14ac:dyDescent="0.25">
      <c r="A1852" s="1"/>
      <c r="B1852" s="2"/>
      <c r="AA1852" s="3"/>
      <c r="AD1852" s="3"/>
      <c r="AG1852" s="3"/>
      <c r="AJ1852" s="3"/>
    </row>
    <row r="1853" spans="1:36" x14ac:dyDescent="0.25">
      <c r="A1853" s="1"/>
      <c r="B1853" s="2"/>
      <c r="AA1853" s="3"/>
      <c r="AD1853" s="3"/>
      <c r="AG1853" s="3"/>
      <c r="AJ1853" s="3"/>
    </row>
    <row r="1854" spans="1:36" x14ac:dyDescent="0.25">
      <c r="A1854" s="1"/>
      <c r="B1854" s="2"/>
      <c r="AA1854" s="3"/>
      <c r="AD1854" s="3"/>
      <c r="AG1854" s="3"/>
      <c r="AJ1854" s="3"/>
    </row>
    <row r="1855" spans="1:36" x14ac:dyDescent="0.25">
      <c r="A1855" s="1"/>
      <c r="B1855" s="2"/>
      <c r="AA1855" s="3"/>
      <c r="AD1855" s="3"/>
      <c r="AG1855" s="3"/>
      <c r="AJ1855" s="3"/>
    </row>
    <row r="1856" spans="1:36" x14ac:dyDescent="0.25">
      <c r="A1856" s="1"/>
      <c r="B1856" s="2"/>
      <c r="AA1856" s="3"/>
      <c r="AD1856" s="3"/>
      <c r="AG1856" s="3"/>
      <c r="AJ1856" s="3"/>
    </row>
    <row r="1857" spans="1:36" x14ac:dyDescent="0.25">
      <c r="A1857" s="1"/>
      <c r="B1857" s="2"/>
      <c r="AA1857" s="3"/>
      <c r="AD1857" s="3"/>
      <c r="AG1857" s="3"/>
      <c r="AJ1857" s="3"/>
    </row>
    <row r="1858" spans="1:36" x14ac:dyDescent="0.25">
      <c r="A1858" s="1"/>
      <c r="B1858" s="2"/>
      <c r="AA1858" s="3"/>
      <c r="AD1858" s="3"/>
      <c r="AG1858" s="3"/>
      <c r="AJ1858" s="3"/>
    </row>
    <row r="1859" spans="1:36" x14ac:dyDescent="0.25">
      <c r="A1859" s="1"/>
      <c r="B1859" s="2"/>
      <c r="AA1859" s="3"/>
      <c r="AD1859" s="3"/>
      <c r="AG1859" s="3"/>
      <c r="AJ1859" s="3"/>
    </row>
    <row r="1860" spans="1:36" x14ac:dyDescent="0.25">
      <c r="A1860" s="1"/>
      <c r="B1860" s="2"/>
      <c r="AA1860" s="3"/>
      <c r="AD1860" s="3"/>
      <c r="AG1860" s="3"/>
      <c r="AJ1860" s="3"/>
    </row>
    <row r="1861" spans="1:36" x14ac:dyDescent="0.25">
      <c r="A1861" s="1"/>
      <c r="B1861" s="2"/>
      <c r="AA1861" s="3"/>
      <c r="AD1861" s="3"/>
      <c r="AG1861" s="3"/>
      <c r="AJ1861" s="3"/>
    </row>
    <row r="1862" spans="1:36" x14ac:dyDescent="0.25">
      <c r="A1862" s="1"/>
      <c r="B1862" s="2"/>
      <c r="AA1862" s="3"/>
      <c r="AD1862" s="3"/>
      <c r="AG1862" s="3"/>
      <c r="AJ1862" s="3"/>
    </row>
    <row r="1863" spans="1:36" x14ac:dyDescent="0.25">
      <c r="A1863" s="1"/>
      <c r="B1863" s="2"/>
      <c r="AA1863" s="3"/>
      <c r="AD1863" s="3"/>
      <c r="AG1863" s="3"/>
      <c r="AJ1863" s="3"/>
    </row>
    <row r="1864" spans="1:36" x14ac:dyDescent="0.25">
      <c r="A1864" s="1"/>
      <c r="B1864" s="2"/>
      <c r="AA1864" s="3"/>
      <c r="AD1864" s="3"/>
      <c r="AG1864" s="3"/>
      <c r="AJ1864" s="3"/>
    </row>
    <row r="1865" spans="1:36" x14ac:dyDescent="0.25">
      <c r="A1865" s="1"/>
      <c r="B1865" s="2"/>
      <c r="AA1865" s="3"/>
      <c r="AD1865" s="3"/>
      <c r="AG1865" s="3"/>
      <c r="AJ1865" s="3"/>
    </row>
    <row r="1866" spans="1:36" x14ac:dyDescent="0.25">
      <c r="A1866" s="1"/>
      <c r="B1866" s="2"/>
      <c r="AA1866" s="3"/>
      <c r="AD1866" s="3"/>
      <c r="AG1866" s="3"/>
      <c r="AJ1866" s="3"/>
    </row>
    <row r="1867" spans="1:36" x14ac:dyDescent="0.25">
      <c r="A1867" s="1"/>
      <c r="B1867" s="2"/>
      <c r="AA1867" s="3"/>
      <c r="AD1867" s="3"/>
      <c r="AG1867" s="3"/>
      <c r="AJ1867" s="3"/>
    </row>
    <row r="1868" spans="1:36" x14ac:dyDescent="0.25">
      <c r="A1868" s="1"/>
      <c r="B1868" s="2"/>
      <c r="AA1868" s="3"/>
      <c r="AD1868" s="3"/>
      <c r="AG1868" s="3"/>
      <c r="AJ1868" s="3"/>
    </row>
    <row r="1869" spans="1:36" x14ac:dyDescent="0.25">
      <c r="A1869" s="1"/>
      <c r="B1869" s="2"/>
      <c r="AA1869" s="3"/>
      <c r="AD1869" s="3"/>
      <c r="AG1869" s="3"/>
      <c r="AJ1869" s="3"/>
    </row>
    <row r="1870" spans="1:36" x14ac:dyDescent="0.25">
      <c r="A1870" s="1"/>
      <c r="B1870" s="2"/>
      <c r="AA1870" s="3"/>
      <c r="AD1870" s="3"/>
      <c r="AG1870" s="3"/>
      <c r="AJ1870" s="3"/>
    </row>
    <row r="1871" spans="1:36" x14ac:dyDescent="0.25">
      <c r="A1871" s="1"/>
      <c r="B1871" s="2"/>
      <c r="AA1871" s="3"/>
      <c r="AD1871" s="3"/>
      <c r="AG1871" s="3"/>
      <c r="AJ1871" s="3"/>
    </row>
    <row r="1872" spans="1:36" x14ac:dyDescent="0.25">
      <c r="A1872" s="1"/>
      <c r="B1872" s="2"/>
      <c r="AA1872" s="3"/>
      <c r="AD1872" s="3"/>
      <c r="AG1872" s="3"/>
      <c r="AJ1872" s="3"/>
    </row>
    <row r="1873" spans="1:36" x14ac:dyDescent="0.25">
      <c r="A1873" s="1"/>
      <c r="B1873" s="2"/>
      <c r="AA1873" s="3"/>
      <c r="AD1873" s="3"/>
      <c r="AG1873" s="3"/>
      <c r="AJ1873" s="3"/>
    </row>
    <row r="1874" spans="1:36" x14ac:dyDescent="0.25">
      <c r="A1874" s="1"/>
      <c r="B1874" s="2"/>
      <c r="AA1874" s="3"/>
      <c r="AD1874" s="3"/>
      <c r="AG1874" s="3"/>
      <c r="AJ1874" s="3"/>
    </row>
    <row r="1875" spans="1:36" x14ac:dyDescent="0.25">
      <c r="A1875" s="1"/>
      <c r="B1875" s="2"/>
      <c r="AA1875" s="3"/>
      <c r="AD1875" s="3"/>
      <c r="AG1875" s="3"/>
      <c r="AJ1875" s="3"/>
    </row>
    <row r="1876" spans="1:36" x14ac:dyDescent="0.25">
      <c r="A1876" s="1"/>
      <c r="B1876" s="2"/>
      <c r="AA1876" s="3"/>
      <c r="AD1876" s="3"/>
      <c r="AG1876" s="3"/>
      <c r="AJ1876" s="3"/>
    </row>
    <row r="1877" spans="1:36" x14ac:dyDescent="0.25">
      <c r="A1877" s="1"/>
      <c r="B1877" s="2"/>
      <c r="AA1877" s="3"/>
      <c r="AD1877" s="3"/>
      <c r="AG1877" s="3"/>
      <c r="AJ1877" s="3"/>
    </row>
    <row r="1878" spans="1:36" x14ac:dyDescent="0.25">
      <c r="A1878" s="1"/>
      <c r="B1878" s="2"/>
      <c r="AA1878" s="3"/>
      <c r="AD1878" s="3"/>
      <c r="AG1878" s="3"/>
      <c r="AJ1878" s="3"/>
    </row>
    <row r="1879" spans="1:36" x14ac:dyDescent="0.25">
      <c r="A1879" s="1"/>
      <c r="B1879" s="2"/>
      <c r="AA1879" s="3"/>
      <c r="AD1879" s="3"/>
      <c r="AG1879" s="3"/>
      <c r="AJ1879" s="3"/>
    </row>
    <row r="1880" spans="1:36" x14ac:dyDescent="0.25">
      <c r="A1880" s="1"/>
      <c r="B1880" s="2"/>
      <c r="AA1880" s="3"/>
      <c r="AD1880" s="3"/>
      <c r="AG1880" s="3"/>
      <c r="AJ1880" s="3"/>
    </row>
    <row r="1881" spans="1:36" x14ac:dyDescent="0.25">
      <c r="A1881" s="1"/>
      <c r="B1881" s="2"/>
      <c r="AA1881" s="3"/>
      <c r="AD1881" s="3"/>
      <c r="AG1881" s="3"/>
      <c r="AJ1881" s="3"/>
    </row>
    <row r="1882" spans="1:36" x14ac:dyDescent="0.25">
      <c r="A1882" s="1"/>
      <c r="B1882" s="2"/>
      <c r="AA1882" s="3"/>
      <c r="AD1882" s="3"/>
      <c r="AG1882" s="3"/>
      <c r="AJ1882" s="3"/>
    </row>
    <row r="1883" spans="1:36" x14ac:dyDescent="0.25">
      <c r="A1883" s="1"/>
      <c r="B1883" s="2"/>
      <c r="AA1883" s="3"/>
      <c r="AD1883" s="3"/>
      <c r="AG1883" s="3"/>
      <c r="AJ1883" s="3"/>
    </row>
    <row r="1884" spans="1:36" x14ac:dyDescent="0.25">
      <c r="A1884" s="1"/>
      <c r="B1884" s="2"/>
      <c r="AA1884" s="3"/>
      <c r="AD1884" s="3"/>
      <c r="AG1884" s="3"/>
      <c r="AJ1884" s="3"/>
    </row>
    <row r="1885" spans="1:36" x14ac:dyDescent="0.25">
      <c r="A1885" s="1"/>
      <c r="B1885" s="2"/>
      <c r="AA1885" s="3"/>
      <c r="AD1885" s="3"/>
      <c r="AG1885" s="3"/>
      <c r="AJ1885" s="3"/>
    </row>
    <row r="1886" spans="1:36" x14ac:dyDescent="0.25">
      <c r="A1886" s="1"/>
      <c r="B1886" s="2"/>
      <c r="AA1886" s="3"/>
      <c r="AD1886" s="3"/>
      <c r="AG1886" s="3"/>
      <c r="AJ1886" s="3"/>
    </row>
    <row r="1887" spans="1:36" x14ac:dyDescent="0.25">
      <c r="A1887" s="1"/>
      <c r="B1887" s="2"/>
      <c r="AA1887" s="3"/>
      <c r="AD1887" s="3"/>
      <c r="AG1887" s="3"/>
      <c r="AJ1887" s="3"/>
    </row>
    <row r="1888" spans="1:36" x14ac:dyDescent="0.25">
      <c r="A1888" s="1"/>
      <c r="B1888" s="2"/>
      <c r="AA1888" s="3"/>
      <c r="AD1888" s="3"/>
      <c r="AG1888" s="3"/>
      <c r="AJ1888" s="3"/>
    </row>
    <row r="1889" spans="1:36" x14ac:dyDescent="0.25">
      <c r="A1889" s="1"/>
      <c r="B1889" s="2"/>
      <c r="AA1889" s="3"/>
      <c r="AD1889" s="3"/>
      <c r="AG1889" s="3"/>
      <c r="AJ1889" s="3"/>
    </row>
    <row r="1890" spans="1:36" x14ac:dyDescent="0.25">
      <c r="A1890" s="1"/>
      <c r="B1890" s="2"/>
      <c r="AA1890" s="3"/>
      <c r="AD1890" s="3"/>
      <c r="AG1890" s="3"/>
      <c r="AJ1890" s="3"/>
    </row>
    <row r="1891" spans="1:36" x14ac:dyDescent="0.25">
      <c r="A1891" s="1"/>
      <c r="B1891" s="2"/>
      <c r="AA1891" s="3"/>
      <c r="AD1891" s="3"/>
      <c r="AG1891" s="3"/>
      <c r="AJ1891" s="3"/>
    </row>
    <row r="1892" spans="1:36" x14ac:dyDescent="0.25">
      <c r="A1892" s="1"/>
      <c r="B1892" s="2"/>
      <c r="AA1892" s="3"/>
      <c r="AD1892" s="3"/>
      <c r="AG1892" s="3"/>
      <c r="AJ1892" s="3"/>
    </row>
    <row r="1893" spans="1:36" x14ac:dyDescent="0.25">
      <c r="A1893" s="1"/>
      <c r="B1893" s="2"/>
      <c r="AA1893" s="3"/>
      <c r="AD1893" s="3"/>
      <c r="AG1893" s="3"/>
      <c r="AJ1893" s="3"/>
    </row>
    <row r="1894" spans="1:36" x14ac:dyDescent="0.25">
      <c r="A1894" s="1"/>
      <c r="B1894" s="2"/>
      <c r="AA1894" s="3"/>
      <c r="AD1894" s="3"/>
      <c r="AG1894" s="3"/>
      <c r="AJ1894" s="3"/>
    </row>
    <row r="1895" spans="1:36" x14ac:dyDescent="0.25">
      <c r="A1895" s="1"/>
      <c r="B1895" s="2"/>
      <c r="AA1895" s="3"/>
      <c r="AD1895" s="3"/>
      <c r="AG1895" s="3"/>
      <c r="AJ1895" s="3"/>
    </row>
    <row r="1896" spans="1:36" x14ac:dyDescent="0.25">
      <c r="A1896" s="1"/>
      <c r="B1896" s="2"/>
      <c r="AA1896" s="3"/>
      <c r="AD1896" s="3"/>
      <c r="AG1896" s="3"/>
      <c r="AJ1896" s="3"/>
    </row>
    <row r="1897" spans="1:36" x14ac:dyDescent="0.25">
      <c r="A1897" s="1"/>
      <c r="B1897" s="2"/>
      <c r="AA1897" s="3"/>
      <c r="AD1897" s="3"/>
      <c r="AG1897" s="3"/>
      <c r="AJ1897" s="3"/>
    </row>
    <row r="1898" spans="1:36" x14ac:dyDescent="0.25">
      <c r="A1898" s="1"/>
      <c r="B1898" s="2"/>
      <c r="AA1898" s="3"/>
      <c r="AD1898" s="3"/>
      <c r="AG1898" s="3"/>
      <c r="AJ1898" s="3"/>
    </row>
    <row r="1899" spans="1:36" x14ac:dyDescent="0.25">
      <c r="A1899" s="1"/>
      <c r="B1899" s="2"/>
      <c r="AA1899" s="3"/>
      <c r="AD1899" s="3"/>
      <c r="AG1899" s="3"/>
      <c r="AJ1899" s="3"/>
    </row>
    <row r="1900" spans="1:36" x14ac:dyDescent="0.25">
      <c r="A1900" s="1"/>
      <c r="B1900" s="2"/>
      <c r="AA1900" s="3"/>
      <c r="AD1900" s="3"/>
      <c r="AG1900" s="3"/>
      <c r="AJ1900" s="3"/>
    </row>
    <row r="1901" spans="1:36" x14ac:dyDescent="0.25">
      <c r="A1901" s="1"/>
      <c r="B1901" s="2"/>
      <c r="AA1901" s="3"/>
      <c r="AD1901" s="3"/>
      <c r="AG1901" s="3"/>
      <c r="AJ1901" s="3"/>
    </row>
    <row r="1902" spans="1:36" x14ac:dyDescent="0.25">
      <c r="A1902" s="1"/>
      <c r="B1902" s="2"/>
      <c r="AA1902" s="3"/>
      <c r="AD1902" s="3"/>
      <c r="AG1902" s="3"/>
      <c r="AJ1902" s="3"/>
    </row>
    <row r="1903" spans="1:36" x14ac:dyDescent="0.25">
      <c r="A1903" s="1"/>
      <c r="B1903" s="2"/>
      <c r="AA1903" s="3"/>
      <c r="AD1903" s="3"/>
      <c r="AG1903" s="3"/>
      <c r="AJ1903" s="3"/>
    </row>
    <row r="1904" spans="1:36" x14ac:dyDescent="0.25">
      <c r="A1904" s="1"/>
      <c r="B1904" s="2"/>
      <c r="AA1904" s="3"/>
      <c r="AD1904" s="3"/>
      <c r="AG1904" s="3"/>
      <c r="AJ1904" s="3"/>
    </row>
    <row r="1905" spans="1:36" x14ac:dyDescent="0.25">
      <c r="A1905" s="1"/>
      <c r="B1905" s="2"/>
      <c r="AA1905" s="3"/>
      <c r="AD1905" s="3"/>
      <c r="AG1905" s="3"/>
      <c r="AJ1905" s="3"/>
    </row>
    <row r="1906" spans="1:36" x14ac:dyDescent="0.25">
      <c r="A1906" s="1"/>
      <c r="B1906" s="2"/>
      <c r="AA1906" s="3"/>
      <c r="AD1906" s="3"/>
      <c r="AG1906" s="3"/>
      <c r="AJ1906" s="3"/>
    </row>
    <row r="1907" spans="1:36" x14ac:dyDescent="0.25">
      <c r="A1907" s="1"/>
      <c r="B1907" s="2"/>
      <c r="AA1907" s="3"/>
      <c r="AD1907" s="3"/>
      <c r="AG1907" s="3"/>
      <c r="AJ1907" s="3"/>
    </row>
    <row r="1908" spans="1:36" x14ac:dyDescent="0.25">
      <c r="A1908" s="1"/>
      <c r="B1908" s="2"/>
      <c r="AA1908" s="3"/>
      <c r="AD1908" s="3"/>
      <c r="AG1908" s="3"/>
      <c r="AJ1908" s="3"/>
    </row>
    <row r="1909" spans="1:36" x14ac:dyDescent="0.25">
      <c r="A1909" s="1"/>
      <c r="B1909" s="2"/>
      <c r="AA1909" s="3"/>
      <c r="AD1909" s="3"/>
      <c r="AG1909" s="3"/>
      <c r="AJ1909" s="3"/>
    </row>
    <row r="1910" spans="1:36" x14ac:dyDescent="0.25">
      <c r="A1910" s="1"/>
      <c r="B1910" s="2"/>
      <c r="AA1910" s="3"/>
      <c r="AD1910" s="3"/>
      <c r="AG1910" s="3"/>
      <c r="AJ1910" s="3"/>
    </row>
    <row r="1911" spans="1:36" x14ac:dyDescent="0.25">
      <c r="A1911" s="1"/>
      <c r="B1911" s="2"/>
      <c r="AA1911" s="3"/>
      <c r="AD1911" s="3"/>
      <c r="AG1911" s="3"/>
      <c r="AJ1911" s="3"/>
    </row>
    <row r="1912" spans="1:36" x14ac:dyDescent="0.25">
      <c r="A1912" s="1"/>
      <c r="B1912" s="2"/>
      <c r="AA1912" s="3"/>
      <c r="AD1912" s="3"/>
      <c r="AG1912" s="3"/>
      <c r="AJ1912" s="3"/>
    </row>
    <row r="1913" spans="1:36" x14ac:dyDescent="0.25">
      <c r="A1913" s="1"/>
      <c r="B1913" s="2"/>
      <c r="AA1913" s="3"/>
      <c r="AD1913" s="3"/>
      <c r="AG1913" s="3"/>
      <c r="AJ1913" s="3"/>
    </row>
    <row r="1914" spans="1:36" x14ac:dyDescent="0.25">
      <c r="A1914" s="1"/>
      <c r="B1914" s="2"/>
      <c r="AA1914" s="3"/>
      <c r="AD1914" s="3"/>
      <c r="AG1914" s="3"/>
      <c r="AJ1914" s="3"/>
    </row>
    <row r="1915" spans="1:36" x14ac:dyDescent="0.25">
      <c r="A1915" s="1"/>
      <c r="B1915" s="2"/>
      <c r="AA1915" s="3"/>
      <c r="AD1915" s="3"/>
      <c r="AG1915" s="3"/>
      <c r="AJ1915" s="3"/>
    </row>
    <row r="1916" spans="1:36" x14ac:dyDescent="0.25">
      <c r="A1916" s="1"/>
      <c r="B1916" s="2"/>
      <c r="AA1916" s="3"/>
      <c r="AD1916" s="3"/>
      <c r="AG1916" s="3"/>
      <c r="AJ1916" s="3"/>
    </row>
    <row r="1917" spans="1:36" x14ac:dyDescent="0.25">
      <c r="A1917" s="1"/>
      <c r="B1917" s="2"/>
      <c r="AA1917" s="3"/>
      <c r="AD1917" s="3"/>
      <c r="AG1917" s="3"/>
      <c r="AJ1917" s="3"/>
    </row>
    <row r="1918" spans="1:36" x14ac:dyDescent="0.25">
      <c r="A1918" s="1"/>
      <c r="B1918" s="2"/>
      <c r="AA1918" s="3"/>
      <c r="AD1918" s="3"/>
      <c r="AG1918" s="3"/>
      <c r="AJ1918" s="3"/>
    </row>
    <row r="1919" spans="1:36" x14ac:dyDescent="0.25">
      <c r="A1919" s="1"/>
      <c r="B1919" s="2"/>
      <c r="AA1919" s="3"/>
      <c r="AD1919" s="3"/>
      <c r="AG1919" s="3"/>
      <c r="AJ1919" s="3"/>
    </row>
    <row r="1920" spans="1:36" x14ac:dyDescent="0.25">
      <c r="A1920" s="1"/>
      <c r="B1920" s="2"/>
      <c r="AA1920" s="3"/>
      <c r="AD1920" s="3"/>
      <c r="AG1920" s="3"/>
      <c r="AJ1920" s="3"/>
    </row>
    <row r="1921" spans="1:36" x14ac:dyDescent="0.25">
      <c r="A1921" s="1"/>
      <c r="B1921" s="2"/>
      <c r="AA1921" s="3"/>
      <c r="AD1921" s="3"/>
      <c r="AG1921" s="3"/>
      <c r="AJ1921" s="3"/>
    </row>
    <row r="1922" spans="1:36" x14ac:dyDescent="0.25">
      <c r="A1922" s="1"/>
      <c r="B1922" s="2"/>
      <c r="AA1922" s="3"/>
      <c r="AD1922" s="3"/>
      <c r="AG1922" s="3"/>
      <c r="AJ1922" s="3"/>
    </row>
    <row r="1923" spans="1:36" x14ac:dyDescent="0.25">
      <c r="A1923" s="1"/>
      <c r="B1923" s="2"/>
      <c r="AA1923" s="3"/>
      <c r="AD1923" s="3"/>
      <c r="AG1923" s="3"/>
      <c r="AJ1923" s="3"/>
    </row>
    <row r="1924" spans="1:36" x14ac:dyDescent="0.25">
      <c r="A1924" s="1"/>
      <c r="B1924" s="2"/>
      <c r="AA1924" s="3"/>
      <c r="AD1924" s="3"/>
      <c r="AG1924" s="3"/>
      <c r="AJ1924" s="3"/>
    </row>
    <row r="1925" spans="1:36" x14ac:dyDescent="0.25">
      <c r="A1925" s="1"/>
      <c r="B1925" s="2"/>
      <c r="AA1925" s="3"/>
      <c r="AD1925" s="3"/>
      <c r="AG1925" s="3"/>
      <c r="AJ1925" s="3"/>
    </row>
    <row r="1926" spans="1:36" x14ac:dyDescent="0.25">
      <c r="A1926" s="1"/>
      <c r="B1926" s="2"/>
      <c r="AA1926" s="3"/>
      <c r="AD1926" s="3"/>
      <c r="AG1926" s="3"/>
      <c r="AJ1926" s="3"/>
    </row>
    <row r="1927" spans="1:36" x14ac:dyDescent="0.25">
      <c r="A1927" s="1"/>
      <c r="B1927" s="2"/>
      <c r="AA1927" s="3"/>
      <c r="AD1927" s="3"/>
      <c r="AG1927" s="3"/>
      <c r="AJ1927" s="3"/>
    </row>
    <row r="1928" spans="1:36" x14ac:dyDescent="0.25">
      <c r="A1928" s="1"/>
      <c r="B1928" s="2"/>
      <c r="AA1928" s="3"/>
      <c r="AD1928" s="3"/>
      <c r="AG1928" s="3"/>
      <c r="AJ1928" s="3"/>
    </row>
    <row r="1929" spans="1:36" x14ac:dyDescent="0.25">
      <c r="A1929" s="1"/>
      <c r="B1929" s="2"/>
      <c r="AA1929" s="3"/>
      <c r="AD1929" s="3"/>
      <c r="AG1929" s="3"/>
      <c r="AJ1929" s="3"/>
    </row>
    <row r="1930" spans="1:36" x14ac:dyDescent="0.25">
      <c r="A1930" s="1"/>
      <c r="B1930" s="2"/>
      <c r="AA1930" s="3"/>
      <c r="AD1930" s="3"/>
      <c r="AG1930" s="3"/>
      <c r="AJ1930" s="3"/>
    </row>
    <row r="1931" spans="1:36" x14ac:dyDescent="0.25">
      <c r="A1931" s="1"/>
      <c r="B1931" s="2"/>
      <c r="AA1931" s="3"/>
      <c r="AD1931" s="3"/>
      <c r="AG1931" s="3"/>
      <c r="AJ1931" s="3"/>
    </row>
    <row r="1932" spans="1:36" x14ac:dyDescent="0.25">
      <c r="A1932" s="1"/>
      <c r="B1932" s="2"/>
      <c r="AA1932" s="3"/>
      <c r="AD1932" s="3"/>
      <c r="AG1932" s="3"/>
      <c r="AJ1932" s="3"/>
    </row>
    <row r="1933" spans="1:36" x14ac:dyDescent="0.25">
      <c r="A1933" s="1"/>
      <c r="B1933" s="2"/>
      <c r="AA1933" s="3"/>
      <c r="AD1933" s="3"/>
      <c r="AG1933" s="3"/>
      <c r="AJ1933" s="3"/>
    </row>
    <row r="1934" spans="1:36" x14ac:dyDescent="0.25">
      <c r="A1934" s="1"/>
      <c r="B1934" s="2"/>
      <c r="AA1934" s="3"/>
      <c r="AD1934" s="3"/>
      <c r="AG1934" s="3"/>
      <c r="AJ1934" s="3"/>
    </row>
    <row r="1935" spans="1:36" x14ac:dyDescent="0.25">
      <c r="A1935" s="1"/>
      <c r="B1935" s="2"/>
      <c r="AA1935" s="3"/>
      <c r="AD1935" s="3"/>
      <c r="AG1935" s="3"/>
      <c r="AJ1935" s="3"/>
    </row>
    <row r="1936" spans="1:36" x14ac:dyDescent="0.25">
      <c r="A1936" s="1"/>
      <c r="B1936" s="2"/>
      <c r="AA1936" s="3"/>
      <c r="AD1936" s="3"/>
      <c r="AG1936" s="3"/>
      <c r="AJ1936" s="3"/>
    </row>
    <row r="1937" spans="1:36" x14ac:dyDescent="0.25">
      <c r="A1937" s="1"/>
      <c r="B1937" s="2"/>
      <c r="AA1937" s="3"/>
      <c r="AD1937" s="3"/>
      <c r="AG1937" s="3"/>
      <c r="AJ1937" s="3"/>
    </row>
    <row r="1938" spans="1:36" x14ac:dyDescent="0.25">
      <c r="A1938" s="1"/>
      <c r="B1938" s="2"/>
      <c r="AA1938" s="3"/>
      <c r="AD1938" s="3"/>
      <c r="AG1938" s="3"/>
      <c r="AJ1938" s="3"/>
    </row>
    <row r="1939" spans="1:36" x14ac:dyDescent="0.25">
      <c r="A1939" s="1"/>
      <c r="B1939" s="2"/>
      <c r="AA1939" s="3"/>
      <c r="AD1939" s="3"/>
      <c r="AG1939" s="3"/>
      <c r="AJ1939" s="3"/>
    </row>
    <row r="1940" spans="1:36" x14ac:dyDescent="0.25">
      <c r="A1940" s="1"/>
      <c r="B1940" s="2"/>
      <c r="AA1940" s="3"/>
      <c r="AD1940" s="3"/>
      <c r="AG1940" s="3"/>
      <c r="AJ1940" s="3"/>
    </row>
    <row r="1941" spans="1:36" x14ac:dyDescent="0.25">
      <c r="A1941" s="1"/>
      <c r="B1941" s="2"/>
      <c r="AA1941" s="3"/>
      <c r="AD1941" s="3"/>
      <c r="AG1941" s="3"/>
      <c r="AJ1941" s="3"/>
    </row>
    <row r="1942" spans="1:36" x14ac:dyDescent="0.25">
      <c r="A1942" s="1"/>
      <c r="B1942" s="2"/>
      <c r="AA1942" s="3"/>
      <c r="AD1942" s="3"/>
      <c r="AG1942" s="3"/>
      <c r="AJ1942" s="3"/>
    </row>
    <row r="1943" spans="1:36" x14ac:dyDescent="0.25">
      <c r="A1943" s="1"/>
      <c r="B1943" s="2"/>
      <c r="AA1943" s="3"/>
      <c r="AD1943" s="3"/>
      <c r="AG1943" s="3"/>
      <c r="AJ1943" s="3"/>
    </row>
    <row r="1944" spans="1:36" x14ac:dyDescent="0.25">
      <c r="A1944" s="1"/>
      <c r="B1944" s="2"/>
      <c r="AA1944" s="3"/>
      <c r="AD1944" s="3"/>
      <c r="AG1944" s="3"/>
      <c r="AJ1944" s="3"/>
    </row>
    <row r="1945" spans="1:36" x14ac:dyDescent="0.25">
      <c r="A1945" s="1"/>
      <c r="B1945" s="2"/>
      <c r="AA1945" s="3"/>
      <c r="AD1945" s="3"/>
      <c r="AG1945" s="3"/>
      <c r="AJ1945" s="3"/>
    </row>
    <row r="1946" spans="1:36" x14ac:dyDescent="0.25">
      <c r="A1946" s="1"/>
      <c r="B1946" s="2"/>
      <c r="AA1946" s="3"/>
      <c r="AD1946" s="3"/>
      <c r="AG1946" s="3"/>
      <c r="AJ1946" s="3"/>
    </row>
    <row r="1947" spans="1:36" x14ac:dyDescent="0.25">
      <c r="A1947" s="1"/>
      <c r="B1947" s="2"/>
      <c r="AA1947" s="3"/>
      <c r="AD1947" s="3"/>
      <c r="AG1947" s="3"/>
      <c r="AJ1947" s="3"/>
    </row>
    <row r="1948" spans="1:36" x14ac:dyDescent="0.25">
      <c r="A1948" s="1"/>
      <c r="B1948" s="2"/>
      <c r="AA1948" s="3"/>
      <c r="AD1948" s="3"/>
      <c r="AG1948" s="3"/>
      <c r="AJ1948" s="3"/>
    </row>
    <row r="1949" spans="1:36" x14ac:dyDescent="0.25">
      <c r="A1949" s="1"/>
      <c r="B1949" s="2"/>
      <c r="AA1949" s="3"/>
      <c r="AD1949" s="3"/>
      <c r="AG1949" s="3"/>
      <c r="AJ1949" s="3"/>
    </row>
    <row r="1950" spans="1:36" x14ac:dyDescent="0.25">
      <c r="A1950" s="1"/>
      <c r="B1950" s="2"/>
      <c r="AA1950" s="3"/>
      <c r="AD1950" s="3"/>
      <c r="AG1950" s="3"/>
      <c r="AJ1950" s="3"/>
    </row>
    <row r="1951" spans="1:36" x14ac:dyDescent="0.25">
      <c r="A1951" s="1"/>
      <c r="B1951" s="2"/>
      <c r="AA1951" s="3"/>
      <c r="AD1951" s="3"/>
      <c r="AG1951" s="3"/>
      <c r="AJ1951" s="3"/>
    </row>
    <row r="1952" spans="1:36" x14ac:dyDescent="0.25">
      <c r="A1952" s="1"/>
      <c r="B1952" s="2"/>
      <c r="AA1952" s="3"/>
      <c r="AD1952" s="3"/>
      <c r="AG1952" s="3"/>
      <c r="AJ1952" s="3"/>
    </row>
    <row r="1953" spans="1:36" x14ac:dyDescent="0.25">
      <c r="A1953" s="1"/>
      <c r="B1953" s="2"/>
      <c r="AA1953" s="3"/>
      <c r="AD1953" s="3"/>
      <c r="AG1953" s="3"/>
      <c r="AJ1953" s="3"/>
    </row>
    <row r="1954" spans="1:36" x14ac:dyDescent="0.25">
      <c r="A1954" s="1"/>
      <c r="B1954" s="2"/>
      <c r="AA1954" s="3"/>
      <c r="AD1954" s="3"/>
      <c r="AG1954" s="3"/>
      <c r="AJ1954" s="3"/>
    </row>
    <row r="1955" spans="1:36" x14ac:dyDescent="0.25">
      <c r="A1955" s="1"/>
      <c r="B1955" s="2"/>
      <c r="AA1955" s="3"/>
      <c r="AD1955" s="3"/>
      <c r="AG1955" s="3"/>
      <c r="AJ1955" s="3"/>
    </row>
    <row r="1956" spans="1:36" x14ac:dyDescent="0.25">
      <c r="A1956" s="1"/>
      <c r="B1956" s="2"/>
      <c r="AA1956" s="3"/>
      <c r="AD1956" s="3"/>
      <c r="AG1956" s="3"/>
      <c r="AJ1956" s="3"/>
    </row>
    <row r="1957" spans="1:36" x14ac:dyDescent="0.25">
      <c r="A1957" s="1"/>
      <c r="B1957" s="2"/>
      <c r="AA1957" s="3"/>
      <c r="AD1957" s="3"/>
      <c r="AG1957" s="3"/>
      <c r="AJ1957" s="3"/>
    </row>
    <row r="1958" spans="1:36" x14ac:dyDescent="0.25">
      <c r="A1958" s="1"/>
      <c r="B1958" s="2"/>
      <c r="AA1958" s="3"/>
      <c r="AD1958" s="3"/>
      <c r="AG1958" s="3"/>
      <c r="AJ1958" s="3"/>
    </row>
    <row r="1959" spans="1:36" x14ac:dyDescent="0.25">
      <c r="A1959" s="1"/>
      <c r="B1959" s="2"/>
      <c r="AA1959" s="3"/>
      <c r="AD1959" s="3"/>
      <c r="AG1959" s="3"/>
      <c r="AJ1959" s="3"/>
    </row>
    <row r="1960" spans="1:36" x14ac:dyDescent="0.25">
      <c r="A1960" s="1"/>
      <c r="B1960" s="2"/>
      <c r="AA1960" s="3"/>
      <c r="AD1960" s="3"/>
      <c r="AG1960" s="3"/>
      <c r="AJ1960" s="3"/>
    </row>
    <row r="1961" spans="1:36" x14ac:dyDescent="0.25">
      <c r="A1961" s="1"/>
      <c r="B1961" s="2"/>
      <c r="AA1961" s="3"/>
      <c r="AD1961" s="3"/>
      <c r="AG1961" s="3"/>
      <c r="AJ1961" s="3"/>
    </row>
    <row r="1962" spans="1:36" x14ac:dyDescent="0.25">
      <c r="A1962" s="1"/>
      <c r="B1962" s="2"/>
      <c r="AA1962" s="3"/>
      <c r="AD1962" s="3"/>
      <c r="AG1962" s="3"/>
      <c r="AJ1962" s="3"/>
    </row>
    <row r="1963" spans="1:36" x14ac:dyDescent="0.25">
      <c r="A1963" s="1"/>
      <c r="B1963" s="2"/>
      <c r="AA1963" s="3"/>
      <c r="AD1963" s="3"/>
      <c r="AG1963" s="3"/>
      <c r="AJ1963" s="3"/>
    </row>
    <row r="1964" spans="1:36" x14ac:dyDescent="0.25">
      <c r="A1964" s="1"/>
      <c r="B1964" s="2"/>
      <c r="AA1964" s="3"/>
      <c r="AD1964" s="3"/>
      <c r="AG1964" s="3"/>
      <c r="AJ1964" s="3"/>
    </row>
    <row r="1965" spans="1:36" x14ac:dyDescent="0.25">
      <c r="A1965" s="1"/>
      <c r="B1965" s="2"/>
      <c r="AA1965" s="3"/>
      <c r="AD1965" s="3"/>
      <c r="AG1965" s="3"/>
      <c r="AJ1965" s="3"/>
    </row>
    <row r="1966" spans="1:36" x14ac:dyDescent="0.25">
      <c r="A1966" s="1"/>
      <c r="B1966" s="2"/>
      <c r="AA1966" s="3"/>
      <c r="AD1966" s="3"/>
      <c r="AG1966" s="3"/>
      <c r="AJ1966" s="3"/>
    </row>
    <row r="1967" spans="1:36" x14ac:dyDescent="0.25">
      <c r="A1967" s="1"/>
      <c r="B1967" s="2"/>
      <c r="AA1967" s="3"/>
      <c r="AD1967" s="3"/>
      <c r="AG1967" s="3"/>
      <c r="AJ1967" s="3"/>
    </row>
    <row r="1968" spans="1:36" x14ac:dyDescent="0.25">
      <c r="A1968" s="1"/>
      <c r="B1968" s="2"/>
      <c r="AA1968" s="3"/>
      <c r="AD1968" s="3"/>
      <c r="AG1968" s="3"/>
      <c r="AJ1968" s="3"/>
    </row>
    <row r="1969" spans="1:36" x14ac:dyDescent="0.25">
      <c r="A1969" s="1"/>
      <c r="B1969" s="2"/>
      <c r="AA1969" s="3"/>
      <c r="AD1969" s="3"/>
      <c r="AG1969" s="3"/>
      <c r="AJ1969" s="3"/>
    </row>
    <row r="1970" spans="1:36" x14ac:dyDescent="0.25">
      <c r="A1970" s="1"/>
      <c r="B1970" s="2"/>
      <c r="AA1970" s="3"/>
      <c r="AD1970" s="3"/>
      <c r="AG1970" s="3"/>
      <c r="AJ1970" s="3"/>
    </row>
    <row r="1971" spans="1:36" x14ac:dyDescent="0.25">
      <c r="A1971" s="1"/>
      <c r="B1971" s="2"/>
      <c r="AA1971" s="3"/>
      <c r="AD1971" s="3"/>
      <c r="AG1971" s="3"/>
      <c r="AJ1971" s="3"/>
    </row>
    <row r="1972" spans="1:36" x14ac:dyDescent="0.25">
      <c r="A1972" s="1"/>
      <c r="B1972" s="2"/>
      <c r="AA1972" s="3"/>
      <c r="AD1972" s="3"/>
      <c r="AG1972" s="3"/>
      <c r="AJ1972" s="3"/>
    </row>
    <row r="1973" spans="1:36" x14ac:dyDescent="0.25">
      <c r="A1973" s="1"/>
      <c r="B1973" s="2"/>
      <c r="AA1973" s="3"/>
      <c r="AD1973" s="3"/>
      <c r="AG1973" s="3"/>
      <c r="AJ1973" s="3"/>
    </row>
    <row r="1974" spans="1:36" x14ac:dyDescent="0.25">
      <c r="A1974" s="1"/>
      <c r="B1974" s="2"/>
      <c r="AA1974" s="3"/>
      <c r="AD1974" s="3"/>
      <c r="AG1974" s="3"/>
      <c r="AJ1974" s="3"/>
    </row>
    <row r="1975" spans="1:36" x14ac:dyDescent="0.25">
      <c r="A1975" s="1"/>
      <c r="B1975" s="2"/>
      <c r="AA1975" s="3"/>
      <c r="AD1975" s="3"/>
      <c r="AG1975" s="3"/>
      <c r="AJ1975" s="3"/>
    </row>
    <row r="1976" spans="1:36" x14ac:dyDescent="0.25">
      <c r="A1976" s="1"/>
      <c r="B1976" s="2"/>
      <c r="AA1976" s="3"/>
      <c r="AD1976" s="3"/>
      <c r="AG1976" s="3"/>
      <c r="AJ1976" s="3"/>
    </row>
    <row r="1977" spans="1:36" x14ac:dyDescent="0.25">
      <c r="A1977" s="1"/>
      <c r="B1977" s="2"/>
      <c r="AA1977" s="3"/>
      <c r="AD1977" s="3"/>
      <c r="AG1977" s="3"/>
      <c r="AJ1977" s="3"/>
    </row>
    <row r="1978" spans="1:36" x14ac:dyDescent="0.25">
      <c r="A1978" s="1"/>
      <c r="B1978" s="2"/>
      <c r="AA1978" s="3"/>
      <c r="AD1978" s="3"/>
      <c r="AG1978" s="3"/>
      <c r="AJ1978" s="3"/>
    </row>
    <row r="1979" spans="1:36" x14ac:dyDescent="0.25">
      <c r="A1979" s="1"/>
      <c r="B1979" s="2"/>
      <c r="AA1979" s="3"/>
      <c r="AD1979" s="3"/>
      <c r="AG1979" s="3"/>
      <c r="AJ1979" s="3"/>
    </row>
    <row r="1980" spans="1:36" x14ac:dyDescent="0.25">
      <c r="A1980" s="1"/>
      <c r="B1980" s="2"/>
      <c r="AA1980" s="3"/>
      <c r="AD1980" s="3"/>
      <c r="AG1980" s="3"/>
      <c r="AJ1980" s="3"/>
    </row>
    <row r="1981" spans="1:36" x14ac:dyDescent="0.25">
      <c r="A1981" s="1"/>
      <c r="B1981" s="2"/>
      <c r="AA1981" s="3"/>
      <c r="AD1981" s="3"/>
      <c r="AG1981" s="3"/>
      <c r="AJ1981" s="3"/>
    </row>
    <row r="1982" spans="1:36" x14ac:dyDescent="0.25">
      <c r="A1982" s="1"/>
      <c r="B1982" s="2"/>
      <c r="AA1982" s="3"/>
      <c r="AD1982" s="3"/>
      <c r="AG1982" s="3"/>
      <c r="AJ1982" s="3"/>
    </row>
    <row r="1983" spans="1:36" x14ac:dyDescent="0.25">
      <c r="A1983" s="1"/>
      <c r="B1983" s="2"/>
      <c r="AA1983" s="3"/>
      <c r="AD1983" s="3"/>
      <c r="AG1983" s="3"/>
      <c r="AJ1983" s="3"/>
    </row>
    <row r="1984" spans="1:36" x14ac:dyDescent="0.25">
      <c r="A1984" s="1"/>
      <c r="B1984" s="2"/>
      <c r="AA1984" s="3"/>
      <c r="AD1984" s="3"/>
      <c r="AG1984" s="3"/>
      <c r="AJ1984" s="3"/>
    </row>
    <row r="1985" spans="1:36" x14ac:dyDescent="0.25">
      <c r="A1985" s="1"/>
      <c r="B1985" s="2"/>
      <c r="AA1985" s="3"/>
      <c r="AD1985" s="3"/>
      <c r="AG1985" s="3"/>
      <c r="AJ1985" s="3"/>
    </row>
    <row r="1986" spans="1:36" x14ac:dyDescent="0.25">
      <c r="A1986" s="1"/>
      <c r="B1986" s="2"/>
      <c r="AA1986" s="3"/>
      <c r="AD1986" s="3"/>
      <c r="AG1986" s="3"/>
      <c r="AJ1986" s="3"/>
    </row>
    <row r="1987" spans="1:36" x14ac:dyDescent="0.25">
      <c r="A1987" s="1"/>
      <c r="B1987" s="2"/>
      <c r="AA1987" s="3"/>
      <c r="AD1987" s="3"/>
      <c r="AG1987" s="3"/>
      <c r="AJ1987" s="3"/>
    </row>
    <row r="1988" spans="1:36" x14ac:dyDescent="0.25">
      <c r="A1988" s="1"/>
      <c r="B1988" s="2"/>
      <c r="AA1988" s="3"/>
      <c r="AD1988" s="3"/>
      <c r="AG1988" s="3"/>
      <c r="AJ1988" s="3"/>
    </row>
    <row r="1989" spans="1:36" x14ac:dyDescent="0.25">
      <c r="A1989" s="1"/>
      <c r="B1989" s="2"/>
      <c r="AA1989" s="3"/>
      <c r="AD1989" s="3"/>
      <c r="AG1989" s="3"/>
      <c r="AJ1989" s="3"/>
    </row>
    <row r="1990" spans="1:36" x14ac:dyDescent="0.25">
      <c r="A1990" s="1"/>
      <c r="B1990" s="2"/>
      <c r="AA1990" s="3"/>
      <c r="AD1990" s="3"/>
      <c r="AG1990" s="3"/>
      <c r="AJ1990" s="3"/>
    </row>
    <row r="1991" spans="1:36" x14ac:dyDescent="0.25">
      <c r="A1991" s="1"/>
      <c r="B1991" s="2"/>
      <c r="AA1991" s="3"/>
      <c r="AD1991" s="3"/>
      <c r="AG1991" s="3"/>
      <c r="AJ1991" s="3"/>
    </row>
    <row r="1992" spans="1:36" x14ac:dyDescent="0.25">
      <c r="A1992" s="1"/>
      <c r="B1992" s="2"/>
      <c r="AA1992" s="3"/>
      <c r="AD1992" s="3"/>
      <c r="AG1992" s="3"/>
      <c r="AJ1992" s="3"/>
    </row>
    <row r="1993" spans="1:36" x14ac:dyDescent="0.25">
      <c r="A1993" s="1"/>
      <c r="B1993" s="2"/>
      <c r="AA1993" s="3"/>
      <c r="AD1993" s="3"/>
      <c r="AG1993" s="3"/>
      <c r="AJ1993" s="3"/>
    </row>
    <row r="1994" spans="1:36" x14ac:dyDescent="0.25">
      <c r="A1994" s="1"/>
      <c r="B1994" s="2"/>
      <c r="AA1994" s="3"/>
      <c r="AD1994" s="3"/>
      <c r="AG1994" s="3"/>
      <c r="AJ1994" s="3"/>
    </row>
    <row r="1995" spans="1:36" x14ac:dyDescent="0.25">
      <c r="A1995" s="1"/>
      <c r="B1995" s="2"/>
      <c r="AA1995" s="3"/>
      <c r="AD1995" s="3"/>
      <c r="AG1995" s="3"/>
      <c r="AJ1995" s="3"/>
    </row>
    <row r="1996" spans="1:36" x14ac:dyDescent="0.25">
      <c r="A1996" s="1"/>
      <c r="B1996" s="2"/>
      <c r="AA1996" s="3"/>
      <c r="AD1996" s="3"/>
      <c r="AG1996" s="3"/>
      <c r="AJ1996" s="3"/>
    </row>
    <row r="1997" spans="1:36" x14ac:dyDescent="0.25">
      <c r="A1997" s="1"/>
      <c r="B1997" s="2"/>
      <c r="AA1997" s="3"/>
      <c r="AD1997" s="3"/>
      <c r="AG1997" s="3"/>
      <c r="AJ1997" s="3"/>
    </row>
    <row r="1998" spans="1:36" x14ac:dyDescent="0.25">
      <c r="A1998" s="1"/>
      <c r="B1998" s="2"/>
      <c r="AA1998" s="3"/>
      <c r="AD1998" s="3"/>
      <c r="AG1998" s="3"/>
      <c r="AJ1998" s="3"/>
    </row>
    <row r="1999" spans="1:36" x14ac:dyDescent="0.25">
      <c r="A1999" s="1"/>
      <c r="B1999" s="2"/>
      <c r="AA1999" s="3"/>
      <c r="AD1999" s="3"/>
      <c r="AG1999" s="3"/>
      <c r="AJ1999" s="3"/>
    </row>
    <row r="2000" spans="1:36" x14ac:dyDescent="0.25">
      <c r="A2000" s="1"/>
      <c r="B2000" s="2"/>
      <c r="AA2000" s="3"/>
      <c r="AD2000" s="3"/>
      <c r="AG2000" s="3"/>
      <c r="AJ2000" s="3"/>
    </row>
    <row r="2001" spans="1:36" x14ac:dyDescent="0.25">
      <c r="A2001" s="1"/>
      <c r="B2001" s="2"/>
      <c r="AA2001" s="3"/>
      <c r="AD2001" s="3"/>
      <c r="AG2001" s="3"/>
      <c r="AJ2001" s="3"/>
    </row>
    <row r="2002" spans="1:36" x14ac:dyDescent="0.25">
      <c r="A2002" s="1"/>
      <c r="B2002" s="2"/>
      <c r="AA2002" s="3"/>
      <c r="AD2002" s="3"/>
      <c r="AG2002" s="3"/>
      <c r="AJ2002" s="3"/>
    </row>
    <row r="2003" spans="1:36" x14ac:dyDescent="0.25">
      <c r="A2003" s="1"/>
      <c r="B2003" s="2"/>
      <c r="AA2003" s="3"/>
      <c r="AD2003" s="3"/>
      <c r="AG2003" s="3"/>
      <c r="AJ2003" s="3"/>
    </row>
    <row r="2004" spans="1:36" x14ac:dyDescent="0.25">
      <c r="A2004" s="1"/>
      <c r="B2004" s="2"/>
      <c r="AA2004" s="3"/>
      <c r="AD2004" s="3"/>
      <c r="AG2004" s="3"/>
      <c r="AJ2004" s="3"/>
    </row>
    <row r="2005" spans="1:36" x14ac:dyDescent="0.25">
      <c r="A2005" s="1"/>
      <c r="B2005" s="2"/>
      <c r="AA2005" s="3"/>
      <c r="AD2005" s="3"/>
      <c r="AG2005" s="3"/>
      <c r="AJ2005" s="3"/>
    </row>
    <row r="2006" spans="1:36" x14ac:dyDescent="0.25">
      <c r="A2006" s="1"/>
      <c r="B2006" s="2"/>
      <c r="AA2006" s="3"/>
      <c r="AD2006" s="3"/>
      <c r="AG2006" s="3"/>
      <c r="AJ2006" s="3"/>
    </row>
    <row r="2007" spans="1:36" x14ac:dyDescent="0.25">
      <c r="A2007" s="1"/>
      <c r="B2007" s="2"/>
      <c r="AA2007" s="3"/>
      <c r="AD2007" s="3"/>
      <c r="AG2007" s="3"/>
      <c r="AJ2007" s="3"/>
    </row>
    <row r="2008" spans="1:36" x14ac:dyDescent="0.25">
      <c r="A2008" s="1"/>
      <c r="B2008" s="2"/>
      <c r="AA2008" s="3"/>
      <c r="AD2008" s="3"/>
      <c r="AG2008" s="3"/>
      <c r="AJ2008" s="3"/>
    </row>
    <row r="2009" spans="1:36" x14ac:dyDescent="0.25">
      <c r="A2009" s="1"/>
      <c r="B2009" s="2"/>
      <c r="AA2009" s="3"/>
      <c r="AD2009" s="3"/>
      <c r="AG2009" s="3"/>
      <c r="AJ2009" s="3"/>
    </row>
    <row r="2010" spans="1:36" x14ac:dyDescent="0.25">
      <c r="A2010" s="1"/>
      <c r="B2010" s="2"/>
      <c r="AA2010" s="3"/>
      <c r="AD2010" s="3"/>
      <c r="AG2010" s="3"/>
      <c r="AJ2010" s="3"/>
    </row>
    <row r="2011" spans="1:36" x14ac:dyDescent="0.25">
      <c r="A2011" s="1"/>
      <c r="B2011" s="2"/>
      <c r="AA2011" s="3"/>
      <c r="AD2011" s="3"/>
      <c r="AG2011" s="3"/>
      <c r="AJ2011" s="3"/>
    </row>
    <row r="2012" spans="1:36" x14ac:dyDescent="0.25">
      <c r="A2012" s="1"/>
      <c r="B2012" s="2"/>
      <c r="AA2012" s="3"/>
      <c r="AD2012" s="3"/>
      <c r="AG2012" s="3"/>
      <c r="AJ2012" s="3"/>
    </row>
    <row r="2013" spans="1:36" x14ac:dyDescent="0.25">
      <c r="A2013" s="1"/>
      <c r="B2013" s="2"/>
      <c r="AA2013" s="3"/>
      <c r="AD2013" s="3"/>
      <c r="AG2013" s="3"/>
      <c r="AJ2013" s="3"/>
    </row>
    <row r="2014" spans="1:36" x14ac:dyDescent="0.25">
      <c r="A2014" s="1"/>
      <c r="B2014" s="2"/>
      <c r="AA2014" s="3"/>
      <c r="AD2014" s="3"/>
      <c r="AG2014" s="3"/>
      <c r="AJ2014" s="3"/>
    </row>
    <row r="2015" spans="1:36" x14ac:dyDescent="0.25">
      <c r="A2015" s="1"/>
      <c r="B2015" s="2"/>
      <c r="AA2015" s="3"/>
      <c r="AD2015" s="3"/>
      <c r="AG2015" s="3"/>
      <c r="AJ2015" s="3"/>
    </row>
    <row r="2016" spans="1:36" x14ac:dyDescent="0.25">
      <c r="A2016" s="1"/>
      <c r="B2016" s="2"/>
      <c r="AA2016" s="3"/>
      <c r="AD2016" s="3"/>
      <c r="AG2016" s="3"/>
      <c r="AJ2016" s="3"/>
    </row>
    <row r="2017" spans="1:36" x14ac:dyDescent="0.25">
      <c r="A2017" s="1"/>
      <c r="B2017" s="2"/>
      <c r="AA2017" s="3"/>
      <c r="AD2017" s="3"/>
      <c r="AG2017" s="3"/>
      <c r="AJ2017" s="3"/>
    </row>
    <row r="2018" spans="1:36" x14ac:dyDescent="0.25">
      <c r="A2018" s="1"/>
      <c r="B2018" s="2"/>
      <c r="AA2018" s="3"/>
      <c r="AD2018" s="3"/>
      <c r="AG2018" s="3"/>
      <c r="AJ2018" s="3"/>
    </row>
    <row r="2019" spans="1:36" x14ac:dyDescent="0.25">
      <c r="A2019" s="1"/>
      <c r="B2019" s="2"/>
      <c r="AA2019" s="3"/>
      <c r="AD2019" s="3"/>
      <c r="AG2019" s="3"/>
      <c r="AJ2019" s="3"/>
    </row>
    <row r="2020" spans="1:36" x14ac:dyDescent="0.25">
      <c r="A2020" s="1"/>
      <c r="B2020" s="2"/>
      <c r="AA2020" s="3"/>
      <c r="AD2020" s="3"/>
      <c r="AG2020" s="3"/>
      <c r="AJ2020" s="3"/>
    </row>
    <row r="2021" spans="1:36" x14ac:dyDescent="0.25">
      <c r="A2021" s="1"/>
      <c r="B2021" s="2"/>
      <c r="AA2021" s="3"/>
      <c r="AD2021" s="3"/>
      <c r="AG2021" s="3"/>
      <c r="AJ2021" s="3"/>
    </row>
    <row r="2022" spans="1:36" x14ac:dyDescent="0.25">
      <c r="A2022" s="1"/>
      <c r="B2022" s="2"/>
      <c r="AA2022" s="3"/>
      <c r="AD2022" s="3"/>
      <c r="AG2022" s="3"/>
      <c r="AJ2022" s="3"/>
    </row>
    <row r="2023" spans="1:36" x14ac:dyDescent="0.25">
      <c r="A2023" s="1"/>
      <c r="B2023" s="2"/>
      <c r="AA2023" s="3"/>
      <c r="AD2023" s="3"/>
      <c r="AG2023" s="3"/>
      <c r="AJ2023" s="3"/>
    </row>
    <row r="2024" spans="1:36" x14ac:dyDescent="0.25">
      <c r="A2024" s="1"/>
      <c r="B2024" s="2"/>
      <c r="AA2024" s="3"/>
      <c r="AD2024" s="3"/>
      <c r="AG2024" s="3"/>
      <c r="AJ2024" s="3"/>
    </row>
    <row r="2025" spans="1:36" x14ac:dyDescent="0.25">
      <c r="A2025" s="1"/>
      <c r="B2025" s="2"/>
      <c r="AA2025" s="3"/>
      <c r="AD2025" s="3"/>
      <c r="AG2025" s="3"/>
      <c r="AJ2025" s="3"/>
    </row>
    <row r="2026" spans="1:36" x14ac:dyDescent="0.25">
      <c r="A2026" s="1"/>
      <c r="B2026" s="2"/>
      <c r="AA2026" s="3"/>
      <c r="AD2026" s="3"/>
      <c r="AG2026" s="3"/>
      <c r="AJ2026" s="3"/>
    </row>
    <row r="2027" spans="1:36" x14ac:dyDescent="0.25">
      <c r="A2027" s="1"/>
      <c r="B2027" s="2"/>
      <c r="AA2027" s="3"/>
      <c r="AD2027" s="3"/>
      <c r="AG2027" s="3"/>
      <c r="AJ2027" s="3"/>
    </row>
    <row r="2028" spans="1:36" x14ac:dyDescent="0.25">
      <c r="A2028" s="1"/>
      <c r="B2028" s="2"/>
      <c r="AA2028" s="3"/>
      <c r="AD2028" s="3"/>
      <c r="AG2028" s="3"/>
      <c r="AJ2028" s="3"/>
    </row>
    <row r="2029" spans="1:36" x14ac:dyDescent="0.25">
      <c r="A2029" s="1"/>
      <c r="B2029" s="2"/>
      <c r="AA2029" s="3"/>
      <c r="AD2029" s="3"/>
      <c r="AG2029" s="3"/>
      <c r="AJ2029" s="3"/>
    </row>
    <row r="2030" spans="1:36" x14ac:dyDescent="0.25">
      <c r="A2030" s="1"/>
      <c r="B2030" s="2"/>
      <c r="AA2030" s="3"/>
      <c r="AD2030" s="3"/>
      <c r="AG2030" s="3"/>
      <c r="AJ2030" s="3"/>
    </row>
    <row r="2031" spans="1:36" x14ac:dyDescent="0.25">
      <c r="A2031" s="1"/>
      <c r="B2031" s="2"/>
      <c r="AA2031" s="3"/>
      <c r="AD2031" s="3"/>
      <c r="AG2031" s="3"/>
      <c r="AJ2031" s="3"/>
    </row>
    <row r="2032" spans="1:36" x14ac:dyDescent="0.25">
      <c r="A2032" s="1"/>
      <c r="B2032" s="2"/>
      <c r="AA2032" s="3"/>
      <c r="AD2032" s="3"/>
      <c r="AG2032" s="3"/>
      <c r="AJ2032" s="3"/>
    </row>
    <row r="2033" spans="1:36" x14ac:dyDescent="0.25">
      <c r="A2033" s="1"/>
      <c r="B2033" s="2"/>
      <c r="AA2033" s="3"/>
      <c r="AD2033" s="3"/>
      <c r="AG2033" s="3"/>
      <c r="AJ2033" s="3"/>
    </row>
    <row r="2034" spans="1:36" x14ac:dyDescent="0.25">
      <c r="A2034" s="1"/>
      <c r="B2034" s="2"/>
      <c r="AA2034" s="3"/>
      <c r="AD2034" s="3"/>
      <c r="AG2034" s="3"/>
      <c r="AJ2034" s="3"/>
    </row>
    <row r="2035" spans="1:36" x14ac:dyDescent="0.25">
      <c r="A2035" s="1"/>
      <c r="B2035" s="2"/>
      <c r="AA2035" s="3"/>
      <c r="AD2035" s="3"/>
      <c r="AG2035" s="3"/>
      <c r="AJ2035" s="3"/>
    </row>
    <row r="2036" spans="1:36" x14ac:dyDescent="0.25">
      <c r="A2036" s="1"/>
      <c r="B2036" s="2"/>
      <c r="AA2036" s="3"/>
      <c r="AD2036" s="3"/>
      <c r="AG2036" s="3"/>
      <c r="AJ2036" s="3"/>
    </row>
    <row r="2037" spans="1:36" x14ac:dyDescent="0.25">
      <c r="A2037" s="1"/>
      <c r="B2037" s="2"/>
      <c r="AA2037" s="3"/>
      <c r="AD2037" s="3"/>
      <c r="AG2037" s="3"/>
      <c r="AJ2037" s="3"/>
    </row>
    <row r="2038" spans="1:36" x14ac:dyDescent="0.25">
      <c r="A2038" s="1"/>
      <c r="B2038" s="2"/>
      <c r="AA2038" s="3"/>
      <c r="AD2038" s="3"/>
      <c r="AG2038" s="3"/>
      <c r="AJ2038" s="3"/>
    </row>
    <row r="2039" spans="1:36" x14ac:dyDescent="0.25">
      <c r="A2039" s="1"/>
      <c r="B2039" s="2"/>
      <c r="AA2039" s="3"/>
      <c r="AD2039" s="3"/>
      <c r="AG2039" s="3"/>
      <c r="AJ2039" s="3"/>
    </row>
    <row r="2040" spans="1:36" x14ac:dyDescent="0.25">
      <c r="A2040" s="1"/>
      <c r="B2040" s="2"/>
      <c r="AA2040" s="3"/>
      <c r="AD2040" s="3"/>
      <c r="AG2040" s="3"/>
      <c r="AJ2040" s="3"/>
    </row>
    <row r="2041" spans="1:36" x14ac:dyDescent="0.25">
      <c r="A2041" s="1"/>
      <c r="B2041" s="2"/>
      <c r="AA2041" s="3"/>
      <c r="AD2041" s="3"/>
      <c r="AG2041" s="3"/>
      <c r="AJ2041" s="3"/>
    </row>
    <row r="2042" spans="1:36" x14ac:dyDescent="0.25">
      <c r="A2042" s="1"/>
      <c r="B2042" s="2"/>
      <c r="AA2042" s="3"/>
      <c r="AD2042" s="3"/>
      <c r="AG2042" s="3"/>
      <c r="AJ2042" s="3"/>
    </row>
    <row r="2043" spans="1:36" x14ac:dyDescent="0.25">
      <c r="A2043" s="1"/>
      <c r="B2043" s="2"/>
      <c r="AA2043" s="3"/>
      <c r="AD2043" s="3"/>
      <c r="AG2043" s="3"/>
      <c r="AJ2043" s="3"/>
    </row>
    <row r="2044" spans="1:36" x14ac:dyDescent="0.25">
      <c r="A2044" s="1"/>
      <c r="B2044" s="2"/>
      <c r="AA2044" s="3"/>
      <c r="AD2044" s="3"/>
      <c r="AG2044" s="3"/>
      <c r="AJ2044" s="3"/>
    </row>
    <row r="2045" spans="1:36" x14ac:dyDescent="0.25">
      <c r="A2045" s="1"/>
      <c r="B2045" s="2"/>
      <c r="AA2045" s="3"/>
      <c r="AD2045" s="3"/>
      <c r="AG2045" s="3"/>
      <c r="AJ2045" s="3"/>
    </row>
    <row r="2046" spans="1:36" x14ac:dyDescent="0.25">
      <c r="A2046" s="1"/>
      <c r="B2046" s="2"/>
      <c r="AA2046" s="3"/>
      <c r="AD2046" s="3"/>
      <c r="AG2046" s="3"/>
      <c r="AJ2046" s="3"/>
    </row>
    <row r="2047" spans="1:36" x14ac:dyDescent="0.25">
      <c r="A2047" s="1"/>
      <c r="B2047" s="2"/>
      <c r="AA2047" s="3"/>
      <c r="AD2047" s="3"/>
      <c r="AG2047" s="3"/>
      <c r="AJ2047" s="3"/>
    </row>
    <row r="2048" spans="1:36" x14ac:dyDescent="0.25">
      <c r="A2048" s="1"/>
      <c r="B2048" s="2"/>
      <c r="AA2048" s="3"/>
      <c r="AD2048" s="3"/>
      <c r="AG2048" s="3"/>
      <c r="AJ2048" s="3"/>
    </row>
    <row r="2049" spans="1:36" x14ac:dyDescent="0.25">
      <c r="A2049" s="1"/>
      <c r="B2049" s="2"/>
      <c r="AA2049" s="3"/>
      <c r="AD2049" s="3"/>
      <c r="AG2049" s="3"/>
      <c r="AJ2049" s="3"/>
    </row>
    <row r="2050" spans="1:36" x14ac:dyDescent="0.25">
      <c r="A2050" s="1"/>
      <c r="B2050" s="2"/>
      <c r="AA2050" s="3"/>
      <c r="AD2050" s="3"/>
      <c r="AG2050" s="3"/>
      <c r="AJ2050" s="3"/>
    </row>
    <row r="2051" spans="1:36" x14ac:dyDescent="0.25">
      <c r="A2051" s="1"/>
      <c r="B2051" s="2"/>
      <c r="AA2051" s="3"/>
      <c r="AD2051" s="3"/>
      <c r="AG2051" s="3"/>
      <c r="AJ2051" s="3"/>
    </row>
    <row r="2052" spans="1:36" x14ac:dyDescent="0.25">
      <c r="A2052" s="1"/>
      <c r="B2052" s="2"/>
      <c r="AA2052" s="3"/>
      <c r="AD2052" s="3"/>
      <c r="AG2052" s="3"/>
      <c r="AJ2052" s="3"/>
    </row>
    <row r="2053" spans="1:36" x14ac:dyDescent="0.25">
      <c r="A2053" s="1"/>
      <c r="B2053" s="2"/>
      <c r="AA2053" s="3"/>
      <c r="AD2053" s="3"/>
      <c r="AG2053" s="3"/>
      <c r="AJ2053" s="3"/>
    </row>
    <row r="2054" spans="1:36" x14ac:dyDescent="0.25">
      <c r="A2054" s="1"/>
      <c r="B2054" s="2"/>
      <c r="AA2054" s="3"/>
      <c r="AD2054" s="3"/>
      <c r="AG2054" s="3"/>
      <c r="AJ2054" s="3"/>
    </row>
    <row r="2055" spans="1:36" x14ac:dyDescent="0.25">
      <c r="A2055" s="1"/>
      <c r="B2055" s="2"/>
      <c r="AA2055" s="3"/>
      <c r="AD2055" s="3"/>
      <c r="AG2055" s="3"/>
      <c r="AJ2055" s="3"/>
    </row>
    <row r="2056" spans="1:36" x14ac:dyDescent="0.25">
      <c r="A2056" s="1"/>
      <c r="B2056" s="2"/>
      <c r="AA2056" s="3"/>
      <c r="AD2056" s="3"/>
      <c r="AG2056" s="3"/>
      <c r="AJ2056" s="3"/>
    </row>
    <row r="2057" spans="1:36" x14ac:dyDescent="0.25">
      <c r="A2057" s="1"/>
      <c r="B2057" s="2"/>
      <c r="AA2057" s="3"/>
      <c r="AD2057" s="3"/>
      <c r="AG2057" s="3"/>
      <c r="AJ2057" s="3"/>
    </row>
    <row r="2058" spans="1:36" x14ac:dyDescent="0.25">
      <c r="A2058" s="1"/>
      <c r="B2058" s="2"/>
      <c r="AA2058" s="3"/>
      <c r="AD2058" s="3"/>
      <c r="AG2058" s="3"/>
      <c r="AJ2058" s="3"/>
    </row>
    <row r="2059" spans="1:36" x14ac:dyDescent="0.25">
      <c r="A2059" s="1"/>
      <c r="B2059" s="2"/>
      <c r="AA2059" s="3"/>
      <c r="AD2059" s="3"/>
      <c r="AG2059" s="3"/>
      <c r="AJ2059" s="3"/>
    </row>
    <row r="2060" spans="1:36" x14ac:dyDescent="0.25">
      <c r="A2060" s="1"/>
      <c r="B2060" s="2"/>
      <c r="AA2060" s="3"/>
      <c r="AD2060" s="3"/>
      <c r="AG2060" s="3"/>
      <c r="AJ2060" s="3"/>
    </row>
    <row r="2061" spans="1:36" x14ac:dyDescent="0.25">
      <c r="A2061" s="1"/>
      <c r="B2061" s="2"/>
      <c r="AA2061" s="3"/>
      <c r="AD2061" s="3"/>
      <c r="AG2061" s="3"/>
      <c r="AJ2061" s="3"/>
    </row>
    <row r="2062" spans="1:36" x14ac:dyDescent="0.25">
      <c r="A2062" s="1"/>
      <c r="B2062" s="2"/>
      <c r="AA2062" s="3"/>
      <c r="AD2062" s="3"/>
      <c r="AG2062" s="3"/>
      <c r="AJ2062" s="3"/>
    </row>
    <row r="2063" spans="1:36" x14ac:dyDescent="0.25">
      <c r="A2063" s="1"/>
      <c r="B2063" s="2"/>
      <c r="AA2063" s="3"/>
      <c r="AD2063" s="3"/>
      <c r="AG2063" s="3"/>
      <c r="AJ2063" s="3"/>
    </row>
    <row r="2064" spans="1:36" x14ac:dyDescent="0.25">
      <c r="A2064" s="1"/>
      <c r="B2064" s="2"/>
      <c r="AA2064" s="3"/>
      <c r="AD2064" s="3"/>
      <c r="AG2064" s="3"/>
      <c r="AJ2064" s="3"/>
    </row>
    <row r="2065" spans="1:36" x14ac:dyDescent="0.25">
      <c r="A2065" s="1"/>
      <c r="B2065" s="2"/>
      <c r="AA2065" s="3"/>
      <c r="AD2065" s="3"/>
      <c r="AG2065" s="3"/>
      <c r="AJ2065" s="3"/>
    </row>
    <row r="2066" spans="1:36" x14ac:dyDescent="0.25">
      <c r="A2066" s="1"/>
      <c r="B2066" s="2"/>
      <c r="AA2066" s="3"/>
      <c r="AD2066" s="3"/>
      <c r="AG2066" s="3"/>
      <c r="AJ2066" s="3"/>
    </row>
    <row r="2067" spans="1:36" x14ac:dyDescent="0.25">
      <c r="A2067" s="1"/>
      <c r="B2067" s="2"/>
      <c r="AA2067" s="3"/>
      <c r="AD2067" s="3"/>
      <c r="AG2067" s="3"/>
      <c r="AJ2067" s="3"/>
    </row>
    <row r="2068" spans="1:36" x14ac:dyDescent="0.25">
      <c r="A2068" s="1"/>
      <c r="B2068" s="2"/>
      <c r="AA2068" s="3"/>
      <c r="AD2068" s="3"/>
      <c r="AG2068" s="3"/>
      <c r="AJ2068" s="3"/>
    </row>
    <row r="2069" spans="1:36" x14ac:dyDescent="0.25">
      <c r="A2069" s="1"/>
      <c r="B2069" s="2"/>
      <c r="AA2069" s="3"/>
      <c r="AD2069" s="3"/>
      <c r="AG2069" s="3"/>
      <c r="AJ2069" s="3"/>
    </row>
    <row r="2070" spans="1:36" x14ac:dyDescent="0.25">
      <c r="A2070" s="1"/>
      <c r="B2070" s="2"/>
      <c r="AA2070" s="3"/>
      <c r="AD2070" s="3"/>
      <c r="AG2070" s="3"/>
      <c r="AJ2070" s="3"/>
    </row>
    <row r="2071" spans="1:36" x14ac:dyDescent="0.25">
      <c r="A2071" s="1"/>
      <c r="B2071" s="2"/>
      <c r="AA2071" s="3"/>
      <c r="AD2071" s="3"/>
      <c r="AG2071" s="3"/>
      <c r="AJ2071" s="3"/>
    </row>
    <row r="2072" spans="1:36" x14ac:dyDescent="0.25">
      <c r="A2072" s="1"/>
      <c r="B2072" s="2"/>
      <c r="AA2072" s="3"/>
      <c r="AD2072" s="3"/>
      <c r="AG2072" s="3"/>
      <c r="AJ2072" s="3"/>
    </row>
    <row r="2073" spans="1:36" x14ac:dyDescent="0.25">
      <c r="A2073" s="1"/>
      <c r="B2073" s="2"/>
      <c r="AA2073" s="3"/>
      <c r="AD2073" s="3"/>
      <c r="AG2073" s="3"/>
      <c r="AJ2073" s="3"/>
    </row>
    <row r="2074" spans="1:36" x14ac:dyDescent="0.25">
      <c r="A2074" s="1"/>
      <c r="B2074" s="2"/>
      <c r="AA2074" s="3"/>
      <c r="AD2074" s="3"/>
      <c r="AG2074" s="3"/>
      <c r="AJ2074" s="3"/>
    </row>
    <row r="2075" spans="1:36" x14ac:dyDescent="0.25">
      <c r="A2075" s="1"/>
      <c r="B2075" s="2"/>
      <c r="AA2075" s="3"/>
      <c r="AD2075" s="3"/>
      <c r="AG2075" s="3"/>
      <c r="AJ2075" s="3"/>
    </row>
    <row r="2076" spans="1:36" x14ac:dyDescent="0.25">
      <c r="A2076" s="1"/>
      <c r="B2076" s="2"/>
      <c r="AA2076" s="3"/>
      <c r="AD2076" s="3"/>
      <c r="AG2076" s="3"/>
      <c r="AJ2076" s="3"/>
    </row>
    <row r="2077" spans="1:36" x14ac:dyDescent="0.25">
      <c r="A2077" s="1"/>
      <c r="B2077" s="2"/>
      <c r="AA2077" s="3"/>
      <c r="AD2077" s="3"/>
      <c r="AG2077" s="3"/>
      <c r="AJ2077" s="3"/>
    </row>
    <row r="2078" spans="1:36" x14ac:dyDescent="0.25">
      <c r="A2078" s="1"/>
      <c r="B2078" s="2"/>
      <c r="AA2078" s="3"/>
      <c r="AD2078" s="3"/>
      <c r="AG2078" s="3"/>
      <c r="AJ2078" s="3"/>
    </row>
    <row r="2079" spans="1:36" x14ac:dyDescent="0.25">
      <c r="A2079" s="1"/>
      <c r="B2079" s="2"/>
      <c r="AA2079" s="3"/>
      <c r="AD2079" s="3"/>
      <c r="AG2079" s="3"/>
      <c r="AJ2079" s="3"/>
    </row>
    <row r="2080" spans="1:36" x14ac:dyDescent="0.25">
      <c r="A2080" s="1"/>
      <c r="B2080" s="2"/>
      <c r="AA2080" s="3"/>
      <c r="AD2080" s="3"/>
      <c r="AG2080" s="3"/>
      <c r="AJ2080" s="3"/>
    </row>
    <row r="2081" spans="1:36" x14ac:dyDescent="0.25">
      <c r="A2081" s="1"/>
      <c r="B2081" s="2"/>
      <c r="AA2081" s="3"/>
      <c r="AD2081" s="3"/>
      <c r="AG2081" s="3"/>
      <c r="AJ2081" s="3"/>
    </row>
    <row r="2082" spans="1:36" x14ac:dyDescent="0.25">
      <c r="A2082" s="1"/>
      <c r="B2082" s="2"/>
      <c r="AA2082" s="3"/>
      <c r="AD2082" s="3"/>
      <c r="AG2082" s="3"/>
      <c r="AJ2082" s="3"/>
    </row>
    <row r="2083" spans="1:36" x14ac:dyDescent="0.25">
      <c r="A2083" s="1"/>
      <c r="B2083" s="2"/>
      <c r="AA2083" s="3"/>
      <c r="AD2083" s="3"/>
      <c r="AG2083" s="3"/>
      <c r="AJ2083" s="3"/>
    </row>
    <row r="2084" spans="1:36" x14ac:dyDescent="0.25">
      <c r="A2084" s="1"/>
      <c r="B2084" s="2"/>
      <c r="AA2084" s="3"/>
      <c r="AD2084" s="3"/>
      <c r="AG2084" s="3"/>
      <c r="AJ2084" s="3"/>
    </row>
    <row r="2085" spans="1:36" x14ac:dyDescent="0.25">
      <c r="A2085" s="1"/>
      <c r="B2085" s="2"/>
      <c r="AA2085" s="3"/>
      <c r="AD2085" s="3"/>
      <c r="AG2085" s="3"/>
      <c r="AJ2085" s="3"/>
    </row>
    <row r="2086" spans="1:36" x14ac:dyDescent="0.25">
      <c r="A2086" s="1"/>
      <c r="B2086" s="2"/>
      <c r="AA2086" s="3"/>
      <c r="AD2086" s="3"/>
      <c r="AG2086" s="3"/>
      <c r="AJ2086" s="3"/>
    </row>
    <row r="2087" spans="1:36" x14ac:dyDescent="0.25">
      <c r="A2087" s="1"/>
      <c r="B2087" s="2"/>
      <c r="AA2087" s="3"/>
      <c r="AD2087" s="3"/>
      <c r="AG2087" s="3"/>
      <c r="AJ2087" s="3"/>
    </row>
    <row r="2088" spans="1:36" x14ac:dyDescent="0.25">
      <c r="A2088" s="1"/>
      <c r="B2088" s="2"/>
      <c r="AA2088" s="3"/>
      <c r="AD2088" s="3"/>
      <c r="AG2088" s="3"/>
      <c r="AJ2088" s="3"/>
    </row>
    <row r="2089" spans="1:36" x14ac:dyDescent="0.25">
      <c r="A2089" s="1"/>
      <c r="B2089" s="2"/>
      <c r="AA2089" s="3"/>
      <c r="AD2089" s="3"/>
      <c r="AG2089" s="3"/>
      <c r="AJ2089" s="3"/>
    </row>
    <row r="2090" spans="1:36" x14ac:dyDescent="0.25">
      <c r="A2090" s="1"/>
      <c r="B2090" s="2"/>
      <c r="AA2090" s="3"/>
      <c r="AD2090" s="3"/>
      <c r="AG2090" s="3"/>
      <c r="AJ2090" s="3"/>
    </row>
    <row r="2091" spans="1:36" x14ac:dyDescent="0.25">
      <c r="A2091" s="1"/>
      <c r="B2091" s="2"/>
      <c r="AA2091" s="3"/>
      <c r="AD2091" s="3"/>
      <c r="AG2091" s="3"/>
      <c r="AJ2091" s="3"/>
    </row>
    <row r="2092" spans="1:36" x14ac:dyDescent="0.25">
      <c r="A2092" s="1"/>
      <c r="B2092" s="2"/>
      <c r="AA2092" s="3"/>
      <c r="AD2092" s="3"/>
      <c r="AG2092" s="3"/>
      <c r="AJ2092" s="3"/>
    </row>
    <row r="2093" spans="1:36" x14ac:dyDescent="0.25">
      <c r="A2093" s="1"/>
      <c r="B2093" s="2"/>
      <c r="AA2093" s="3"/>
      <c r="AD2093" s="3"/>
      <c r="AG2093" s="3"/>
      <c r="AJ2093" s="3"/>
    </row>
    <row r="2094" spans="1:36" x14ac:dyDescent="0.25">
      <c r="A2094" s="1"/>
      <c r="B2094" s="2"/>
      <c r="AA2094" s="3"/>
      <c r="AD2094" s="3"/>
      <c r="AG2094" s="3"/>
      <c r="AJ2094" s="3"/>
    </row>
    <row r="2095" spans="1:36" x14ac:dyDescent="0.25">
      <c r="A2095" s="1"/>
      <c r="B2095" s="2"/>
      <c r="AA2095" s="3"/>
      <c r="AD2095" s="3"/>
      <c r="AG2095" s="3"/>
      <c r="AJ2095" s="3"/>
    </row>
    <row r="2096" spans="1:36" x14ac:dyDescent="0.25">
      <c r="A2096" s="1"/>
      <c r="B2096" s="2"/>
      <c r="AA2096" s="3"/>
      <c r="AD2096" s="3"/>
      <c r="AG2096" s="3"/>
      <c r="AJ2096" s="3"/>
    </row>
    <row r="2097" spans="1:36" x14ac:dyDescent="0.25">
      <c r="A2097" s="1"/>
      <c r="B2097" s="2"/>
      <c r="AA2097" s="3"/>
      <c r="AD2097" s="3"/>
      <c r="AG2097" s="3"/>
      <c r="AJ2097" s="3"/>
    </row>
    <row r="2098" spans="1:36" x14ac:dyDescent="0.25">
      <c r="A2098" s="1"/>
      <c r="B2098" s="2"/>
      <c r="AA2098" s="3"/>
      <c r="AD2098" s="3"/>
      <c r="AG2098" s="3"/>
      <c r="AJ2098" s="3"/>
    </row>
    <row r="2099" spans="1:36" x14ac:dyDescent="0.25">
      <c r="A2099" s="1"/>
      <c r="B2099" s="2"/>
      <c r="AA2099" s="3"/>
      <c r="AD2099" s="3"/>
      <c r="AG2099" s="3"/>
      <c r="AJ2099" s="3"/>
    </row>
    <row r="2100" spans="1:36" x14ac:dyDescent="0.25">
      <c r="A2100" s="1"/>
      <c r="B2100" s="2"/>
      <c r="AA2100" s="3"/>
      <c r="AD2100" s="3"/>
      <c r="AG2100" s="3"/>
      <c r="AJ2100" s="3"/>
    </row>
    <row r="2101" spans="1:36" x14ac:dyDescent="0.25">
      <c r="A2101" s="1"/>
      <c r="B2101" s="2"/>
      <c r="AA2101" s="3"/>
      <c r="AD2101" s="3"/>
      <c r="AG2101" s="3"/>
      <c r="AJ2101" s="3"/>
    </row>
    <row r="2102" spans="1:36" x14ac:dyDescent="0.25">
      <c r="A2102" s="1"/>
      <c r="B2102" s="2"/>
      <c r="AA2102" s="3"/>
      <c r="AD2102" s="3"/>
      <c r="AG2102" s="3"/>
      <c r="AJ2102" s="3"/>
    </row>
    <row r="2103" spans="1:36" x14ac:dyDescent="0.25">
      <c r="A2103" s="1"/>
      <c r="B2103" s="2"/>
      <c r="AA2103" s="3"/>
      <c r="AD2103" s="3"/>
      <c r="AG2103" s="3"/>
      <c r="AJ2103" s="3"/>
    </row>
    <row r="2104" spans="1:36" x14ac:dyDescent="0.25">
      <c r="A2104" s="1"/>
      <c r="B2104" s="2"/>
      <c r="AA2104" s="3"/>
      <c r="AD2104" s="3"/>
      <c r="AG2104" s="3"/>
      <c r="AJ2104" s="3"/>
    </row>
    <row r="2105" spans="1:36" x14ac:dyDescent="0.25">
      <c r="A2105" s="1"/>
      <c r="B2105" s="2"/>
      <c r="AA2105" s="3"/>
      <c r="AD2105" s="3"/>
      <c r="AG2105" s="3"/>
      <c r="AJ2105" s="3"/>
    </row>
    <row r="2106" spans="1:36" x14ac:dyDescent="0.25">
      <c r="A2106" s="1"/>
      <c r="B2106" s="2"/>
      <c r="AA2106" s="3"/>
      <c r="AD2106" s="3"/>
      <c r="AG2106" s="3"/>
      <c r="AJ2106" s="3"/>
    </row>
    <row r="2107" spans="1:36" x14ac:dyDescent="0.25">
      <c r="A2107" s="1"/>
      <c r="B2107" s="2"/>
      <c r="AA2107" s="3"/>
      <c r="AD2107" s="3"/>
      <c r="AG2107" s="3"/>
      <c r="AJ2107" s="3"/>
    </row>
    <row r="2108" spans="1:36" x14ac:dyDescent="0.25">
      <c r="A2108" s="1"/>
      <c r="B2108" s="2"/>
      <c r="AA2108" s="3"/>
      <c r="AD2108" s="3"/>
      <c r="AG2108" s="3"/>
      <c r="AJ2108" s="3"/>
    </row>
    <row r="2109" spans="1:36" x14ac:dyDescent="0.25">
      <c r="A2109" s="1"/>
      <c r="B2109" s="2"/>
      <c r="AA2109" s="3"/>
      <c r="AD2109" s="3"/>
      <c r="AG2109" s="3"/>
      <c r="AJ2109" s="3"/>
    </row>
    <row r="2110" spans="1:36" x14ac:dyDescent="0.25">
      <c r="A2110" s="1"/>
      <c r="B2110" s="2"/>
      <c r="AA2110" s="3"/>
      <c r="AD2110" s="3"/>
      <c r="AG2110" s="3"/>
      <c r="AJ2110" s="3"/>
    </row>
    <row r="2111" spans="1:36" x14ac:dyDescent="0.25">
      <c r="A2111" s="1"/>
      <c r="B2111" s="2"/>
      <c r="AA2111" s="3"/>
      <c r="AD2111" s="3"/>
      <c r="AG2111" s="3"/>
      <c r="AJ2111" s="3"/>
    </row>
    <row r="2112" spans="1:36" x14ac:dyDescent="0.25">
      <c r="A2112" s="1"/>
      <c r="B2112" s="2"/>
      <c r="AA2112" s="3"/>
      <c r="AD2112" s="3"/>
      <c r="AG2112" s="3"/>
      <c r="AJ2112" s="3"/>
    </row>
    <row r="2113" spans="1:36" x14ac:dyDescent="0.25">
      <c r="A2113" s="1"/>
      <c r="B2113" s="2"/>
      <c r="AA2113" s="3"/>
      <c r="AD2113" s="3"/>
      <c r="AG2113" s="3"/>
      <c r="AJ2113" s="3"/>
    </row>
    <row r="2114" spans="1:36" x14ac:dyDescent="0.25">
      <c r="A2114" s="1"/>
      <c r="B2114" s="2"/>
      <c r="AA2114" s="3"/>
      <c r="AD2114" s="3"/>
      <c r="AG2114" s="3"/>
      <c r="AJ2114" s="3"/>
    </row>
    <row r="2115" spans="1:36" x14ac:dyDescent="0.25">
      <c r="A2115" s="1"/>
      <c r="B2115" s="2"/>
      <c r="AA2115" s="3"/>
      <c r="AD2115" s="3"/>
      <c r="AG2115" s="3"/>
      <c r="AJ2115" s="3"/>
    </row>
    <row r="2116" spans="1:36" x14ac:dyDescent="0.25">
      <c r="A2116" s="1"/>
      <c r="B2116" s="2"/>
      <c r="AA2116" s="3"/>
      <c r="AD2116" s="3"/>
      <c r="AG2116" s="3"/>
      <c r="AJ2116" s="3"/>
    </row>
    <row r="2117" spans="1:36" x14ac:dyDescent="0.25">
      <c r="A2117" s="1"/>
      <c r="B2117" s="2"/>
      <c r="AA2117" s="3"/>
      <c r="AD2117" s="3"/>
      <c r="AG2117" s="3"/>
      <c r="AJ2117" s="3"/>
    </row>
    <row r="2118" spans="1:36" x14ac:dyDescent="0.25">
      <c r="A2118" s="1"/>
      <c r="B2118" s="2"/>
      <c r="AA2118" s="3"/>
      <c r="AD2118" s="3"/>
      <c r="AG2118" s="3"/>
      <c r="AJ2118" s="3"/>
    </row>
    <row r="2119" spans="1:36" x14ac:dyDescent="0.25">
      <c r="A2119" s="1"/>
      <c r="B2119" s="2"/>
      <c r="AA2119" s="3"/>
      <c r="AD2119" s="3"/>
      <c r="AG2119" s="3"/>
      <c r="AJ2119" s="3"/>
    </row>
    <row r="2120" spans="1:36" x14ac:dyDescent="0.25">
      <c r="A2120" s="1"/>
      <c r="B2120" s="2"/>
      <c r="AA2120" s="3"/>
      <c r="AD2120" s="3"/>
      <c r="AG2120" s="3"/>
      <c r="AJ2120" s="3"/>
    </row>
    <row r="2121" spans="1:36" x14ac:dyDescent="0.25">
      <c r="A2121" s="1"/>
      <c r="B2121" s="2"/>
      <c r="AA2121" s="3"/>
      <c r="AD2121" s="3"/>
      <c r="AG2121" s="3"/>
      <c r="AJ2121" s="3"/>
    </row>
    <row r="2122" spans="1:36" x14ac:dyDescent="0.25">
      <c r="A2122" s="1"/>
      <c r="B2122" s="2"/>
      <c r="AA2122" s="3"/>
      <c r="AD2122" s="3"/>
      <c r="AG2122" s="3"/>
      <c r="AJ2122" s="3"/>
    </row>
    <row r="2123" spans="1:36" x14ac:dyDescent="0.25">
      <c r="A2123" s="1"/>
      <c r="B2123" s="2"/>
      <c r="AA2123" s="3"/>
      <c r="AD2123" s="3"/>
      <c r="AG2123" s="3"/>
      <c r="AJ2123" s="3"/>
    </row>
    <row r="2124" spans="1:36" x14ac:dyDescent="0.25">
      <c r="A2124" s="1"/>
      <c r="B2124" s="2"/>
      <c r="AA2124" s="3"/>
      <c r="AD2124" s="3"/>
      <c r="AG2124" s="3"/>
      <c r="AJ2124" s="3"/>
    </row>
    <row r="2125" spans="1:36" x14ac:dyDescent="0.25">
      <c r="A2125" s="1"/>
      <c r="B2125" s="2"/>
      <c r="AA2125" s="3"/>
      <c r="AD2125" s="3"/>
      <c r="AG2125" s="3"/>
      <c r="AJ2125" s="3"/>
    </row>
    <row r="2126" spans="1:36" x14ac:dyDescent="0.25">
      <c r="A2126" s="1"/>
      <c r="B2126" s="2"/>
      <c r="AA2126" s="3"/>
      <c r="AD2126" s="3"/>
      <c r="AG2126" s="3"/>
      <c r="AJ2126" s="3"/>
    </row>
    <row r="2127" spans="1:36" x14ac:dyDescent="0.25">
      <c r="A2127" s="1"/>
      <c r="B2127" s="2"/>
      <c r="AA2127" s="3"/>
      <c r="AD2127" s="3"/>
      <c r="AG2127" s="3"/>
      <c r="AJ2127" s="3"/>
    </row>
    <row r="2128" spans="1:36" x14ac:dyDescent="0.25">
      <c r="A2128" s="1"/>
      <c r="B2128" s="2"/>
      <c r="AA2128" s="3"/>
      <c r="AD2128" s="3"/>
      <c r="AG2128" s="3"/>
      <c r="AJ2128" s="3"/>
    </row>
    <row r="2129" spans="1:36" x14ac:dyDescent="0.25">
      <c r="A2129" s="1"/>
      <c r="B2129" s="2"/>
      <c r="AA2129" s="3"/>
      <c r="AD2129" s="3"/>
      <c r="AG2129" s="3"/>
      <c r="AJ2129" s="3"/>
    </row>
    <row r="2130" spans="1:36" x14ac:dyDescent="0.25">
      <c r="A2130" s="1"/>
      <c r="B2130" s="2"/>
      <c r="AA2130" s="3"/>
      <c r="AD2130" s="3"/>
      <c r="AG2130" s="3"/>
      <c r="AJ2130" s="3"/>
    </row>
    <row r="2131" spans="1:36" x14ac:dyDescent="0.25">
      <c r="A2131" s="1"/>
      <c r="B2131" s="2"/>
      <c r="AA2131" s="3"/>
      <c r="AD2131" s="3"/>
      <c r="AG2131" s="3"/>
      <c r="AJ2131" s="3"/>
    </row>
    <row r="2132" spans="1:36" x14ac:dyDescent="0.25">
      <c r="A2132" s="1"/>
      <c r="B2132" s="2"/>
      <c r="AA2132" s="3"/>
      <c r="AD2132" s="3"/>
      <c r="AG2132" s="3"/>
      <c r="AJ2132" s="3"/>
    </row>
    <row r="2133" spans="1:36" x14ac:dyDescent="0.25">
      <c r="A2133" s="1"/>
      <c r="B2133" s="2"/>
      <c r="AA2133" s="3"/>
      <c r="AD2133" s="3"/>
      <c r="AG2133" s="3"/>
      <c r="AJ2133" s="3"/>
    </row>
    <row r="2134" spans="1:36" x14ac:dyDescent="0.25">
      <c r="A2134" s="1"/>
      <c r="B2134" s="2"/>
      <c r="AA2134" s="3"/>
      <c r="AD2134" s="3"/>
      <c r="AG2134" s="3"/>
      <c r="AJ2134" s="3"/>
    </row>
    <row r="2135" spans="1:36" x14ac:dyDescent="0.25">
      <c r="A2135" s="1"/>
      <c r="B2135" s="2"/>
      <c r="AA2135" s="3"/>
      <c r="AD2135" s="3"/>
      <c r="AG2135" s="3"/>
      <c r="AJ2135" s="3"/>
    </row>
    <row r="2136" spans="1:36" x14ac:dyDescent="0.25">
      <c r="A2136" s="1"/>
      <c r="B2136" s="2"/>
      <c r="AA2136" s="3"/>
      <c r="AD2136" s="3"/>
      <c r="AG2136" s="3"/>
      <c r="AJ2136" s="3"/>
    </row>
    <row r="2137" spans="1:36" x14ac:dyDescent="0.25">
      <c r="A2137" s="1"/>
      <c r="B2137" s="2"/>
      <c r="AA2137" s="3"/>
      <c r="AD2137" s="3"/>
      <c r="AG2137" s="3"/>
      <c r="AJ2137" s="3"/>
    </row>
    <row r="2138" spans="1:36" x14ac:dyDescent="0.25">
      <c r="A2138" s="1"/>
      <c r="B2138" s="2"/>
      <c r="AA2138" s="3"/>
      <c r="AD2138" s="3"/>
      <c r="AG2138" s="3"/>
      <c r="AJ2138" s="3"/>
    </row>
    <row r="2139" spans="1:36" x14ac:dyDescent="0.25">
      <c r="A2139" s="1"/>
      <c r="B2139" s="2"/>
      <c r="AA2139" s="3"/>
      <c r="AD2139" s="3"/>
      <c r="AG2139" s="3"/>
      <c r="AJ2139" s="3"/>
    </row>
    <row r="2140" spans="1:36" x14ac:dyDescent="0.25">
      <c r="A2140" s="1"/>
      <c r="B2140" s="2"/>
      <c r="AA2140" s="3"/>
      <c r="AD2140" s="3"/>
      <c r="AG2140" s="3"/>
      <c r="AJ2140" s="3"/>
    </row>
    <row r="2141" spans="1:36" x14ac:dyDescent="0.25">
      <c r="A2141" s="1"/>
      <c r="B2141" s="2"/>
      <c r="AA2141" s="3"/>
      <c r="AD2141" s="3"/>
      <c r="AG2141" s="3"/>
      <c r="AJ2141" s="3"/>
    </row>
    <row r="2142" spans="1:36" x14ac:dyDescent="0.25">
      <c r="A2142" s="1"/>
      <c r="B2142" s="2"/>
      <c r="AA2142" s="3"/>
      <c r="AD2142" s="3"/>
      <c r="AG2142" s="3"/>
      <c r="AJ2142" s="3"/>
    </row>
    <row r="2143" spans="1:36" x14ac:dyDescent="0.25">
      <c r="A2143" s="1"/>
      <c r="B2143" s="2"/>
      <c r="AA2143" s="3"/>
      <c r="AD2143" s="3"/>
      <c r="AG2143" s="3"/>
      <c r="AJ2143" s="3"/>
    </row>
    <row r="2144" spans="1:36" x14ac:dyDescent="0.25">
      <c r="A2144" s="1"/>
      <c r="B2144" s="2"/>
      <c r="AA2144" s="3"/>
      <c r="AD2144" s="3"/>
      <c r="AG2144" s="3"/>
      <c r="AJ2144" s="3"/>
    </row>
    <row r="2145" spans="1:36" x14ac:dyDescent="0.25">
      <c r="A2145" s="1"/>
      <c r="B2145" s="2"/>
      <c r="AA2145" s="3"/>
      <c r="AD2145" s="3"/>
      <c r="AG2145" s="3"/>
      <c r="AJ2145" s="3"/>
    </row>
    <row r="2146" spans="1:36" x14ac:dyDescent="0.25">
      <c r="A2146" s="1"/>
      <c r="B2146" s="2"/>
      <c r="AA2146" s="3"/>
      <c r="AD2146" s="3"/>
      <c r="AG2146" s="3"/>
      <c r="AJ2146" s="3"/>
    </row>
    <row r="2147" spans="1:36" x14ac:dyDescent="0.25">
      <c r="A2147" s="1"/>
      <c r="B2147" s="2"/>
      <c r="AA2147" s="3"/>
      <c r="AD2147" s="3"/>
      <c r="AG2147" s="3"/>
      <c r="AJ2147" s="3"/>
    </row>
    <row r="2148" spans="1:36" x14ac:dyDescent="0.25">
      <c r="A2148" s="1"/>
      <c r="B2148" s="2"/>
      <c r="AA2148" s="3"/>
      <c r="AD2148" s="3"/>
      <c r="AG2148" s="3"/>
      <c r="AJ2148" s="3"/>
    </row>
    <row r="2149" spans="1:36" x14ac:dyDescent="0.25">
      <c r="A2149" s="1"/>
      <c r="B2149" s="2"/>
      <c r="AA2149" s="3"/>
      <c r="AD2149" s="3"/>
      <c r="AG2149" s="3"/>
      <c r="AJ2149" s="3"/>
    </row>
    <row r="2150" spans="1:36" x14ac:dyDescent="0.25">
      <c r="A2150" s="1"/>
      <c r="B2150" s="2"/>
      <c r="AA2150" s="3"/>
      <c r="AD2150" s="3"/>
      <c r="AG2150" s="3"/>
      <c r="AJ2150" s="3"/>
    </row>
    <row r="2151" spans="1:36" x14ac:dyDescent="0.25">
      <c r="A2151" s="1"/>
      <c r="B2151" s="2"/>
      <c r="AA2151" s="3"/>
      <c r="AD2151" s="3"/>
      <c r="AG2151" s="3"/>
      <c r="AJ2151" s="3"/>
    </row>
    <row r="2152" spans="1:36" x14ac:dyDescent="0.25">
      <c r="A2152" s="1"/>
      <c r="B2152" s="2"/>
      <c r="AA2152" s="3"/>
      <c r="AD2152" s="3"/>
      <c r="AG2152" s="3"/>
      <c r="AJ2152" s="3"/>
    </row>
    <row r="2153" spans="1:36" x14ac:dyDescent="0.25">
      <c r="A2153" s="1"/>
      <c r="B2153" s="2"/>
      <c r="AA2153" s="3"/>
      <c r="AD2153" s="3"/>
      <c r="AG2153" s="3"/>
      <c r="AJ2153" s="3"/>
    </row>
    <row r="2154" spans="1:36" x14ac:dyDescent="0.25">
      <c r="A2154" s="1"/>
      <c r="B2154" s="2"/>
      <c r="AA2154" s="3"/>
      <c r="AD2154" s="3"/>
      <c r="AG2154" s="3"/>
      <c r="AJ2154" s="3"/>
    </row>
    <row r="2155" spans="1:36" x14ac:dyDescent="0.25">
      <c r="A2155" s="1"/>
      <c r="B2155" s="2"/>
      <c r="AA2155" s="3"/>
      <c r="AD2155" s="3"/>
      <c r="AG2155" s="3"/>
      <c r="AJ2155" s="3"/>
    </row>
    <row r="2156" spans="1:36" x14ac:dyDescent="0.25">
      <c r="A2156" s="1"/>
      <c r="B2156" s="2"/>
      <c r="AA2156" s="3"/>
      <c r="AD2156" s="3"/>
      <c r="AG2156" s="3"/>
      <c r="AJ2156" s="3"/>
    </row>
    <row r="2157" spans="1:36" x14ac:dyDescent="0.25">
      <c r="A2157" s="1"/>
      <c r="B2157" s="2"/>
      <c r="AA2157" s="3"/>
      <c r="AD2157" s="3"/>
      <c r="AG2157" s="3"/>
      <c r="AJ2157" s="3"/>
    </row>
    <row r="2158" spans="1:36" x14ac:dyDescent="0.25">
      <c r="A2158" s="1"/>
      <c r="B2158" s="2"/>
      <c r="AA2158" s="3"/>
      <c r="AD2158" s="3"/>
      <c r="AG2158" s="3"/>
      <c r="AJ2158" s="3"/>
    </row>
    <row r="2159" spans="1:36" x14ac:dyDescent="0.25">
      <c r="A2159" s="1"/>
      <c r="B2159" s="2"/>
      <c r="AA2159" s="3"/>
      <c r="AD2159" s="3"/>
      <c r="AG2159" s="3"/>
      <c r="AJ2159" s="3"/>
    </row>
    <row r="2160" spans="1:36" x14ac:dyDescent="0.25">
      <c r="A2160" s="1"/>
      <c r="B2160" s="2"/>
      <c r="AA2160" s="3"/>
      <c r="AD2160" s="3"/>
      <c r="AG2160" s="3"/>
      <c r="AJ2160" s="3"/>
    </row>
    <row r="2161" spans="1:36" x14ac:dyDescent="0.25">
      <c r="A2161" s="1"/>
      <c r="B2161" s="2"/>
      <c r="AA2161" s="3"/>
      <c r="AD2161" s="3"/>
      <c r="AG2161" s="3"/>
      <c r="AJ2161" s="3"/>
    </row>
    <row r="2162" spans="1:36" x14ac:dyDescent="0.25">
      <c r="A2162" s="1"/>
      <c r="B2162" s="2"/>
      <c r="AA2162" s="3"/>
      <c r="AD2162" s="3"/>
      <c r="AG2162" s="3"/>
      <c r="AJ2162" s="3"/>
    </row>
    <row r="2163" spans="1:36" x14ac:dyDescent="0.25">
      <c r="A2163" s="1"/>
      <c r="B2163" s="2"/>
      <c r="AA2163" s="3"/>
      <c r="AD2163" s="3"/>
      <c r="AG2163" s="3"/>
      <c r="AJ2163" s="3"/>
    </row>
    <row r="2164" spans="1:36" x14ac:dyDescent="0.25">
      <c r="A2164" s="1"/>
      <c r="B2164" s="2"/>
      <c r="AA2164" s="3"/>
      <c r="AD2164" s="3"/>
      <c r="AG2164" s="3"/>
      <c r="AJ2164" s="3"/>
    </row>
    <row r="2165" spans="1:36" x14ac:dyDescent="0.25">
      <c r="A2165" s="1"/>
      <c r="B2165" s="2"/>
      <c r="AA2165" s="3"/>
      <c r="AD2165" s="3"/>
      <c r="AG2165" s="3"/>
      <c r="AJ2165" s="3"/>
    </row>
    <row r="2166" spans="1:36" x14ac:dyDescent="0.25">
      <c r="A2166" s="1"/>
      <c r="B2166" s="2"/>
      <c r="AA2166" s="3"/>
      <c r="AD2166" s="3"/>
      <c r="AG2166" s="3"/>
      <c r="AJ2166" s="3"/>
    </row>
    <row r="2167" spans="1:36" x14ac:dyDescent="0.25">
      <c r="A2167" s="1"/>
      <c r="B2167" s="2"/>
      <c r="AA2167" s="3"/>
      <c r="AD2167" s="3"/>
      <c r="AG2167" s="3"/>
      <c r="AJ2167" s="3"/>
    </row>
    <row r="2168" spans="1:36" x14ac:dyDescent="0.25">
      <c r="A2168" s="1"/>
      <c r="B2168" s="2"/>
      <c r="AA2168" s="3"/>
      <c r="AD2168" s="3"/>
      <c r="AG2168" s="3"/>
      <c r="AJ2168" s="3"/>
    </row>
    <row r="2169" spans="1:36" x14ac:dyDescent="0.25">
      <c r="A2169" s="1"/>
      <c r="B2169" s="2"/>
      <c r="AA2169" s="3"/>
      <c r="AD2169" s="3"/>
      <c r="AG2169" s="3"/>
      <c r="AJ2169" s="3"/>
    </row>
    <row r="2170" spans="1:36" x14ac:dyDescent="0.25">
      <c r="A2170" s="1"/>
      <c r="B2170" s="2"/>
      <c r="AA2170" s="3"/>
      <c r="AD2170" s="3"/>
      <c r="AG2170" s="3"/>
      <c r="AJ2170" s="3"/>
    </row>
    <row r="2171" spans="1:36" x14ac:dyDescent="0.25">
      <c r="A2171" s="1"/>
      <c r="B2171" s="2"/>
      <c r="AA2171" s="3"/>
      <c r="AD2171" s="3"/>
      <c r="AG2171" s="3"/>
      <c r="AJ2171" s="3"/>
    </row>
    <row r="2172" spans="1:36" x14ac:dyDescent="0.25">
      <c r="A2172" s="1"/>
      <c r="B2172" s="2"/>
      <c r="AA2172" s="3"/>
      <c r="AD2172" s="3"/>
      <c r="AG2172" s="3"/>
      <c r="AJ2172" s="3"/>
    </row>
    <row r="2173" spans="1:36" x14ac:dyDescent="0.25">
      <c r="A2173" s="1"/>
      <c r="B2173" s="2"/>
      <c r="AA2173" s="3"/>
      <c r="AD2173" s="3"/>
      <c r="AG2173" s="3"/>
      <c r="AJ2173" s="3"/>
    </row>
    <row r="2174" spans="1:36" x14ac:dyDescent="0.25">
      <c r="A2174" s="1"/>
      <c r="B2174" s="2"/>
      <c r="AA2174" s="3"/>
      <c r="AD2174" s="3"/>
      <c r="AG2174" s="3"/>
      <c r="AJ2174" s="3"/>
    </row>
    <row r="2175" spans="1:36" x14ac:dyDescent="0.25">
      <c r="A2175" s="1"/>
      <c r="B2175" s="2"/>
      <c r="AA2175" s="3"/>
      <c r="AD2175" s="3"/>
      <c r="AG2175" s="3"/>
      <c r="AJ2175" s="3"/>
    </row>
    <row r="2176" spans="1:36" x14ac:dyDescent="0.25">
      <c r="A2176" s="1"/>
      <c r="B2176" s="2"/>
      <c r="AA2176" s="3"/>
      <c r="AD2176" s="3"/>
      <c r="AG2176" s="3"/>
      <c r="AJ2176" s="3"/>
    </row>
    <row r="2177" spans="1:36" x14ac:dyDescent="0.25">
      <c r="A2177" s="1"/>
      <c r="B2177" s="2"/>
      <c r="AA2177" s="3"/>
      <c r="AD2177" s="3"/>
      <c r="AG2177" s="3"/>
      <c r="AJ2177" s="3"/>
    </row>
    <row r="2178" spans="1:36" x14ac:dyDescent="0.25">
      <c r="A2178" s="1"/>
      <c r="B2178" s="2"/>
      <c r="AA2178" s="3"/>
      <c r="AD2178" s="3"/>
      <c r="AG2178" s="3"/>
      <c r="AJ2178" s="3"/>
    </row>
    <row r="2179" spans="1:36" x14ac:dyDescent="0.25">
      <c r="A2179" s="1"/>
      <c r="B2179" s="2"/>
      <c r="AA2179" s="3"/>
      <c r="AD2179" s="3"/>
      <c r="AG2179" s="3"/>
      <c r="AJ2179" s="3"/>
    </row>
    <row r="2180" spans="1:36" x14ac:dyDescent="0.25">
      <c r="A2180" s="1"/>
      <c r="B2180" s="2"/>
      <c r="AA2180" s="3"/>
      <c r="AD2180" s="3"/>
      <c r="AG2180" s="3"/>
      <c r="AJ2180" s="3"/>
    </row>
    <row r="2181" spans="1:36" x14ac:dyDescent="0.25">
      <c r="A2181" s="1"/>
      <c r="B2181" s="2"/>
      <c r="AA2181" s="3"/>
      <c r="AD2181" s="3"/>
      <c r="AG2181" s="3"/>
      <c r="AJ2181" s="3"/>
    </row>
    <row r="2182" spans="1:36" x14ac:dyDescent="0.25">
      <c r="A2182" s="1"/>
      <c r="B2182" s="2"/>
      <c r="AA2182" s="3"/>
      <c r="AD2182" s="3"/>
      <c r="AG2182" s="3"/>
      <c r="AJ2182" s="3"/>
    </row>
    <row r="2183" spans="1:36" x14ac:dyDescent="0.25">
      <c r="A2183" s="1"/>
      <c r="B2183" s="2"/>
      <c r="AA2183" s="3"/>
      <c r="AD2183" s="3"/>
      <c r="AG2183" s="3"/>
      <c r="AJ2183" s="3"/>
    </row>
    <row r="2184" spans="1:36" x14ac:dyDescent="0.25">
      <c r="A2184" s="1"/>
      <c r="B2184" s="2"/>
      <c r="AA2184" s="3"/>
      <c r="AD2184" s="3"/>
      <c r="AG2184" s="3"/>
      <c r="AJ2184" s="3"/>
    </row>
    <row r="2185" spans="1:36" x14ac:dyDescent="0.25">
      <c r="A2185" s="1"/>
      <c r="B2185" s="2"/>
      <c r="AA2185" s="3"/>
      <c r="AD2185" s="3"/>
      <c r="AG2185" s="3"/>
      <c r="AJ2185" s="3"/>
    </row>
    <row r="2186" spans="1:36" x14ac:dyDescent="0.25">
      <c r="A2186" s="1"/>
      <c r="B2186" s="2"/>
      <c r="AA2186" s="3"/>
      <c r="AD2186" s="3"/>
      <c r="AG2186" s="3"/>
      <c r="AJ2186" s="3"/>
    </row>
    <row r="2187" spans="1:36" x14ac:dyDescent="0.25">
      <c r="A2187" s="1"/>
      <c r="B2187" s="2"/>
      <c r="AA2187" s="3"/>
      <c r="AD2187" s="3"/>
      <c r="AG2187" s="3"/>
      <c r="AJ2187" s="3"/>
    </row>
    <row r="2188" spans="1:36" x14ac:dyDescent="0.25">
      <c r="A2188" s="1"/>
      <c r="B2188" s="2"/>
      <c r="AA2188" s="3"/>
      <c r="AD2188" s="3"/>
      <c r="AG2188" s="3"/>
      <c r="AJ2188" s="3"/>
    </row>
    <row r="2189" spans="1:36" x14ac:dyDescent="0.25">
      <c r="A2189" s="1"/>
      <c r="B2189" s="2"/>
      <c r="AA2189" s="3"/>
      <c r="AD2189" s="3"/>
      <c r="AG2189" s="3"/>
      <c r="AJ2189" s="3"/>
    </row>
    <row r="2190" spans="1:36" x14ac:dyDescent="0.25">
      <c r="A2190" s="1"/>
      <c r="B2190" s="2"/>
      <c r="AA2190" s="3"/>
      <c r="AD2190" s="3"/>
      <c r="AG2190" s="3"/>
      <c r="AJ2190" s="3"/>
    </row>
    <row r="2191" spans="1:36" x14ac:dyDescent="0.25">
      <c r="A2191" s="1"/>
      <c r="B2191" s="2"/>
      <c r="AA2191" s="3"/>
      <c r="AD2191" s="3"/>
      <c r="AG2191" s="3"/>
      <c r="AJ2191" s="3"/>
    </row>
    <row r="2192" spans="1:36" x14ac:dyDescent="0.25">
      <c r="A2192" s="1"/>
      <c r="B2192" s="2"/>
      <c r="AA2192" s="3"/>
      <c r="AD2192" s="3"/>
      <c r="AG2192" s="3"/>
      <c r="AJ2192" s="3"/>
    </row>
    <row r="2193" spans="1:36" x14ac:dyDescent="0.25">
      <c r="A2193" s="1"/>
      <c r="B2193" s="2"/>
      <c r="AA2193" s="3"/>
      <c r="AD2193" s="3"/>
      <c r="AG2193" s="3"/>
      <c r="AJ2193" s="3"/>
    </row>
    <row r="2194" spans="1:36" x14ac:dyDescent="0.25">
      <c r="A2194" s="1"/>
      <c r="B2194" s="2"/>
      <c r="AA2194" s="3"/>
      <c r="AD2194" s="3"/>
      <c r="AG2194" s="3"/>
      <c r="AJ2194" s="3"/>
    </row>
    <row r="2195" spans="1:36" x14ac:dyDescent="0.25">
      <c r="A2195" s="1"/>
      <c r="B2195" s="2"/>
      <c r="AA2195" s="3"/>
      <c r="AD2195" s="3"/>
      <c r="AG2195" s="3"/>
      <c r="AJ2195" s="3"/>
    </row>
    <row r="2196" spans="1:36" x14ac:dyDescent="0.25">
      <c r="A2196" s="1"/>
      <c r="B2196" s="2"/>
      <c r="AA2196" s="3"/>
      <c r="AD2196" s="3"/>
      <c r="AG2196" s="3"/>
      <c r="AJ2196" s="3"/>
    </row>
    <row r="2197" spans="1:36" x14ac:dyDescent="0.25">
      <c r="A2197" s="1"/>
      <c r="B2197" s="2"/>
      <c r="AA2197" s="3"/>
      <c r="AD2197" s="3"/>
      <c r="AG2197" s="3"/>
      <c r="AJ2197" s="3"/>
    </row>
    <row r="2198" spans="1:36" x14ac:dyDescent="0.25">
      <c r="A2198" s="1"/>
      <c r="B2198" s="2"/>
      <c r="AA2198" s="3"/>
      <c r="AD2198" s="3"/>
      <c r="AG2198" s="3"/>
      <c r="AJ2198" s="3"/>
    </row>
    <row r="2199" spans="1:36" x14ac:dyDescent="0.25">
      <c r="A2199" s="1"/>
      <c r="B2199" s="2"/>
      <c r="AA2199" s="3"/>
      <c r="AD2199" s="3"/>
      <c r="AG2199" s="3"/>
      <c r="AJ2199" s="3"/>
    </row>
    <row r="2200" spans="1:36" x14ac:dyDescent="0.25">
      <c r="A2200" s="1"/>
      <c r="B2200" s="2"/>
      <c r="AA2200" s="3"/>
      <c r="AD2200" s="3"/>
      <c r="AG2200" s="3"/>
      <c r="AJ2200" s="3"/>
    </row>
    <row r="2201" spans="1:36" x14ac:dyDescent="0.25">
      <c r="A2201" s="1"/>
      <c r="B2201" s="2"/>
      <c r="AA2201" s="3"/>
      <c r="AD2201" s="3"/>
      <c r="AG2201" s="3"/>
      <c r="AJ2201" s="3"/>
    </row>
    <row r="2202" spans="1:36" x14ac:dyDescent="0.25">
      <c r="A2202" s="1"/>
      <c r="B2202" s="2"/>
      <c r="AA2202" s="3"/>
      <c r="AD2202" s="3"/>
      <c r="AG2202" s="3"/>
      <c r="AJ2202" s="3"/>
    </row>
    <row r="2203" spans="1:36" x14ac:dyDescent="0.25">
      <c r="A2203" s="1"/>
      <c r="B2203" s="2"/>
      <c r="AA2203" s="3"/>
      <c r="AD2203" s="3"/>
      <c r="AG2203" s="3"/>
      <c r="AJ2203" s="3"/>
    </row>
    <row r="2204" spans="1:36" x14ac:dyDescent="0.25">
      <c r="A2204" s="1"/>
      <c r="B2204" s="2"/>
      <c r="AA2204" s="3"/>
      <c r="AD2204" s="3"/>
      <c r="AG2204" s="3"/>
      <c r="AJ2204" s="3"/>
    </row>
    <row r="2205" spans="1:36" x14ac:dyDescent="0.25">
      <c r="A2205" s="1"/>
      <c r="B2205" s="2"/>
      <c r="AA2205" s="3"/>
      <c r="AD2205" s="3"/>
      <c r="AG2205" s="3"/>
      <c r="AJ2205" s="3"/>
    </row>
    <row r="2206" spans="1:36" x14ac:dyDescent="0.25">
      <c r="A2206" s="1"/>
      <c r="B2206" s="2"/>
      <c r="AA2206" s="3"/>
      <c r="AD2206" s="3"/>
      <c r="AG2206" s="3"/>
      <c r="AJ2206" s="3"/>
    </row>
    <row r="2207" spans="1:36" x14ac:dyDescent="0.25">
      <c r="A2207" s="1"/>
      <c r="B2207" s="2"/>
      <c r="AA2207" s="3"/>
      <c r="AD2207" s="3"/>
      <c r="AG2207" s="3"/>
      <c r="AJ2207" s="3"/>
    </row>
    <row r="2208" spans="1:36" x14ac:dyDescent="0.25">
      <c r="A2208" s="1"/>
      <c r="B2208" s="2"/>
      <c r="AA2208" s="3"/>
      <c r="AD2208" s="3"/>
      <c r="AG2208" s="3"/>
      <c r="AJ2208" s="3"/>
    </row>
    <row r="2209" spans="1:36" x14ac:dyDescent="0.25">
      <c r="A2209" s="1"/>
      <c r="B2209" s="2"/>
      <c r="AA2209" s="3"/>
      <c r="AD2209" s="3"/>
      <c r="AG2209" s="3"/>
      <c r="AJ2209" s="3"/>
    </row>
    <row r="2210" spans="1:36" x14ac:dyDescent="0.25">
      <c r="A2210" s="1"/>
      <c r="B2210" s="2"/>
      <c r="AA2210" s="3"/>
      <c r="AD2210" s="3"/>
      <c r="AG2210" s="3"/>
      <c r="AJ2210" s="3"/>
    </row>
    <row r="2211" spans="1:36" x14ac:dyDescent="0.25">
      <c r="A2211" s="1"/>
      <c r="B2211" s="2"/>
      <c r="AA2211" s="3"/>
      <c r="AD2211" s="3"/>
      <c r="AG2211" s="3"/>
      <c r="AJ2211" s="3"/>
    </row>
    <row r="2212" spans="1:36" x14ac:dyDescent="0.25">
      <c r="A2212" s="1"/>
      <c r="B2212" s="2"/>
      <c r="AA2212" s="3"/>
      <c r="AD2212" s="3"/>
      <c r="AG2212" s="3"/>
      <c r="AJ2212" s="3"/>
    </row>
    <row r="2213" spans="1:36" x14ac:dyDescent="0.25">
      <c r="A2213" s="1"/>
      <c r="B2213" s="2"/>
      <c r="AA2213" s="3"/>
      <c r="AD2213" s="3"/>
      <c r="AG2213" s="3"/>
      <c r="AJ2213" s="3"/>
    </row>
    <row r="2214" spans="1:36" x14ac:dyDescent="0.25">
      <c r="A2214" s="1"/>
      <c r="B2214" s="2"/>
      <c r="AA2214" s="3"/>
      <c r="AD2214" s="3"/>
      <c r="AG2214" s="3"/>
      <c r="AJ2214" s="3"/>
    </row>
    <row r="2215" spans="1:36" x14ac:dyDescent="0.25">
      <c r="A2215" s="1"/>
      <c r="B2215" s="2"/>
      <c r="AA2215" s="3"/>
      <c r="AD2215" s="3"/>
      <c r="AG2215" s="3"/>
      <c r="AJ2215" s="3"/>
    </row>
    <row r="2216" spans="1:36" x14ac:dyDescent="0.25">
      <c r="A2216" s="1"/>
      <c r="B2216" s="2"/>
      <c r="AA2216" s="3"/>
      <c r="AD2216" s="3"/>
      <c r="AG2216" s="3"/>
      <c r="AJ2216" s="3"/>
    </row>
    <row r="2217" spans="1:36" x14ac:dyDescent="0.25">
      <c r="A2217" s="1"/>
      <c r="B2217" s="2"/>
      <c r="AA2217" s="3"/>
      <c r="AD2217" s="3"/>
      <c r="AG2217" s="3"/>
      <c r="AJ2217" s="3"/>
    </row>
    <row r="2218" spans="1:36" x14ac:dyDescent="0.25">
      <c r="A2218" s="1"/>
      <c r="B2218" s="2"/>
      <c r="AA2218" s="3"/>
      <c r="AD2218" s="3"/>
      <c r="AG2218" s="3"/>
      <c r="AJ2218" s="3"/>
    </row>
    <row r="2219" spans="1:36" x14ac:dyDescent="0.25">
      <c r="A2219" s="1"/>
      <c r="B2219" s="2"/>
      <c r="AA2219" s="3"/>
      <c r="AD2219" s="3"/>
      <c r="AG2219" s="3"/>
      <c r="AJ2219" s="3"/>
    </row>
    <row r="2220" spans="1:36" x14ac:dyDescent="0.25">
      <c r="A2220" s="1"/>
      <c r="B2220" s="2"/>
      <c r="AA2220" s="3"/>
      <c r="AD2220" s="3"/>
      <c r="AG2220" s="3"/>
      <c r="AJ2220" s="3"/>
    </row>
    <row r="2221" spans="1:36" x14ac:dyDescent="0.25">
      <c r="A2221" s="1"/>
      <c r="B2221" s="2"/>
      <c r="AA2221" s="3"/>
      <c r="AD2221" s="3"/>
      <c r="AG2221" s="3"/>
      <c r="AJ2221" s="3"/>
    </row>
    <row r="2222" spans="1:36" x14ac:dyDescent="0.25">
      <c r="A2222" s="1"/>
      <c r="B2222" s="2"/>
      <c r="AA2222" s="3"/>
      <c r="AD2222" s="3"/>
      <c r="AG2222" s="3"/>
      <c r="AJ2222" s="3"/>
    </row>
    <row r="2223" spans="1:36" x14ac:dyDescent="0.25">
      <c r="A2223" s="1"/>
      <c r="B2223" s="2"/>
      <c r="AA2223" s="3"/>
      <c r="AD2223" s="3"/>
      <c r="AG2223" s="3"/>
      <c r="AJ2223" s="3"/>
    </row>
    <row r="2224" spans="1:36" x14ac:dyDescent="0.25">
      <c r="A2224" s="1"/>
      <c r="B2224" s="2"/>
      <c r="AA2224" s="3"/>
      <c r="AD2224" s="3"/>
      <c r="AG2224" s="3"/>
      <c r="AJ2224" s="3"/>
    </row>
    <row r="2225" spans="1:36" x14ac:dyDescent="0.25">
      <c r="A2225" s="1"/>
      <c r="B2225" s="2"/>
      <c r="AA2225" s="3"/>
      <c r="AD2225" s="3"/>
      <c r="AG2225" s="3"/>
      <c r="AJ2225" s="3"/>
    </row>
    <row r="2226" spans="1:36" x14ac:dyDescent="0.25">
      <c r="A2226" s="1"/>
      <c r="B2226" s="2"/>
      <c r="AA2226" s="3"/>
      <c r="AD2226" s="3"/>
      <c r="AG2226" s="3"/>
      <c r="AJ2226" s="3"/>
    </row>
    <row r="2227" spans="1:36" x14ac:dyDescent="0.25">
      <c r="A2227" s="1"/>
      <c r="B2227" s="2"/>
      <c r="AA2227" s="3"/>
      <c r="AD2227" s="3"/>
      <c r="AG2227" s="3"/>
      <c r="AJ2227" s="3"/>
    </row>
    <row r="2228" spans="1:36" x14ac:dyDescent="0.25">
      <c r="A2228" s="1"/>
      <c r="B2228" s="2"/>
      <c r="AA2228" s="3"/>
      <c r="AD2228" s="3"/>
      <c r="AG2228" s="3"/>
      <c r="AJ2228" s="3"/>
    </row>
    <row r="2229" spans="1:36" x14ac:dyDescent="0.25">
      <c r="A2229" s="1"/>
      <c r="B2229" s="2"/>
      <c r="AA2229" s="3"/>
      <c r="AD2229" s="3"/>
      <c r="AG2229" s="3"/>
      <c r="AJ2229" s="3"/>
    </row>
    <row r="2230" spans="1:36" x14ac:dyDescent="0.25">
      <c r="A2230" s="1"/>
      <c r="B2230" s="2"/>
      <c r="AA2230" s="3"/>
      <c r="AD2230" s="3"/>
      <c r="AG2230" s="3"/>
      <c r="AJ2230" s="3"/>
    </row>
    <row r="2231" spans="1:36" x14ac:dyDescent="0.25">
      <c r="A2231" s="1"/>
      <c r="B2231" s="2"/>
      <c r="AA2231" s="3"/>
      <c r="AD2231" s="3"/>
      <c r="AG2231" s="3"/>
      <c r="AJ2231" s="3"/>
    </row>
    <row r="2232" spans="1:36" x14ac:dyDescent="0.25">
      <c r="A2232" s="1"/>
      <c r="B2232" s="2"/>
      <c r="AA2232" s="3"/>
      <c r="AD2232" s="3"/>
      <c r="AG2232" s="3"/>
      <c r="AJ2232" s="3"/>
    </row>
    <row r="2233" spans="1:36" x14ac:dyDescent="0.25">
      <c r="A2233" s="1"/>
      <c r="B2233" s="2"/>
      <c r="AA2233" s="3"/>
      <c r="AD2233" s="3"/>
      <c r="AG2233" s="3"/>
      <c r="AJ2233" s="3"/>
    </row>
    <row r="2234" spans="1:36" x14ac:dyDescent="0.25">
      <c r="A2234" s="1"/>
      <c r="B2234" s="2"/>
      <c r="AA2234" s="3"/>
      <c r="AD2234" s="3"/>
      <c r="AG2234" s="3"/>
      <c r="AJ2234" s="3"/>
    </row>
    <row r="2235" spans="1:36" x14ac:dyDescent="0.25">
      <c r="A2235" s="1"/>
      <c r="B2235" s="2"/>
      <c r="AA2235" s="3"/>
      <c r="AD2235" s="3"/>
      <c r="AG2235" s="3"/>
      <c r="AJ2235" s="3"/>
    </row>
    <row r="2236" spans="1:36" x14ac:dyDescent="0.25">
      <c r="A2236" s="1"/>
      <c r="B2236" s="2"/>
      <c r="AA2236" s="3"/>
      <c r="AD2236" s="3"/>
      <c r="AG2236" s="3"/>
      <c r="AJ2236" s="3"/>
    </row>
    <row r="2237" spans="1:36" x14ac:dyDescent="0.25">
      <c r="A2237" s="1"/>
      <c r="B2237" s="2"/>
      <c r="AA2237" s="3"/>
      <c r="AD2237" s="3"/>
      <c r="AG2237" s="3"/>
      <c r="AJ2237" s="3"/>
    </row>
    <row r="2238" spans="1:36" x14ac:dyDescent="0.25">
      <c r="A2238" s="1"/>
      <c r="B2238" s="2"/>
      <c r="AA2238" s="3"/>
      <c r="AD2238" s="3"/>
      <c r="AG2238" s="3"/>
      <c r="AJ2238" s="3"/>
    </row>
    <row r="2239" spans="1:36" x14ac:dyDescent="0.25">
      <c r="A2239" s="1"/>
      <c r="B2239" s="2"/>
      <c r="AA2239" s="3"/>
      <c r="AD2239" s="3"/>
      <c r="AG2239" s="3"/>
      <c r="AJ2239" s="3"/>
    </row>
    <row r="2240" spans="1:36" x14ac:dyDescent="0.25">
      <c r="A2240" s="1"/>
      <c r="B2240" s="2"/>
      <c r="AA2240" s="3"/>
      <c r="AD2240" s="3"/>
      <c r="AG2240" s="3"/>
      <c r="AJ2240" s="3"/>
    </row>
    <row r="2241" spans="1:36" x14ac:dyDescent="0.25">
      <c r="A2241" s="1"/>
      <c r="B2241" s="2"/>
      <c r="AA2241" s="3"/>
      <c r="AD2241" s="3"/>
      <c r="AG2241" s="3"/>
      <c r="AJ2241" s="3"/>
    </row>
    <row r="2242" spans="1:36" x14ac:dyDescent="0.25">
      <c r="A2242" s="1"/>
      <c r="B2242" s="2"/>
      <c r="AA2242" s="3"/>
      <c r="AD2242" s="3"/>
      <c r="AG2242" s="3"/>
      <c r="AJ2242" s="3"/>
    </row>
    <row r="2243" spans="1:36" x14ac:dyDescent="0.25">
      <c r="A2243" s="1"/>
      <c r="B2243" s="2"/>
      <c r="AA2243" s="3"/>
      <c r="AD2243" s="3"/>
      <c r="AG2243" s="3"/>
      <c r="AJ2243" s="3"/>
    </row>
    <row r="2244" spans="1:36" x14ac:dyDescent="0.25">
      <c r="A2244" s="1"/>
      <c r="B2244" s="2"/>
      <c r="AA2244" s="3"/>
      <c r="AD2244" s="3"/>
      <c r="AG2244" s="3"/>
      <c r="AJ2244" s="3"/>
    </row>
    <row r="2245" spans="1:36" x14ac:dyDescent="0.25">
      <c r="A2245" s="1"/>
      <c r="B2245" s="2"/>
      <c r="AA2245" s="3"/>
      <c r="AD2245" s="3"/>
      <c r="AG2245" s="3"/>
      <c r="AJ2245" s="3"/>
    </row>
    <row r="2246" spans="1:36" x14ac:dyDescent="0.25">
      <c r="A2246" s="1"/>
      <c r="B2246" s="2"/>
      <c r="AA2246" s="3"/>
      <c r="AD2246" s="3"/>
      <c r="AG2246" s="3"/>
      <c r="AJ2246" s="3"/>
    </row>
    <row r="2247" spans="1:36" x14ac:dyDescent="0.25">
      <c r="A2247" s="1"/>
      <c r="B2247" s="2"/>
      <c r="AA2247" s="3"/>
      <c r="AD2247" s="3"/>
      <c r="AG2247" s="3"/>
      <c r="AJ2247" s="3"/>
    </row>
    <row r="2248" spans="1:36" x14ac:dyDescent="0.25">
      <c r="A2248" s="1"/>
      <c r="B2248" s="2"/>
      <c r="AA2248" s="3"/>
      <c r="AD2248" s="3"/>
      <c r="AG2248" s="3"/>
      <c r="AJ2248" s="3"/>
    </row>
    <row r="2249" spans="1:36" x14ac:dyDescent="0.25">
      <c r="A2249" s="1"/>
      <c r="B2249" s="2"/>
      <c r="AA2249" s="3"/>
      <c r="AD2249" s="3"/>
      <c r="AG2249" s="3"/>
      <c r="AJ2249" s="3"/>
    </row>
    <row r="2250" spans="1:36" x14ac:dyDescent="0.25">
      <c r="A2250" s="1"/>
      <c r="B2250" s="2"/>
      <c r="AA2250" s="3"/>
      <c r="AD2250" s="3"/>
      <c r="AG2250" s="3"/>
      <c r="AJ2250" s="3"/>
    </row>
    <row r="2251" spans="1:36" x14ac:dyDescent="0.25">
      <c r="A2251" s="1"/>
      <c r="B2251" s="2"/>
      <c r="AA2251" s="3"/>
      <c r="AD2251" s="3"/>
      <c r="AG2251" s="3"/>
      <c r="AJ2251" s="3"/>
    </row>
    <row r="2252" spans="1:36" x14ac:dyDescent="0.25">
      <c r="A2252" s="1"/>
      <c r="B2252" s="2"/>
      <c r="AA2252" s="3"/>
      <c r="AD2252" s="3"/>
      <c r="AG2252" s="3"/>
      <c r="AJ2252" s="3"/>
    </row>
    <row r="2253" spans="1:36" x14ac:dyDescent="0.25">
      <c r="A2253" s="1"/>
      <c r="B2253" s="2"/>
      <c r="AA2253" s="3"/>
      <c r="AD2253" s="3"/>
      <c r="AG2253" s="3"/>
      <c r="AJ2253" s="3"/>
    </row>
    <row r="2254" spans="1:36" x14ac:dyDescent="0.25">
      <c r="A2254" s="1"/>
      <c r="B2254" s="2"/>
      <c r="AA2254" s="3"/>
      <c r="AD2254" s="3"/>
      <c r="AG2254" s="3"/>
      <c r="AJ2254" s="3"/>
    </row>
    <row r="2255" spans="1:36" x14ac:dyDescent="0.25">
      <c r="A2255" s="1"/>
      <c r="B2255" s="2"/>
      <c r="AA2255" s="3"/>
      <c r="AD2255" s="3"/>
      <c r="AG2255" s="3"/>
      <c r="AJ2255" s="3"/>
    </row>
    <row r="2256" spans="1:36" x14ac:dyDescent="0.25">
      <c r="A2256" s="1"/>
      <c r="B2256" s="2"/>
      <c r="AA2256" s="3"/>
      <c r="AD2256" s="3"/>
      <c r="AG2256" s="3"/>
      <c r="AJ2256" s="3"/>
    </row>
    <row r="2257" spans="1:36" x14ac:dyDescent="0.25">
      <c r="A2257" s="1"/>
      <c r="B2257" s="2"/>
      <c r="AA2257" s="3"/>
      <c r="AD2257" s="3"/>
      <c r="AG2257" s="3"/>
      <c r="AJ2257" s="3"/>
    </row>
    <row r="2258" spans="1:36" x14ac:dyDescent="0.25">
      <c r="A2258" s="1"/>
      <c r="B2258" s="2"/>
      <c r="AA2258" s="3"/>
      <c r="AD2258" s="3"/>
      <c r="AG2258" s="3"/>
      <c r="AJ2258" s="3"/>
    </row>
    <row r="2259" spans="1:36" x14ac:dyDescent="0.25">
      <c r="A2259" s="1"/>
      <c r="B2259" s="2"/>
      <c r="AA2259" s="3"/>
      <c r="AD2259" s="3"/>
      <c r="AG2259" s="3"/>
      <c r="AJ2259" s="3"/>
    </row>
    <row r="2260" spans="1:36" x14ac:dyDescent="0.25">
      <c r="A2260" s="1"/>
      <c r="B2260" s="2"/>
      <c r="AA2260" s="3"/>
      <c r="AD2260" s="3"/>
      <c r="AG2260" s="3"/>
      <c r="AJ2260" s="3"/>
    </row>
    <row r="2261" spans="1:36" x14ac:dyDescent="0.25">
      <c r="A2261" s="1"/>
      <c r="B2261" s="2"/>
      <c r="AA2261" s="3"/>
      <c r="AD2261" s="3"/>
      <c r="AG2261" s="3"/>
      <c r="AJ2261" s="3"/>
    </row>
    <row r="2262" spans="1:36" x14ac:dyDescent="0.25">
      <c r="A2262" s="1"/>
      <c r="B2262" s="2"/>
      <c r="AA2262" s="3"/>
      <c r="AD2262" s="3"/>
      <c r="AG2262" s="3"/>
      <c r="AJ2262" s="3"/>
    </row>
    <row r="2263" spans="1:36" x14ac:dyDescent="0.25">
      <c r="A2263" s="1"/>
      <c r="B2263" s="2"/>
      <c r="AA2263" s="3"/>
      <c r="AD2263" s="3"/>
      <c r="AG2263" s="3"/>
      <c r="AJ2263" s="3"/>
    </row>
    <row r="2264" spans="1:36" x14ac:dyDescent="0.25">
      <c r="A2264" s="1"/>
      <c r="B2264" s="2"/>
      <c r="AA2264" s="3"/>
      <c r="AD2264" s="3"/>
      <c r="AG2264" s="3"/>
      <c r="AJ2264" s="3"/>
    </row>
    <row r="2265" spans="1:36" x14ac:dyDescent="0.25">
      <c r="A2265" s="1"/>
      <c r="B2265" s="2"/>
      <c r="AA2265" s="3"/>
      <c r="AD2265" s="3"/>
      <c r="AG2265" s="3"/>
      <c r="AJ2265" s="3"/>
    </row>
    <row r="2266" spans="1:36" x14ac:dyDescent="0.25">
      <c r="A2266" s="1"/>
      <c r="B2266" s="2"/>
      <c r="AA2266" s="3"/>
      <c r="AD2266" s="3"/>
      <c r="AG2266" s="3"/>
      <c r="AJ2266" s="3"/>
    </row>
    <row r="2267" spans="1:36" x14ac:dyDescent="0.25">
      <c r="A2267" s="1"/>
      <c r="B2267" s="2"/>
      <c r="AA2267" s="3"/>
      <c r="AD2267" s="3"/>
      <c r="AG2267" s="3"/>
      <c r="AJ2267" s="3"/>
    </row>
    <row r="2268" spans="1:36" x14ac:dyDescent="0.25">
      <c r="A2268" s="1"/>
      <c r="B2268" s="2"/>
      <c r="AA2268" s="3"/>
      <c r="AD2268" s="3"/>
      <c r="AG2268" s="3"/>
      <c r="AJ2268" s="3"/>
    </row>
    <row r="2269" spans="1:36" x14ac:dyDescent="0.25">
      <c r="A2269" s="1"/>
      <c r="B2269" s="2"/>
      <c r="AA2269" s="3"/>
      <c r="AD2269" s="3"/>
      <c r="AG2269" s="3"/>
      <c r="AJ2269" s="3"/>
    </row>
    <row r="2270" spans="1:36" x14ac:dyDescent="0.25">
      <c r="A2270" s="1"/>
      <c r="B2270" s="2"/>
      <c r="AA2270" s="3"/>
      <c r="AD2270" s="3"/>
      <c r="AG2270" s="3"/>
      <c r="AJ2270" s="3"/>
    </row>
    <row r="2271" spans="1:36" x14ac:dyDescent="0.25">
      <c r="A2271" s="1"/>
      <c r="B2271" s="2"/>
      <c r="AA2271" s="3"/>
      <c r="AD2271" s="3"/>
      <c r="AG2271" s="3"/>
      <c r="AJ2271" s="3"/>
    </row>
    <row r="2272" spans="1:36" x14ac:dyDescent="0.25">
      <c r="A2272" s="1"/>
      <c r="B2272" s="2"/>
      <c r="AA2272" s="3"/>
      <c r="AD2272" s="3"/>
      <c r="AG2272" s="3"/>
      <c r="AJ2272" s="3"/>
    </row>
    <row r="2273" spans="1:36" x14ac:dyDescent="0.25">
      <c r="A2273" s="1"/>
      <c r="B2273" s="2"/>
      <c r="AA2273" s="3"/>
      <c r="AD2273" s="3"/>
      <c r="AG2273" s="3"/>
      <c r="AJ2273" s="3"/>
    </row>
    <row r="2274" spans="1:36" x14ac:dyDescent="0.25">
      <c r="A2274" s="1"/>
      <c r="B2274" s="2"/>
      <c r="AA2274" s="3"/>
      <c r="AD2274" s="3"/>
      <c r="AG2274" s="3"/>
      <c r="AJ2274" s="3"/>
    </row>
    <row r="2275" spans="1:36" x14ac:dyDescent="0.25">
      <c r="A2275" s="1"/>
      <c r="B2275" s="2"/>
      <c r="AA2275" s="3"/>
      <c r="AD2275" s="3"/>
      <c r="AG2275" s="3"/>
      <c r="AJ2275" s="3"/>
    </row>
    <row r="2276" spans="1:36" x14ac:dyDescent="0.25">
      <c r="A2276" s="1"/>
      <c r="B2276" s="2"/>
      <c r="AA2276" s="3"/>
      <c r="AD2276" s="3"/>
      <c r="AG2276" s="3"/>
      <c r="AJ2276" s="3"/>
    </row>
    <row r="2277" spans="1:36" x14ac:dyDescent="0.25">
      <c r="A2277" s="1"/>
      <c r="B2277" s="2"/>
      <c r="AA2277" s="3"/>
      <c r="AD2277" s="3"/>
      <c r="AG2277" s="3"/>
      <c r="AJ2277" s="3"/>
    </row>
    <row r="2278" spans="1:36" x14ac:dyDescent="0.25">
      <c r="A2278" s="1"/>
      <c r="B2278" s="2"/>
      <c r="AA2278" s="3"/>
      <c r="AD2278" s="3"/>
      <c r="AG2278" s="3"/>
      <c r="AJ2278" s="3"/>
    </row>
    <row r="2279" spans="1:36" x14ac:dyDescent="0.25">
      <c r="A2279" s="1"/>
      <c r="B2279" s="2"/>
      <c r="AA2279" s="3"/>
      <c r="AD2279" s="3"/>
      <c r="AG2279" s="3"/>
      <c r="AJ2279" s="3"/>
    </row>
    <row r="2280" spans="1:36" x14ac:dyDescent="0.25">
      <c r="A2280" s="1"/>
      <c r="B2280" s="2"/>
      <c r="AA2280" s="3"/>
      <c r="AD2280" s="3"/>
      <c r="AG2280" s="3"/>
      <c r="AJ2280" s="3"/>
    </row>
    <row r="2281" spans="1:36" x14ac:dyDescent="0.25">
      <c r="A2281" s="1"/>
      <c r="B2281" s="2"/>
      <c r="AA2281" s="3"/>
      <c r="AD2281" s="3"/>
      <c r="AG2281" s="3"/>
      <c r="AJ2281" s="3"/>
    </row>
    <row r="2282" spans="1:36" x14ac:dyDescent="0.25">
      <c r="A2282" s="1"/>
      <c r="B2282" s="2"/>
      <c r="AA2282" s="3"/>
      <c r="AD2282" s="3"/>
      <c r="AG2282" s="3"/>
      <c r="AJ2282" s="3"/>
    </row>
    <row r="2283" spans="1:36" x14ac:dyDescent="0.25">
      <c r="A2283" s="1"/>
      <c r="B2283" s="2"/>
      <c r="AA2283" s="3"/>
      <c r="AD2283" s="3"/>
      <c r="AG2283" s="3"/>
      <c r="AJ2283" s="3"/>
    </row>
    <row r="2284" spans="1:36" x14ac:dyDescent="0.25">
      <c r="A2284" s="1"/>
      <c r="B2284" s="2"/>
      <c r="AA2284" s="3"/>
      <c r="AD2284" s="3"/>
      <c r="AG2284" s="3"/>
      <c r="AJ2284" s="3"/>
    </row>
    <row r="2285" spans="1:36" x14ac:dyDescent="0.25">
      <c r="A2285" s="1"/>
      <c r="B2285" s="2"/>
      <c r="AA2285" s="3"/>
      <c r="AD2285" s="3"/>
      <c r="AG2285" s="3"/>
      <c r="AJ2285" s="3"/>
    </row>
    <row r="2286" spans="1:36" x14ac:dyDescent="0.25">
      <c r="A2286" s="1"/>
      <c r="B2286" s="2"/>
      <c r="AA2286" s="3"/>
      <c r="AD2286" s="3"/>
      <c r="AG2286" s="3"/>
      <c r="AJ2286" s="3"/>
    </row>
    <row r="2287" spans="1:36" x14ac:dyDescent="0.25">
      <c r="A2287" s="1"/>
      <c r="B2287" s="2"/>
      <c r="AA2287" s="3"/>
      <c r="AD2287" s="3"/>
      <c r="AG2287" s="3"/>
      <c r="AJ2287" s="3"/>
    </row>
    <row r="2288" spans="1:36" x14ac:dyDescent="0.25">
      <c r="A2288" s="1"/>
      <c r="B2288" s="2"/>
      <c r="AA2288" s="3"/>
      <c r="AD2288" s="3"/>
      <c r="AG2288" s="3"/>
      <c r="AJ2288" s="3"/>
    </row>
    <row r="2289" spans="1:36" x14ac:dyDescent="0.25">
      <c r="A2289" s="1"/>
      <c r="B2289" s="2"/>
      <c r="AA2289" s="3"/>
      <c r="AD2289" s="3"/>
      <c r="AG2289" s="3"/>
      <c r="AJ2289" s="3"/>
    </row>
    <row r="2290" spans="1:36" x14ac:dyDescent="0.25">
      <c r="A2290" s="1"/>
      <c r="B2290" s="2"/>
      <c r="AA2290" s="3"/>
      <c r="AD2290" s="3"/>
      <c r="AG2290" s="3"/>
      <c r="AJ2290" s="3"/>
    </row>
    <row r="2291" spans="1:36" x14ac:dyDescent="0.25">
      <c r="A2291" s="1"/>
      <c r="B2291" s="2"/>
      <c r="AA2291" s="3"/>
      <c r="AD2291" s="3"/>
      <c r="AG2291" s="3"/>
      <c r="AJ2291" s="3"/>
    </row>
    <row r="2292" spans="1:36" x14ac:dyDescent="0.25">
      <c r="A2292" s="1"/>
      <c r="B2292" s="2"/>
      <c r="AA2292" s="3"/>
      <c r="AD2292" s="3"/>
      <c r="AG2292" s="3"/>
      <c r="AJ2292" s="3"/>
    </row>
    <row r="2293" spans="1:36" x14ac:dyDescent="0.25">
      <c r="A2293" s="1"/>
      <c r="B2293" s="2"/>
      <c r="AA2293" s="3"/>
      <c r="AD2293" s="3"/>
      <c r="AG2293" s="3"/>
      <c r="AJ2293" s="3"/>
    </row>
    <row r="2294" spans="1:36" x14ac:dyDescent="0.25">
      <c r="A2294" s="1"/>
      <c r="B2294" s="2"/>
      <c r="AA2294" s="3"/>
      <c r="AD2294" s="3"/>
      <c r="AG2294" s="3"/>
      <c r="AJ2294" s="3"/>
    </row>
    <row r="2295" spans="1:36" x14ac:dyDescent="0.25">
      <c r="A2295" s="1"/>
      <c r="B2295" s="2"/>
      <c r="AA2295" s="3"/>
      <c r="AD2295" s="3"/>
      <c r="AG2295" s="3"/>
      <c r="AJ2295" s="3"/>
    </row>
    <row r="2296" spans="1:36" x14ac:dyDescent="0.25">
      <c r="A2296" s="1"/>
      <c r="B2296" s="2"/>
      <c r="AA2296" s="3"/>
      <c r="AD2296" s="3"/>
      <c r="AG2296" s="3"/>
      <c r="AJ2296" s="3"/>
    </row>
    <row r="2297" spans="1:36" x14ac:dyDescent="0.25">
      <c r="A2297" s="1"/>
      <c r="B2297" s="2"/>
      <c r="AA2297" s="3"/>
      <c r="AD2297" s="3"/>
      <c r="AG2297" s="3"/>
      <c r="AJ2297" s="3"/>
    </row>
    <row r="2298" spans="1:36" x14ac:dyDescent="0.25">
      <c r="A2298" s="1"/>
      <c r="B2298" s="2"/>
      <c r="AA2298" s="3"/>
      <c r="AD2298" s="3"/>
      <c r="AG2298" s="3"/>
      <c r="AJ2298" s="3"/>
    </row>
    <row r="2299" spans="1:36" x14ac:dyDescent="0.25">
      <c r="A2299" s="1"/>
      <c r="B2299" s="2"/>
      <c r="AA2299" s="3"/>
      <c r="AD2299" s="3"/>
      <c r="AG2299" s="3"/>
      <c r="AJ2299" s="3"/>
    </row>
    <row r="2300" spans="1:36" x14ac:dyDescent="0.25">
      <c r="A2300" s="1"/>
      <c r="B2300" s="2"/>
      <c r="AA2300" s="3"/>
      <c r="AD2300" s="3"/>
      <c r="AG2300" s="3"/>
      <c r="AJ2300" s="3"/>
    </row>
    <row r="2301" spans="1:36" x14ac:dyDescent="0.25">
      <c r="A2301" s="1"/>
      <c r="B2301" s="2"/>
      <c r="AA2301" s="3"/>
      <c r="AD2301" s="3"/>
      <c r="AG2301" s="3"/>
      <c r="AJ2301" s="3"/>
    </row>
    <row r="2302" spans="1:36" x14ac:dyDescent="0.25">
      <c r="A2302" s="1"/>
      <c r="B2302" s="2"/>
      <c r="AA2302" s="3"/>
      <c r="AD2302" s="3"/>
      <c r="AG2302" s="3"/>
      <c r="AJ2302" s="3"/>
    </row>
    <row r="2303" spans="1:36" x14ac:dyDescent="0.25">
      <c r="A2303" s="1"/>
      <c r="B2303" s="2"/>
      <c r="AA2303" s="3"/>
      <c r="AD2303" s="3"/>
      <c r="AG2303" s="3"/>
      <c r="AJ2303" s="3"/>
    </row>
    <row r="2304" spans="1:36" x14ac:dyDescent="0.25">
      <c r="A2304" s="1"/>
      <c r="B2304" s="2"/>
      <c r="AA2304" s="3"/>
      <c r="AD2304" s="3"/>
      <c r="AG2304" s="3"/>
      <c r="AJ2304" s="3"/>
    </row>
    <row r="2305" spans="1:36" x14ac:dyDescent="0.25">
      <c r="A2305" s="1"/>
      <c r="B2305" s="2"/>
      <c r="AA2305" s="3"/>
      <c r="AD2305" s="3"/>
      <c r="AG2305" s="3"/>
      <c r="AJ2305" s="3"/>
    </row>
    <row r="2306" spans="1:36" x14ac:dyDescent="0.25">
      <c r="A2306" s="1"/>
      <c r="B2306" s="2"/>
      <c r="AA2306" s="3"/>
      <c r="AD2306" s="3"/>
      <c r="AG2306" s="3"/>
      <c r="AJ2306" s="3"/>
    </row>
    <row r="2307" spans="1:36" x14ac:dyDescent="0.25">
      <c r="A2307" s="1"/>
      <c r="B2307" s="2"/>
      <c r="AA2307" s="3"/>
      <c r="AD2307" s="3"/>
      <c r="AG2307" s="3"/>
      <c r="AJ2307" s="3"/>
    </row>
    <row r="2308" spans="1:36" x14ac:dyDescent="0.25">
      <c r="A2308" s="1"/>
      <c r="B2308" s="2"/>
      <c r="AA2308" s="3"/>
      <c r="AD2308" s="3"/>
      <c r="AG2308" s="3"/>
      <c r="AJ2308" s="3"/>
    </row>
    <row r="2309" spans="1:36" x14ac:dyDescent="0.25">
      <c r="A2309" s="1"/>
      <c r="B2309" s="2"/>
      <c r="AA2309" s="3"/>
      <c r="AD2309" s="3"/>
      <c r="AG2309" s="3"/>
      <c r="AJ2309" s="3"/>
    </row>
    <row r="2310" spans="1:36" x14ac:dyDescent="0.25">
      <c r="A2310" s="1"/>
      <c r="B2310" s="2"/>
      <c r="AA2310" s="3"/>
      <c r="AD2310" s="3"/>
      <c r="AG2310" s="3"/>
      <c r="AJ2310" s="3"/>
    </row>
    <row r="2311" spans="1:36" x14ac:dyDescent="0.25">
      <c r="A2311" s="1"/>
      <c r="B2311" s="2"/>
      <c r="AA2311" s="3"/>
      <c r="AD2311" s="3"/>
      <c r="AG2311" s="3"/>
      <c r="AJ2311" s="3"/>
    </row>
    <row r="2312" spans="1:36" x14ac:dyDescent="0.25">
      <c r="A2312" s="1"/>
      <c r="B2312" s="2"/>
      <c r="AA2312" s="3"/>
      <c r="AD2312" s="3"/>
      <c r="AG2312" s="3"/>
      <c r="AJ2312" s="3"/>
    </row>
    <row r="2313" spans="1:36" x14ac:dyDescent="0.25">
      <c r="A2313" s="1"/>
      <c r="B2313" s="2"/>
      <c r="AA2313" s="3"/>
      <c r="AD2313" s="3"/>
      <c r="AG2313" s="3"/>
      <c r="AJ2313" s="3"/>
    </row>
    <row r="2314" spans="1:36" x14ac:dyDescent="0.25">
      <c r="A2314" s="1"/>
      <c r="B2314" s="2"/>
      <c r="AA2314" s="3"/>
      <c r="AD2314" s="3"/>
      <c r="AG2314" s="3"/>
      <c r="AJ2314" s="3"/>
    </row>
    <row r="2315" spans="1:36" x14ac:dyDescent="0.25">
      <c r="A2315" s="1"/>
      <c r="B2315" s="2"/>
      <c r="AA2315" s="3"/>
      <c r="AD2315" s="3"/>
      <c r="AG2315" s="3"/>
      <c r="AJ2315" s="3"/>
    </row>
    <row r="2316" spans="1:36" x14ac:dyDescent="0.25">
      <c r="A2316" s="1"/>
      <c r="B2316" s="2"/>
      <c r="AA2316" s="3"/>
      <c r="AD2316" s="3"/>
      <c r="AG2316" s="3"/>
      <c r="AJ2316" s="3"/>
    </row>
    <row r="2317" spans="1:36" x14ac:dyDescent="0.25">
      <c r="A2317" s="1"/>
      <c r="B2317" s="2"/>
      <c r="AA2317" s="3"/>
      <c r="AD2317" s="3"/>
      <c r="AG2317" s="3"/>
      <c r="AJ2317" s="3"/>
    </row>
    <row r="2318" spans="1:36" x14ac:dyDescent="0.25">
      <c r="A2318" s="1"/>
      <c r="B2318" s="2"/>
      <c r="AA2318" s="3"/>
      <c r="AD2318" s="3"/>
      <c r="AG2318" s="3"/>
      <c r="AJ2318" s="3"/>
    </row>
    <row r="2319" spans="1:36" x14ac:dyDescent="0.25">
      <c r="A2319" s="1"/>
      <c r="B2319" s="2"/>
      <c r="AA2319" s="3"/>
      <c r="AD2319" s="3"/>
      <c r="AG2319" s="3"/>
      <c r="AJ2319" s="3"/>
    </row>
    <row r="2320" spans="1:36" x14ac:dyDescent="0.25">
      <c r="A2320" s="1"/>
      <c r="B2320" s="2"/>
      <c r="AA2320" s="3"/>
      <c r="AD2320" s="3"/>
      <c r="AG2320" s="3"/>
      <c r="AJ2320" s="3"/>
    </row>
    <row r="2321" spans="1:36" x14ac:dyDescent="0.25">
      <c r="A2321" s="1"/>
      <c r="B2321" s="2"/>
      <c r="AA2321" s="3"/>
      <c r="AD2321" s="3"/>
      <c r="AG2321" s="3"/>
      <c r="AJ2321" s="3"/>
    </row>
    <row r="2322" spans="1:36" x14ac:dyDescent="0.25">
      <c r="A2322" s="1"/>
      <c r="B2322" s="2"/>
      <c r="AA2322" s="3"/>
      <c r="AD2322" s="3"/>
      <c r="AG2322" s="3"/>
      <c r="AJ2322" s="3"/>
    </row>
    <row r="2323" spans="1:36" x14ac:dyDescent="0.25">
      <c r="A2323" s="1"/>
      <c r="B2323" s="2"/>
      <c r="AA2323" s="3"/>
      <c r="AD2323" s="3"/>
      <c r="AG2323" s="3"/>
      <c r="AJ2323" s="3"/>
    </row>
    <row r="2324" spans="1:36" x14ac:dyDescent="0.25">
      <c r="A2324" s="1"/>
      <c r="B2324" s="2"/>
      <c r="AA2324" s="3"/>
      <c r="AD2324" s="3"/>
      <c r="AG2324" s="3"/>
      <c r="AJ2324" s="3"/>
    </row>
    <row r="2325" spans="1:36" x14ac:dyDescent="0.25">
      <c r="A2325" s="1"/>
      <c r="B2325" s="2"/>
      <c r="AA2325" s="3"/>
      <c r="AD2325" s="3"/>
      <c r="AG2325" s="3"/>
      <c r="AJ2325" s="3"/>
    </row>
    <row r="2326" spans="1:36" x14ac:dyDescent="0.25">
      <c r="A2326" s="1"/>
      <c r="B2326" s="2"/>
      <c r="AA2326" s="3"/>
      <c r="AD2326" s="3"/>
      <c r="AG2326" s="3"/>
      <c r="AJ2326" s="3"/>
    </row>
    <row r="2327" spans="1:36" x14ac:dyDescent="0.25">
      <c r="A2327" s="1"/>
      <c r="B2327" s="2"/>
      <c r="AA2327" s="3"/>
      <c r="AD2327" s="3"/>
      <c r="AG2327" s="3"/>
      <c r="AJ2327" s="3"/>
    </row>
    <row r="2328" spans="1:36" x14ac:dyDescent="0.25">
      <c r="A2328" s="1"/>
      <c r="B2328" s="2"/>
      <c r="AA2328" s="3"/>
      <c r="AD2328" s="3"/>
      <c r="AG2328" s="3"/>
      <c r="AJ2328" s="3"/>
    </row>
    <row r="2329" spans="1:36" x14ac:dyDescent="0.25">
      <c r="A2329" s="1"/>
      <c r="B2329" s="2"/>
      <c r="AA2329" s="3"/>
      <c r="AD2329" s="3"/>
      <c r="AG2329" s="3"/>
      <c r="AJ2329" s="3"/>
    </row>
    <row r="2330" spans="1:36" x14ac:dyDescent="0.25">
      <c r="A2330" s="1"/>
      <c r="B2330" s="2"/>
      <c r="AA2330" s="3"/>
      <c r="AD2330" s="3"/>
      <c r="AG2330" s="3"/>
      <c r="AJ2330" s="3"/>
    </row>
    <row r="2331" spans="1:36" x14ac:dyDescent="0.25">
      <c r="A2331" s="1"/>
      <c r="B2331" s="2"/>
      <c r="AA2331" s="3"/>
      <c r="AD2331" s="3"/>
      <c r="AG2331" s="3"/>
      <c r="AJ2331" s="3"/>
    </row>
    <row r="2332" spans="1:36" x14ac:dyDescent="0.25">
      <c r="A2332" s="1"/>
      <c r="B2332" s="2"/>
      <c r="AA2332" s="3"/>
      <c r="AD2332" s="3"/>
      <c r="AG2332" s="3"/>
      <c r="AJ2332" s="3"/>
    </row>
    <row r="2333" spans="1:36" x14ac:dyDescent="0.25">
      <c r="A2333" s="1"/>
      <c r="B2333" s="2"/>
      <c r="AA2333" s="3"/>
      <c r="AD2333" s="3"/>
      <c r="AG2333" s="3"/>
      <c r="AJ2333" s="3"/>
    </row>
    <row r="2334" spans="1:36" x14ac:dyDescent="0.25">
      <c r="A2334" s="1"/>
      <c r="B2334" s="2"/>
      <c r="AA2334" s="3"/>
      <c r="AD2334" s="3"/>
      <c r="AG2334" s="3"/>
      <c r="AJ2334" s="3"/>
    </row>
    <row r="2335" spans="1:36" x14ac:dyDescent="0.25">
      <c r="A2335" s="1"/>
      <c r="B2335" s="2"/>
      <c r="AA2335" s="3"/>
      <c r="AD2335" s="3"/>
      <c r="AG2335" s="3"/>
      <c r="AJ2335" s="3"/>
    </row>
    <row r="2336" spans="1:36" x14ac:dyDescent="0.25">
      <c r="A2336" s="1"/>
      <c r="B2336" s="2"/>
      <c r="AA2336" s="3"/>
      <c r="AD2336" s="3"/>
      <c r="AG2336" s="3"/>
      <c r="AJ2336" s="3"/>
    </row>
    <row r="2337" spans="1:36" x14ac:dyDescent="0.25">
      <c r="A2337" s="1"/>
      <c r="B2337" s="2"/>
      <c r="AA2337" s="3"/>
      <c r="AD2337" s="3"/>
      <c r="AG2337" s="3"/>
      <c r="AJ2337" s="3"/>
    </row>
    <row r="2338" spans="1:36" x14ac:dyDescent="0.25">
      <c r="A2338" s="1"/>
      <c r="B2338" s="2"/>
      <c r="AA2338" s="3"/>
      <c r="AD2338" s="3"/>
      <c r="AG2338" s="3"/>
      <c r="AJ2338" s="3"/>
    </row>
    <row r="2339" spans="1:36" x14ac:dyDescent="0.25">
      <c r="A2339" s="1"/>
      <c r="B2339" s="2"/>
      <c r="AA2339" s="3"/>
      <c r="AD2339" s="3"/>
      <c r="AG2339" s="3"/>
      <c r="AJ2339" s="3"/>
    </row>
    <row r="2340" spans="1:36" x14ac:dyDescent="0.25">
      <c r="A2340" s="1"/>
      <c r="B2340" s="2"/>
      <c r="AA2340" s="3"/>
      <c r="AD2340" s="3"/>
      <c r="AG2340" s="3"/>
      <c r="AJ2340" s="3"/>
    </row>
    <row r="2341" spans="1:36" x14ac:dyDescent="0.25">
      <c r="A2341" s="1"/>
      <c r="B2341" s="2"/>
      <c r="AA2341" s="3"/>
      <c r="AD2341" s="3"/>
      <c r="AG2341" s="3"/>
      <c r="AJ2341" s="3"/>
    </row>
    <row r="2342" spans="1:36" x14ac:dyDescent="0.25">
      <c r="A2342" s="1"/>
      <c r="B2342" s="2"/>
      <c r="AA2342" s="3"/>
      <c r="AD2342" s="3"/>
      <c r="AG2342" s="3"/>
      <c r="AJ2342" s="3"/>
    </row>
    <row r="2343" spans="1:36" x14ac:dyDescent="0.25">
      <c r="A2343" s="1"/>
      <c r="B2343" s="2"/>
      <c r="AA2343" s="3"/>
      <c r="AD2343" s="3"/>
      <c r="AG2343" s="3"/>
      <c r="AJ2343" s="3"/>
    </row>
    <row r="2344" spans="1:36" x14ac:dyDescent="0.25">
      <c r="A2344" s="1"/>
      <c r="B2344" s="2"/>
      <c r="AA2344" s="3"/>
      <c r="AD2344" s="3"/>
      <c r="AG2344" s="3"/>
      <c r="AJ2344" s="3"/>
    </row>
    <row r="2345" spans="1:36" x14ac:dyDescent="0.25">
      <c r="A2345" s="1"/>
      <c r="B2345" s="2"/>
      <c r="AA2345" s="3"/>
      <c r="AD2345" s="3"/>
      <c r="AG2345" s="3"/>
      <c r="AJ2345" s="3"/>
    </row>
    <row r="2346" spans="1:36" x14ac:dyDescent="0.25">
      <c r="A2346" s="1"/>
      <c r="B2346" s="2"/>
      <c r="AA2346" s="3"/>
      <c r="AD2346" s="3"/>
      <c r="AG2346" s="3"/>
      <c r="AJ2346" s="3"/>
    </row>
    <row r="2347" spans="1:36" x14ac:dyDescent="0.25">
      <c r="A2347" s="1"/>
      <c r="B2347" s="2"/>
      <c r="AA2347" s="3"/>
      <c r="AD2347" s="3"/>
      <c r="AG2347" s="3"/>
      <c r="AJ2347" s="3"/>
    </row>
    <row r="2348" spans="1:36" x14ac:dyDescent="0.25">
      <c r="A2348" s="1"/>
      <c r="B2348" s="2"/>
      <c r="AA2348" s="3"/>
      <c r="AD2348" s="3"/>
      <c r="AG2348" s="3"/>
      <c r="AJ2348" s="3"/>
    </row>
    <row r="2349" spans="1:36" x14ac:dyDescent="0.25">
      <c r="A2349" s="1"/>
      <c r="B2349" s="2"/>
      <c r="AA2349" s="3"/>
      <c r="AD2349" s="3"/>
      <c r="AG2349" s="3"/>
      <c r="AJ2349" s="3"/>
    </row>
    <row r="2350" spans="1:36" x14ac:dyDescent="0.25">
      <c r="A2350" s="1"/>
      <c r="B2350" s="2"/>
      <c r="AA2350" s="3"/>
      <c r="AD2350" s="3"/>
      <c r="AG2350" s="3"/>
      <c r="AJ2350" s="3"/>
    </row>
    <row r="2351" spans="1:36" x14ac:dyDescent="0.25">
      <c r="A2351" s="1"/>
      <c r="B2351" s="2"/>
      <c r="AA2351" s="3"/>
      <c r="AD2351" s="3"/>
      <c r="AG2351" s="3"/>
      <c r="AJ2351" s="3"/>
    </row>
    <row r="2352" spans="1:36" x14ac:dyDescent="0.25">
      <c r="A2352" s="1"/>
      <c r="B2352" s="2"/>
      <c r="AA2352" s="3"/>
      <c r="AD2352" s="3"/>
      <c r="AG2352" s="3"/>
      <c r="AJ2352" s="3"/>
    </row>
    <row r="2353" spans="1:36" x14ac:dyDescent="0.25">
      <c r="A2353" s="1"/>
      <c r="B2353" s="2"/>
      <c r="AA2353" s="3"/>
      <c r="AD2353" s="3"/>
      <c r="AG2353" s="3"/>
      <c r="AJ2353" s="3"/>
    </row>
    <row r="2354" spans="1:36" x14ac:dyDescent="0.25">
      <c r="A2354" s="1"/>
      <c r="B2354" s="2"/>
      <c r="AA2354" s="3"/>
      <c r="AD2354" s="3"/>
      <c r="AG2354" s="3"/>
      <c r="AJ2354" s="3"/>
    </row>
    <row r="2355" spans="1:36" x14ac:dyDescent="0.25">
      <c r="A2355" s="1"/>
      <c r="B2355" s="2"/>
      <c r="AA2355" s="3"/>
      <c r="AD2355" s="3"/>
      <c r="AG2355" s="3"/>
      <c r="AJ2355" s="3"/>
    </row>
    <row r="2356" spans="1:36" x14ac:dyDescent="0.25">
      <c r="A2356" s="1"/>
      <c r="B2356" s="2"/>
      <c r="AA2356" s="3"/>
      <c r="AD2356" s="3"/>
      <c r="AG2356" s="3"/>
      <c r="AJ2356" s="3"/>
    </row>
    <row r="2357" spans="1:36" x14ac:dyDescent="0.25">
      <c r="A2357" s="1"/>
      <c r="B2357" s="2"/>
      <c r="AA2357" s="3"/>
      <c r="AD2357" s="3"/>
      <c r="AG2357" s="3"/>
      <c r="AJ2357" s="3"/>
    </row>
    <row r="2358" spans="1:36" x14ac:dyDescent="0.25">
      <c r="A2358" s="1"/>
      <c r="B2358" s="2"/>
      <c r="AA2358" s="3"/>
      <c r="AD2358" s="3"/>
      <c r="AG2358" s="3"/>
      <c r="AJ2358" s="3"/>
    </row>
    <row r="2359" spans="1:36" x14ac:dyDescent="0.25">
      <c r="A2359" s="1"/>
      <c r="B2359" s="2"/>
      <c r="AA2359" s="3"/>
      <c r="AD2359" s="3"/>
      <c r="AG2359" s="3"/>
      <c r="AJ2359" s="3"/>
    </row>
    <row r="2360" spans="1:36" x14ac:dyDescent="0.25">
      <c r="A2360" s="1"/>
      <c r="B2360" s="2"/>
      <c r="AA2360" s="3"/>
      <c r="AD2360" s="3"/>
      <c r="AG2360" s="3"/>
      <c r="AJ2360" s="3"/>
    </row>
    <row r="2361" spans="1:36" x14ac:dyDescent="0.25">
      <c r="A2361" s="1"/>
      <c r="B2361" s="2"/>
      <c r="AA2361" s="3"/>
      <c r="AD2361" s="3"/>
      <c r="AG2361" s="3"/>
      <c r="AJ2361" s="3"/>
    </row>
    <row r="2362" spans="1:36" x14ac:dyDescent="0.25">
      <c r="A2362" s="1"/>
      <c r="B2362" s="2"/>
      <c r="AA2362" s="3"/>
      <c r="AD2362" s="3"/>
      <c r="AG2362" s="3"/>
      <c r="AJ2362" s="3"/>
    </row>
    <row r="2363" spans="1:36" x14ac:dyDescent="0.25">
      <c r="A2363" s="1"/>
      <c r="B2363" s="2"/>
      <c r="AA2363" s="3"/>
      <c r="AD2363" s="3"/>
      <c r="AG2363" s="3"/>
      <c r="AJ2363" s="3"/>
    </row>
    <row r="2364" spans="1:36" x14ac:dyDescent="0.25">
      <c r="A2364" s="1"/>
      <c r="B2364" s="2"/>
      <c r="AA2364" s="3"/>
      <c r="AD2364" s="3"/>
      <c r="AG2364" s="3"/>
      <c r="AJ2364" s="3"/>
    </row>
    <row r="2365" spans="1:36" x14ac:dyDescent="0.25">
      <c r="A2365" s="1"/>
      <c r="B2365" s="2"/>
      <c r="AA2365" s="3"/>
      <c r="AD2365" s="3"/>
      <c r="AG2365" s="3"/>
      <c r="AJ2365" s="3"/>
    </row>
    <row r="2366" spans="1:36" x14ac:dyDescent="0.25">
      <c r="A2366" s="1"/>
      <c r="B2366" s="2"/>
      <c r="AA2366" s="3"/>
      <c r="AD2366" s="3"/>
      <c r="AG2366" s="3"/>
      <c r="AJ2366" s="3"/>
    </row>
    <row r="2367" spans="1:36" x14ac:dyDescent="0.25">
      <c r="A2367" s="1"/>
      <c r="B2367" s="2"/>
      <c r="AA2367" s="3"/>
      <c r="AD2367" s="3"/>
      <c r="AG2367" s="3"/>
      <c r="AJ2367" s="3"/>
    </row>
    <row r="2368" spans="1:36" x14ac:dyDescent="0.25">
      <c r="A2368" s="1"/>
      <c r="B2368" s="2"/>
      <c r="AA2368" s="3"/>
      <c r="AD2368" s="3"/>
      <c r="AG2368" s="3"/>
      <c r="AJ2368" s="3"/>
    </row>
    <row r="2369" spans="1:36" x14ac:dyDescent="0.25">
      <c r="A2369" s="1"/>
      <c r="B2369" s="2"/>
      <c r="AA2369" s="3"/>
      <c r="AD2369" s="3"/>
      <c r="AG2369" s="3"/>
      <c r="AJ2369" s="3"/>
    </row>
    <row r="2370" spans="1:36" x14ac:dyDescent="0.25">
      <c r="A2370" s="1"/>
      <c r="B2370" s="2"/>
      <c r="AA2370" s="3"/>
      <c r="AD2370" s="3"/>
      <c r="AG2370" s="3"/>
      <c r="AJ2370" s="3"/>
    </row>
    <row r="2371" spans="1:36" x14ac:dyDescent="0.25">
      <c r="A2371" s="1"/>
      <c r="B2371" s="2"/>
      <c r="AA2371" s="3"/>
      <c r="AD2371" s="3"/>
      <c r="AG2371" s="3"/>
      <c r="AJ2371" s="3"/>
    </row>
    <row r="2372" spans="1:36" x14ac:dyDescent="0.25">
      <c r="A2372" s="1"/>
      <c r="B2372" s="2"/>
      <c r="AA2372" s="3"/>
      <c r="AD2372" s="3"/>
      <c r="AG2372" s="3"/>
      <c r="AJ2372" s="3"/>
    </row>
    <row r="2373" spans="1:36" x14ac:dyDescent="0.25">
      <c r="A2373" s="1"/>
      <c r="B2373" s="2"/>
      <c r="AA2373" s="3"/>
      <c r="AD2373" s="3"/>
      <c r="AG2373" s="3"/>
      <c r="AJ2373" s="3"/>
    </row>
    <row r="2374" spans="1:36" x14ac:dyDescent="0.25">
      <c r="A2374" s="1"/>
      <c r="B2374" s="2"/>
      <c r="AA2374" s="3"/>
      <c r="AD2374" s="3"/>
      <c r="AG2374" s="3"/>
      <c r="AJ2374" s="3"/>
    </row>
    <row r="2375" spans="1:36" x14ac:dyDescent="0.25">
      <c r="A2375" s="1"/>
      <c r="B2375" s="2"/>
      <c r="AA2375" s="3"/>
      <c r="AD2375" s="3"/>
      <c r="AG2375" s="3"/>
      <c r="AJ2375" s="3"/>
    </row>
    <row r="2376" spans="1:36" x14ac:dyDescent="0.25">
      <c r="A2376" s="1"/>
      <c r="B2376" s="2"/>
      <c r="AA2376" s="3"/>
      <c r="AD2376" s="3"/>
      <c r="AG2376" s="3"/>
      <c r="AJ2376" s="3"/>
    </row>
    <row r="2377" spans="1:36" x14ac:dyDescent="0.25">
      <c r="A2377" s="1"/>
      <c r="B2377" s="2"/>
      <c r="AA2377" s="3"/>
      <c r="AD2377" s="3"/>
      <c r="AG2377" s="3"/>
      <c r="AJ2377" s="3"/>
    </row>
    <row r="2378" spans="1:36" x14ac:dyDescent="0.25">
      <c r="A2378" s="1"/>
      <c r="B2378" s="2"/>
      <c r="AA2378" s="3"/>
      <c r="AD2378" s="3"/>
      <c r="AG2378" s="3"/>
      <c r="AJ2378" s="3"/>
    </row>
    <row r="2379" spans="1:36" x14ac:dyDescent="0.25">
      <c r="A2379" s="1"/>
      <c r="B2379" s="2"/>
      <c r="AA2379" s="3"/>
      <c r="AD2379" s="3"/>
      <c r="AG2379" s="3"/>
      <c r="AJ2379" s="3"/>
    </row>
    <row r="2380" spans="1:36" x14ac:dyDescent="0.25">
      <c r="A2380" s="1"/>
      <c r="B2380" s="2"/>
      <c r="AA2380" s="3"/>
      <c r="AD2380" s="3"/>
      <c r="AG2380" s="3"/>
      <c r="AJ2380" s="3"/>
    </row>
    <row r="2381" spans="1:36" x14ac:dyDescent="0.25">
      <c r="A2381" s="1"/>
      <c r="B2381" s="2"/>
      <c r="AA2381" s="3"/>
      <c r="AD2381" s="3"/>
      <c r="AG2381" s="3"/>
      <c r="AJ2381" s="3"/>
    </row>
    <row r="2382" spans="1:36" x14ac:dyDescent="0.25">
      <c r="A2382" s="1"/>
      <c r="B2382" s="2"/>
      <c r="AA2382" s="3"/>
      <c r="AD2382" s="3"/>
      <c r="AG2382" s="3"/>
      <c r="AJ2382" s="3"/>
    </row>
    <row r="2383" spans="1:36" x14ac:dyDescent="0.25">
      <c r="A2383" s="1"/>
      <c r="B2383" s="2"/>
      <c r="AA2383" s="3"/>
      <c r="AD2383" s="3"/>
      <c r="AG2383" s="3"/>
      <c r="AJ2383" s="3"/>
    </row>
    <row r="2384" spans="1:36" x14ac:dyDescent="0.25">
      <c r="A2384" s="1"/>
      <c r="B2384" s="2"/>
      <c r="AA2384" s="3"/>
      <c r="AD2384" s="3"/>
      <c r="AG2384" s="3"/>
      <c r="AJ2384" s="3"/>
    </row>
    <row r="2385" spans="1:36" x14ac:dyDescent="0.25">
      <c r="A2385" s="1"/>
      <c r="B2385" s="2"/>
      <c r="AA2385" s="3"/>
      <c r="AD2385" s="3"/>
      <c r="AG2385" s="3"/>
      <c r="AJ2385" s="3"/>
    </row>
    <row r="2386" spans="1:36" x14ac:dyDescent="0.25">
      <c r="A2386" s="1"/>
      <c r="B2386" s="2"/>
      <c r="AA2386" s="3"/>
      <c r="AD2386" s="3"/>
      <c r="AG2386" s="3"/>
      <c r="AJ2386" s="3"/>
    </row>
    <row r="2387" spans="1:36" x14ac:dyDescent="0.25">
      <c r="A2387" s="1"/>
      <c r="B2387" s="2"/>
      <c r="AA2387" s="3"/>
      <c r="AD2387" s="3"/>
      <c r="AG2387" s="3"/>
      <c r="AJ2387" s="3"/>
    </row>
    <row r="2388" spans="1:36" x14ac:dyDescent="0.25">
      <c r="A2388" s="1"/>
      <c r="B2388" s="2"/>
      <c r="AA2388" s="3"/>
      <c r="AD2388" s="3"/>
      <c r="AG2388" s="3"/>
      <c r="AJ2388" s="3"/>
    </row>
    <row r="2389" spans="1:36" x14ac:dyDescent="0.25">
      <c r="A2389" s="1"/>
      <c r="B2389" s="2"/>
      <c r="AA2389" s="3"/>
      <c r="AD2389" s="3"/>
      <c r="AG2389" s="3"/>
      <c r="AJ2389" s="3"/>
    </row>
    <row r="2390" spans="1:36" x14ac:dyDescent="0.25">
      <c r="A2390" s="1"/>
      <c r="B2390" s="2"/>
      <c r="AA2390" s="3"/>
      <c r="AD2390" s="3"/>
      <c r="AG2390" s="3"/>
      <c r="AJ2390" s="3"/>
    </row>
    <row r="2391" spans="1:36" x14ac:dyDescent="0.25">
      <c r="A2391" s="1"/>
      <c r="B2391" s="2"/>
      <c r="AA2391" s="3"/>
      <c r="AD2391" s="3"/>
      <c r="AG2391" s="3"/>
      <c r="AJ2391" s="3"/>
    </row>
    <row r="2392" spans="1:36" x14ac:dyDescent="0.25">
      <c r="A2392" s="1"/>
      <c r="B2392" s="2"/>
      <c r="AA2392" s="3"/>
      <c r="AD2392" s="3"/>
      <c r="AG2392" s="3"/>
      <c r="AJ2392" s="3"/>
    </row>
    <row r="2393" spans="1:36" x14ac:dyDescent="0.25">
      <c r="A2393" s="1"/>
      <c r="B2393" s="2"/>
      <c r="AA2393" s="3"/>
      <c r="AD2393" s="3"/>
      <c r="AG2393" s="3"/>
      <c r="AJ2393" s="3"/>
    </row>
    <row r="2394" spans="1:36" x14ac:dyDescent="0.25">
      <c r="A2394" s="1"/>
      <c r="B2394" s="2"/>
      <c r="AA2394" s="3"/>
      <c r="AD2394" s="3"/>
      <c r="AG2394" s="3"/>
      <c r="AJ2394" s="3"/>
    </row>
    <row r="2395" spans="1:36" x14ac:dyDescent="0.25">
      <c r="A2395" s="1"/>
      <c r="B2395" s="2"/>
      <c r="AA2395" s="3"/>
      <c r="AD2395" s="3"/>
      <c r="AG2395" s="3"/>
      <c r="AJ2395" s="3"/>
    </row>
    <row r="2396" spans="1:36" x14ac:dyDescent="0.25">
      <c r="A2396" s="1"/>
      <c r="B2396" s="2"/>
      <c r="AA2396" s="3"/>
      <c r="AD2396" s="3"/>
      <c r="AG2396" s="3"/>
      <c r="AJ2396" s="3"/>
    </row>
    <row r="2397" spans="1:36" x14ac:dyDescent="0.25">
      <c r="A2397" s="1"/>
      <c r="B2397" s="2"/>
      <c r="AA2397" s="3"/>
      <c r="AD2397" s="3"/>
      <c r="AG2397" s="3"/>
      <c r="AJ2397" s="3"/>
    </row>
    <row r="2398" spans="1:36" x14ac:dyDescent="0.25">
      <c r="A2398" s="1"/>
      <c r="B2398" s="2"/>
      <c r="AA2398" s="3"/>
      <c r="AD2398" s="3"/>
      <c r="AG2398" s="3"/>
      <c r="AJ2398" s="3"/>
    </row>
    <row r="2399" spans="1:36" x14ac:dyDescent="0.25">
      <c r="A2399" s="1"/>
      <c r="B2399" s="2"/>
      <c r="AA2399" s="3"/>
      <c r="AD2399" s="3"/>
      <c r="AG2399" s="3"/>
      <c r="AJ2399" s="3"/>
    </row>
    <row r="2400" spans="1:36" x14ac:dyDescent="0.25">
      <c r="A2400" s="1"/>
      <c r="B2400" s="2"/>
      <c r="AA2400" s="3"/>
      <c r="AD2400" s="3"/>
      <c r="AG2400" s="3"/>
      <c r="AJ2400" s="3"/>
    </row>
    <row r="2401" spans="1:36" x14ac:dyDescent="0.25">
      <c r="A2401" s="1"/>
      <c r="B2401" s="2"/>
      <c r="AA2401" s="3"/>
      <c r="AD2401" s="3"/>
      <c r="AG2401" s="3"/>
      <c r="AJ2401" s="3"/>
    </row>
    <row r="2402" spans="1:36" x14ac:dyDescent="0.25">
      <c r="A2402" s="1"/>
      <c r="B2402" s="2"/>
      <c r="AA2402" s="3"/>
      <c r="AD2402" s="3"/>
      <c r="AG2402" s="3"/>
      <c r="AJ2402" s="3"/>
    </row>
    <row r="2403" spans="1:36" x14ac:dyDescent="0.25">
      <c r="A2403" s="1"/>
      <c r="B2403" s="2"/>
      <c r="AA2403" s="3"/>
      <c r="AD2403" s="3"/>
      <c r="AG2403" s="3"/>
      <c r="AJ2403" s="3"/>
    </row>
    <row r="2404" spans="1:36" x14ac:dyDescent="0.25">
      <c r="A2404" s="1"/>
      <c r="B2404" s="2"/>
      <c r="AA2404" s="3"/>
      <c r="AD2404" s="3"/>
      <c r="AG2404" s="3"/>
      <c r="AJ2404" s="3"/>
    </row>
    <row r="2405" spans="1:36" x14ac:dyDescent="0.25">
      <c r="A2405" s="1"/>
      <c r="B2405" s="2"/>
      <c r="AA2405" s="3"/>
      <c r="AD2405" s="3"/>
      <c r="AG2405" s="3"/>
      <c r="AJ2405" s="3"/>
    </row>
    <row r="2406" spans="1:36" x14ac:dyDescent="0.25">
      <c r="A2406" s="1"/>
      <c r="B2406" s="2"/>
      <c r="AA2406" s="3"/>
      <c r="AD2406" s="3"/>
      <c r="AG2406" s="3"/>
      <c r="AJ2406" s="3"/>
    </row>
    <row r="2407" spans="1:36" x14ac:dyDescent="0.25">
      <c r="A2407" s="1"/>
      <c r="B2407" s="2"/>
      <c r="AA2407" s="3"/>
      <c r="AD2407" s="3"/>
      <c r="AG2407" s="3"/>
      <c r="AJ2407" s="3"/>
    </row>
    <row r="2408" spans="1:36" x14ac:dyDescent="0.25">
      <c r="A2408" s="1"/>
      <c r="B2408" s="2"/>
      <c r="AA2408" s="3"/>
      <c r="AD2408" s="3"/>
      <c r="AG2408" s="3"/>
      <c r="AJ2408" s="3"/>
    </row>
    <row r="2409" spans="1:36" x14ac:dyDescent="0.25">
      <c r="A2409" s="1"/>
      <c r="B2409" s="2"/>
      <c r="AA2409" s="3"/>
      <c r="AD2409" s="3"/>
      <c r="AG2409" s="3"/>
      <c r="AJ2409" s="3"/>
    </row>
    <row r="2410" spans="1:36" x14ac:dyDescent="0.25">
      <c r="A2410" s="1"/>
      <c r="B2410" s="2"/>
      <c r="AA2410" s="3"/>
      <c r="AD2410" s="3"/>
      <c r="AG2410" s="3"/>
      <c r="AJ2410" s="3"/>
    </row>
    <row r="2411" spans="1:36" x14ac:dyDescent="0.25">
      <c r="A2411" s="1"/>
      <c r="B2411" s="2"/>
      <c r="AA2411" s="3"/>
      <c r="AD2411" s="3"/>
      <c r="AG2411" s="3"/>
      <c r="AJ2411" s="3"/>
    </row>
    <row r="2412" spans="1:36" x14ac:dyDescent="0.25">
      <c r="A2412" s="1"/>
      <c r="B2412" s="2"/>
      <c r="AA2412" s="3"/>
      <c r="AD2412" s="3"/>
      <c r="AG2412" s="3"/>
      <c r="AJ2412" s="3"/>
    </row>
    <row r="2413" spans="1:36" x14ac:dyDescent="0.25">
      <c r="A2413" s="1"/>
      <c r="B2413" s="2"/>
      <c r="AA2413" s="3"/>
      <c r="AD2413" s="3"/>
      <c r="AG2413" s="3"/>
      <c r="AJ2413" s="3"/>
    </row>
    <row r="2414" spans="1:36" x14ac:dyDescent="0.25">
      <c r="A2414" s="1"/>
      <c r="B2414" s="2"/>
      <c r="AA2414" s="3"/>
      <c r="AD2414" s="3"/>
      <c r="AG2414" s="3"/>
      <c r="AJ2414" s="3"/>
    </row>
    <row r="2415" spans="1:36" x14ac:dyDescent="0.25">
      <c r="A2415" s="1"/>
      <c r="B2415" s="2"/>
      <c r="AA2415" s="3"/>
      <c r="AD2415" s="3"/>
      <c r="AG2415" s="3"/>
      <c r="AJ2415" s="3"/>
    </row>
    <row r="2416" spans="1:36" x14ac:dyDescent="0.25">
      <c r="A2416" s="1"/>
      <c r="B2416" s="2"/>
      <c r="AA2416" s="3"/>
      <c r="AD2416" s="3"/>
      <c r="AG2416" s="3"/>
      <c r="AJ2416" s="3"/>
    </row>
    <row r="2417" spans="1:36" x14ac:dyDescent="0.25">
      <c r="A2417" s="1"/>
      <c r="B2417" s="2"/>
      <c r="AA2417" s="3"/>
      <c r="AD2417" s="3"/>
      <c r="AG2417" s="3"/>
      <c r="AJ2417" s="3"/>
    </row>
    <row r="2418" spans="1:36" x14ac:dyDescent="0.25">
      <c r="A2418" s="1"/>
      <c r="B2418" s="2"/>
      <c r="AA2418" s="3"/>
      <c r="AD2418" s="3"/>
      <c r="AG2418" s="3"/>
      <c r="AJ2418" s="3"/>
    </row>
    <row r="2419" spans="1:36" x14ac:dyDescent="0.25">
      <c r="A2419" s="1"/>
      <c r="B2419" s="2"/>
      <c r="AA2419" s="3"/>
      <c r="AD2419" s="3"/>
      <c r="AG2419" s="3"/>
      <c r="AJ2419" s="3"/>
    </row>
    <row r="2420" spans="1:36" x14ac:dyDescent="0.25">
      <c r="A2420" s="1"/>
      <c r="B2420" s="2"/>
      <c r="AA2420" s="3"/>
      <c r="AD2420" s="3"/>
      <c r="AG2420" s="3"/>
      <c r="AJ2420" s="3"/>
    </row>
    <row r="2421" spans="1:36" x14ac:dyDescent="0.25">
      <c r="A2421" s="1"/>
      <c r="B2421" s="2"/>
      <c r="AA2421" s="3"/>
      <c r="AD2421" s="3"/>
      <c r="AG2421" s="3"/>
      <c r="AJ2421" s="3"/>
    </row>
    <row r="2422" spans="1:36" x14ac:dyDescent="0.25">
      <c r="A2422" s="1"/>
      <c r="B2422" s="2"/>
      <c r="AA2422" s="3"/>
      <c r="AD2422" s="3"/>
      <c r="AG2422" s="3"/>
      <c r="AJ2422" s="3"/>
    </row>
    <row r="2423" spans="1:36" x14ac:dyDescent="0.25">
      <c r="A2423" s="1"/>
      <c r="B2423" s="2"/>
      <c r="AA2423" s="3"/>
      <c r="AD2423" s="3"/>
      <c r="AG2423" s="3"/>
      <c r="AJ2423" s="3"/>
    </row>
    <row r="2424" spans="1:36" x14ac:dyDescent="0.25">
      <c r="A2424" s="1"/>
      <c r="B2424" s="2"/>
      <c r="AA2424" s="3"/>
      <c r="AD2424" s="3"/>
      <c r="AG2424" s="3"/>
      <c r="AJ2424" s="3"/>
    </row>
    <row r="2425" spans="1:36" x14ac:dyDescent="0.25">
      <c r="A2425" s="1"/>
      <c r="B2425" s="2"/>
      <c r="AA2425" s="3"/>
      <c r="AD2425" s="3"/>
      <c r="AG2425" s="3"/>
      <c r="AJ2425" s="3"/>
    </row>
    <row r="2426" spans="1:36" x14ac:dyDescent="0.25">
      <c r="A2426" s="1"/>
      <c r="B2426" s="2"/>
      <c r="AA2426" s="3"/>
      <c r="AD2426" s="3"/>
      <c r="AG2426" s="3"/>
      <c r="AJ2426" s="3"/>
    </row>
    <row r="2427" spans="1:36" x14ac:dyDescent="0.25">
      <c r="A2427" s="1"/>
      <c r="B2427" s="2"/>
      <c r="AA2427" s="3"/>
      <c r="AD2427" s="3"/>
      <c r="AG2427" s="3"/>
      <c r="AJ2427" s="3"/>
    </row>
    <row r="2428" spans="1:36" x14ac:dyDescent="0.25">
      <c r="A2428" s="1"/>
      <c r="B2428" s="2"/>
      <c r="AA2428" s="3"/>
      <c r="AD2428" s="3"/>
      <c r="AG2428" s="3"/>
      <c r="AJ2428" s="3"/>
    </row>
    <row r="2429" spans="1:36" x14ac:dyDescent="0.25">
      <c r="A2429" s="1"/>
      <c r="B2429" s="2"/>
      <c r="AA2429" s="3"/>
      <c r="AD2429" s="3"/>
      <c r="AG2429" s="3"/>
      <c r="AJ2429" s="3"/>
    </row>
    <row r="2430" spans="1:36" x14ac:dyDescent="0.25">
      <c r="A2430" s="1"/>
      <c r="B2430" s="2"/>
      <c r="AA2430" s="3"/>
      <c r="AD2430" s="3"/>
      <c r="AG2430" s="3"/>
      <c r="AJ2430" s="3"/>
    </row>
    <row r="2431" spans="1:36" x14ac:dyDescent="0.25">
      <c r="A2431" s="1"/>
      <c r="B2431" s="2"/>
      <c r="AA2431" s="3"/>
      <c r="AD2431" s="3"/>
      <c r="AG2431" s="3"/>
      <c r="AJ2431" s="3"/>
    </row>
    <row r="2432" spans="1:36" x14ac:dyDescent="0.25">
      <c r="A2432" s="1"/>
      <c r="B2432" s="2"/>
      <c r="AA2432" s="3"/>
      <c r="AD2432" s="3"/>
      <c r="AG2432" s="3"/>
      <c r="AJ2432" s="3"/>
    </row>
    <row r="2433" spans="1:36" x14ac:dyDescent="0.25">
      <c r="A2433" s="1"/>
      <c r="B2433" s="2"/>
      <c r="AA2433" s="3"/>
      <c r="AD2433" s="3"/>
      <c r="AG2433" s="3"/>
      <c r="AJ2433" s="3"/>
    </row>
    <row r="2434" spans="1:36" x14ac:dyDescent="0.25">
      <c r="A2434" s="1"/>
      <c r="B2434" s="2"/>
      <c r="AA2434" s="3"/>
      <c r="AD2434" s="3"/>
      <c r="AG2434" s="3"/>
      <c r="AJ2434" s="3"/>
    </row>
    <row r="2435" spans="1:36" x14ac:dyDescent="0.25">
      <c r="A2435" s="1"/>
      <c r="B2435" s="2"/>
      <c r="AA2435" s="3"/>
      <c r="AD2435" s="3"/>
      <c r="AG2435" s="3"/>
      <c r="AJ2435" s="3"/>
    </row>
    <row r="2436" spans="1:36" x14ac:dyDescent="0.25">
      <c r="A2436" s="1"/>
      <c r="B2436" s="2"/>
      <c r="AA2436" s="3"/>
      <c r="AD2436" s="3"/>
      <c r="AG2436" s="3"/>
      <c r="AJ2436" s="3"/>
    </row>
    <row r="2437" spans="1:36" x14ac:dyDescent="0.25">
      <c r="A2437" s="1"/>
      <c r="B2437" s="2"/>
      <c r="AA2437" s="3"/>
      <c r="AD2437" s="3"/>
      <c r="AG2437" s="3"/>
      <c r="AJ2437" s="3"/>
    </row>
    <row r="2438" spans="1:36" x14ac:dyDescent="0.25">
      <c r="A2438" s="1"/>
      <c r="B2438" s="2"/>
      <c r="AA2438" s="3"/>
      <c r="AD2438" s="3"/>
      <c r="AG2438" s="3"/>
      <c r="AJ2438" s="3"/>
    </row>
    <row r="2439" spans="1:36" x14ac:dyDescent="0.25">
      <c r="A2439" s="1"/>
      <c r="B2439" s="2"/>
      <c r="AA2439" s="3"/>
      <c r="AD2439" s="3"/>
      <c r="AG2439" s="3"/>
      <c r="AJ2439" s="3"/>
    </row>
    <row r="2440" spans="1:36" x14ac:dyDescent="0.25">
      <c r="A2440" s="1"/>
      <c r="B2440" s="2"/>
      <c r="AA2440" s="3"/>
      <c r="AD2440" s="3"/>
      <c r="AG2440" s="3"/>
      <c r="AJ2440" s="3"/>
    </row>
    <row r="2441" spans="1:36" x14ac:dyDescent="0.25">
      <c r="A2441" s="1"/>
      <c r="B2441" s="2"/>
      <c r="AA2441" s="3"/>
      <c r="AD2441" s="3"/>
      <c r="AG2441" s="3"/>
      <c r="AJ2441" s="3"/>
    </row>
    <row r="2442" spans="1:36" x14ac:dyDescent="0.25">
      <c r="A2442" s="1"/>
      <c r="B2442" s="2"/>
      <c r="AA2442" s="3"/>
      <c r="AD2442" s="3"/>
      <c r="AG2442" s="3"/>
      <c r="AJ2442" s="3"/>
    </row>
    <row r="2443" spans="1:36" x14ac:dyDescent="0.25">
      <c r="A2443" s="1"/>
      <c r="B2443" s="2"/>
      <c r="AA2443" s="3"/>
      <c r="AD2443" s="3"/>
      <c r="AG2443" s="3"/>
      <c r="AJ2443" s="3"/>
    </row>
    <row r="2444" spans="1:36" x14ac:dyDescent="0.25">
      <c r="A2444" s="1"/>
      <c r="B2444" s="2"/>
      <c r="AA2444" s="3"/>
      <c r="AD2444" s="3"/>
      <c r="AG2444" s="3"/>
      <c r="AJ2444" s="3"/>
    </row>
    <row r="2445" spans="1:36" x14ac:dyDescent="0.25">
      <c r="A2445" s="1"/>
      <c r="B2445" s="2"/>
      <c r="AA2445" s="3"/>
      <c r="AD2445" s="3"/>
      <c r="AG2445" s="3"/>
      <c r="AJ2445" s="3"/>
    </row>
    <row r="2446" spans="1:36" x14ac:dyDescent="0.25">
      <c r="A2446" s="1"/>
      <c r="B2446" s="2"/>
      <c r="AA2446" s="3"/>
      <c r="AD2446" s="3"/>
      <c r="AG2446" s="3"/>
      <c r="AJ2446" s="3"/>
    </row>
    <row r="2447" spans="1:36" x14ac:dyDescent="0.25">
      <c r="A2447" s="1"/>
      <c r="B2447" s="2"/>
      <c r="AA2447" s="3"/>
      <c r="AD2447" s="3"/>
      <c r="AG2447" s="3"/>
      <c r="AJ2447" s="3"/>
    </row>
    <row r="2448" spans="1:36" x14ac:dyDescent="0.25">
      <c r="A2448" s="1"/>
      <c r="B2448" s="2"/>
      <c r="AA2448" s="3"/>
      <c r="AD2448" s="3"/>
      <c r="AG2448" s="3"/>
      <c r="AJ2448" s="3"/>
    </row>
    <row r="2449" spans="1:36" x14ac:dyDescent="0.25">
      <c r="A2449" s="1"/>
      <c r="B2449" s="2"/>
      <c r="AA2449" s="3"/>
      <c r="AD2449" s="3"/>
      <c r="AG2449" s="3"/>
      <c r="AJ2449" s="3"/>
    </row>
    <row r="2450" spans="1:36" x14ac:dyDescent="0.25">
      <c r="A2450" s="1"/>
      <c r="B2450" s="2"/>
      <c r="AA2450" s="3"/>
      <c r="AD2450" s="3"/>
      <c r="AG2450" s="3"/>
      <c r="AJ2450" s="3"/>
    </row>
    <row r="2451" spans="1:36" x14ac:dyDescent="0.25">
      <c r="A2451" s="1"/>
      <c r="B2451" s="2"/>
      <c r="AA2451" s="3"/>
      <c r="AD2451" s="3"/>
      <c r="AG2451" s="3"/>
      <c r="AJ2451" s="3"/>
    </row>
    <row r="2452" spans="1:36" x14ac:dyDescent="0.25">
      <c r="A2452" s="1"/>
      <c r="B2452" s="2"/>
      <c r="AA2452" s="3"/>
      <c r="AD2452" s="3"/>
      <c r="AG2452" s="3"/>
      <c r="AJ2452" s="3"/>
    </row>
    <row r="2453" spans="1:36" x14ac:dyDescent="0.25">
      <c r="A2453" s="1"/>
      <c r="B2453" s="2"/>
      <c r="AA2453" s="3"/>
      <c r="AD2453" s="3"/>
      <c r="AG2453" s="3"/>
      <c r="AJ2453" s="3"/>
    </row>
    <row r="2454" spans="1:36" x14ac:dyDescent="0.25">
      <c r="A2454" s="1"/>
      <c r="B2454" s="2"/>
      <c r="AA2454" s="3"/>
      <c r="AD2454" s="3"/>
      <c r="AG2454" s="3"/>
      <c r="AJ2454" s="3"/>
    </row>
    <row r="2455" spans="1:36" x14ac:dyDescent="0.25">
      <c r="A2455" s="1"/>
      <c r="B2455" s="2"/>
      <c r="AA2455" s="3"/>
      <c r="AD2455" s="3"/>
      <c r="AG2455" s="3"/>
      <c r="AJ2455" s="3"/>
    </row>
    <row r="2456" spans="1:36" x14ac:dyDescent="0.25">
      <c r="A2456" s="1"/>
      <c r="B2456" s="2"/>
      <c r="AA2456" s="3"/>
      <c r="AD2456" s="3"/>
      <c r="AG2456" s="3"/>
      <c r="AJ2456" s="3"/>
    </row>
    <row r="2457" spans="1:36" x14ac:dyDescent="0.25">
      <c r="A2457" s="1"/>
      <c r="B2457" s="2"/>
      <c r="AA2457" s="3"/>
      <c r="AD2457" s="3"/>
      <c r="AG2457" s="3"/>
      <c r="AJ2457" s="3"/>
    </row>
    <row r="2458" spans="1:36" x14ac:dyDescent="0.25">
      <c r="A2458" s="1"/>
      <c r="B2458" s="2"/>
      <c r="AA2458" s="3"/>
      <c r="AD2458" s="3"/>
      <c r="AG2458" s="3"/>
      <c r="AJ2458" s="3"/>
    </row>
    <row r="2459" spans="1:36" x14ac:dyDescent="0.25">
      <c r="A2459" s="1"/>
      <c r="B2459" s="2"/>
      <c r="AA2459" s="3"/>
      <c r="AD2459" s="3"/>
      <c r="AG2459" s="3"/>
      <c r="AJ2459" s="3"/>
    </row>
    <row r="2460" spans="1:36" x14ac:dyDescent="0.25">
      <c r="A2460" s="1"/>
      <c r="B2460" s="2"/>
      <c r="AA2460" s="3"/>
      <c r="AD2460" s="3"/>
      <c r="AG2460" s="3"/>
      <c r="AJ2460" s="3"/>
    </row>
    <row r="2461" spans="1:36" x14ac:dyDescent="0.25">
      <c r="A2461" s="1"/>
      <c r="B2461" s="2"/>
      <c r="AA2461" s="3"/>
      <c r="AD2461" s="3"/>
      <c r="AG2461" s="3"/>
      <c r="AJ2461" s="3"/>
    </row>
    <row r="2462" spans="1:36" x14ac:dyDescent="0.25">
      <c r="A2462" s="1"/>
      <c r="B2462" s="2"/>
      <c r="AA2462" s="3"/>
      <c r="AD2462" s="3"/>
      <c r="AG2462" s="3"/>
      <c r="AJ2462" s="3"/>
    </row>
    <row r="2463" spans="1:36" x14ac:dyDescent="0.25">
      <c r="A2463" s="1"/>
      <c r="B2463" s="2"/>
      <c r="AA2463" s="3"/>
      <c r="AD2463" s="3"/>
      <c r="AG2463" s="3"/>
      <c r="AJ2463" s="3"/>
    </row>
    <row r="2464" spans="1:36" x14ac:dyDescent="0.25">
      <c r="A2464" s="1"/>
      <c r="B2464" s="2"/>
      <c r="AA2464" s="3"/>
      <c r="AD2464" s="3"/>
      <c r="AG2464" s="3"/>
      <c r="AJ2464" s="3"/>
    </row>
    <row r="2465" spans="1:36" x14ac:dyDescent="0.25">
      <c r="A2465" s="1"/>
      <c r="B2465" s="2"/>
      <c r="AA2465" s="3"/>
      <c r="AD2465" s="3"/>
      <c r="AG2465" s="3"/>
      <c r="AJ2465" s="3"/>
    </row>
    <row r="2466" spans="1:36" x14ac:dyDescent="0.25">
      <c r="A2466" s="1"/>
      <c r="B2466" s="2"/>
      <c r="AA2466" s="3"/>
      <c r="AD2466" s="3"/>
      <c r="AG2466" s="3"/>
      <c r="AJ2466" s="3"/>
    </row>
    <row r="2467" spans="1:36" x14ac:dyDescent="0.25">
      <c r="A2467" s="1"/>
      <c r="B2467" s="2"/>
      <c r="AA2467" s="3"/>
      <c r="AD2467" s="3"/>
      <c r="AG2467" s="3"/>
      <c r="AJ2467" s="3"/>
    </row>
    <row r="2468" spans="1:36" x14ac:dyDescent="0.25">
      <c r="A2468" s="1"/>
      <c r="B2468" s="2"/>
      <c r="AA2468" s="3"/>
      <c r="AD2468" s="3"/>
      <c r="AG2468" s="3"/>
      <c r="AJ2468" s="3"/>
    </row>
    <row r="2469" spans="1:36" x14ac:dyDescent="0.25">
      <c r="A2469" s="1"/>
      <c r="B2469" s="2"/>
      <c r="AA2469" s="3"/>
      <c r="AD2469" s="3"/>
      <c r="AG2469" s="3"/>
      <c r="AJ2469" s="3"/>
    </row>
    <row r="2470" spans="1:36" x14ac:dyDescent="0.25">
      <c r="A2470" s="1"/>
      <c r="B2470" s="2"/>
      <c r="AA2470" s="3"/>
      <c r="AD2470" s="3"/>
      <c r="AG2470" s="3"/>
      <c r="AJ2470" s="3"/>
    </row>
    <row r="2471" spans="1:36" x14ac:dyDescent="0.25">
      <c r="A2471" s="1"/>
      <c r="B2471" s="2"/>
      <c r="AA2471" s="3"/>
      <c r="AD2471" s="3"/>
      <c r="AG2471" s="3"/>
      <c r="AJ2471" s="3"/>
    </row>
    <row r="2472" spans="1:36" x14ac:dyDescent="0.25">
      <c r="A2472" s="1"/>
      <c r="B2472" s="2"/>
      <c r="AA2472" s="3"/>
      <c r="AD2472" s="3"/>
      <c r="AG2472" s="3"/>
      <c r="AJ2472" s="3"/>
    </row>
    <row r="2473" spans="1:36" x14ac:dyDescent="0.25">
      <c r="A2473" s="1"/>
      <c r="B2473" s="2"/>
      <c r="AA2473" s="3"/>
      <c r="AD2473" s="3"/>
      <c r="AG2473" s="3"/>
      <c r="AJ2473" s="3"/>
    </row>
    <row r="2474" spans="1:36" x14ac:dyDescent="0.25">
      <c r="A2474" s="1"/>
      <c r="B2474" s="2"/>
      <c r="AA2474" s="3"/>
      <c r="AD2474" s="3"/>
      <c r="AG2474" s="3"/>
      <c r="AJ2474" s="3"/>
    </row>
    <row r="2475" spans="1:36" x14ac:dyDescent="0.25">
      <c r="A2475" s="1"/>
      <c r="B2475" s="2"/>
      <c r="AA2475" s="3"/>
      <c r="AD2475" s="3"/>
      <c r="AG2475" s="3"/>
      <c r="AJ2475" s="3"/>
    </row>
    <row r="2476" spans="1:36" x14ac:dyDescent="0.25">
      <c r="A2476" s="1"/>
      <c r="B2476" s="2"/>
      <c r="AA2476" s="3"/>
      <c r="AD2476" s="3"/>
      <c r="AG2476" s="3"/>
      <c r="AJ2476" s="3"/>
    </row>
    <row r="2477" spans="1:36" x14ac:dyDescent="0.25">
      <c r="A2477" s="1"/>
      <c r="B2477" s="2"/>
      <c r="AA2477" s="3"/>
      <c r="AD2477" s="3"/>
      <c r="AG2477" s="3"/>
      <c r="AJ2477" s="3"/>
    </row>
    <row r="2478" spans="1:36" x14ac:dyDescent="0.25">
      <c r="A2478" s="1"/>
      <c r="B2478" s="2"/>
      <c r="AA2478" s="3"/>
      <c r="AD2478" s="3"/>
      <c r="AG2478" s="3"/>
      <c r="AJ2478" s="3"/>
    </row>
    <row r="2479" spans="1:36" x14ac:dyDescent="0.25">
      <c r="A2479" s="1"/>
      <c r="B2479" s="2"/>
      <c r="AA2479" s="3"/>
      <c r="AD2479" s="3"/>
      <c r="AG2479" s="3"/>
      <c r="AJ2479" s="3"/>
    </row>
    <row r="2480" spans="1:36" x14ac:dyDescent="0.25">
      <c r="A2480" s="1"/>
      <c r="B2480" s="2"/>
      <c r="AA2480" s="3"/>
      <c r="AD2480" s="3"/>
      <c r="AG2480" s="3"/>
      <c r="AJ2480" s="3"/>
    </row>
    <row r="2481" spans="1:36" x14ac:dyDescent="0.25">
      <c r="A2481" s="1"/>
      <c r="B2481" s="2"/>
      <c r="AA2481" s="3"/>
      <c r="AD2481" s="3"/>
      <c r="AG2481" s="3"/>
      <c r="AJ2481" s="3"/>
    </row>
    <row r="2482" spans="1:36" x14ac:dyDescent="0.25">
      <c r="A2482" s="1"/>
      <c r="B2482" s="2"/>
      <c r="AA2482" s="3"/>
      <c r="AD2482" s="3"/>
      <c r="AG2482" s="3"/>
      <c r="AJ2482" s="3"/>
    </row>
    <row r="2483" spans="1:36" x14ac:dyDescent="0.25">
      <c r="A2483" s="1"/>
      <c r="B2483" s="2"/>
      <c r="AA2483" s="3"/>
      <c r="AD2483" s="3"/>
      <c r="AG2483" s="3"/>
      <c r="AJ2483" s="3"/>
    </row>
    <row r="2484" spans="1:36" x14ac:dyDescent="0.25">
      <c r="A2484" s="1"/>
      <c r="B2484" s="2"/>
      <c r="AA2484" s="3"/>
      <c r="AD2484" s="3"/>
      <c r="AG2484" s="3"/>
      <c r="AJ2484" s="3"/>
    </row>
    <row r="2485" spans="1:36" x14ac:dyDescent="0.25">
      <c r="A2485" s="1"/>
      <c r="B2485" s="2"/>
      <c r="AA2485" s="3"/>
      <c r="AD2485" s="3"/>
      <c r="AG2485" s="3"/>
      <c r="AJ2485" s="3"/>
    </row>
    <row r="2486" spans="1:36" x14ac:dyDescent="0.25">
      <c r="A2486" s="1"/>
      <c r="B2486" s="2"/>
      <c r="AA2486" s="3"/>
      <c r="AD2486" s="3"/>
      <c r="AG2486" s="3"/>
      <c r="AJ2486" s="3"/>
    </row>
    <row r="2487" spans="1:36" x14ac:dyDescent="0.25">
      <c r="A2487" s="1"/>
      <c r="B2487" s="2"/>
      <c r="AA2487" s="3"/>
      <c r="AD2487" s="3"/>
      <c r="AG2487" s="3"/>
      <c r="AJ2487" s="3"/>
    </row>
    <row r="2488" spans="1:36" x14ac:dyDescent="0.25">
      <c r="A2488" s="1"/>
      <c r="B2488" s="2"/>
      <c r="AA2488" s="3"/>
      <c r="AD2488" s="3"/>
      <c r="AG2488" s="3"/>
      <c r="AJ2488" s="3"/>
    </row>
    <row r="2489" spans="1:36" x14ac:dyDescent="0.25">
      <c r="A2489" s="1"/>
      <c r="B2489" s="2"/>
      <c r="AA2489" s="3"/>
      <c r="AD2489" s="3"/>
      <c r="AG2489" s="3"/>
      <c r="AJ2489" s="3"/>
    </row>
    <row r="2490" spans="1:36" x14ac:dyDescent="0.25">
      <c r="A2490" s="1"/>
      <c r="B2490" s="2"/>
      <c r="AA2490" s="3"/>
      <c r="AD2490" s="3"/>
      <c r="AG2490" s="3"/>
      <c r="AJ2490" s="3"/>
    </row>
    <row r="2491" spans="1:36" x14ac:dyDescent="0.25">
      <c r="A2491" s="1"/>
      <c r="B2491" s="2"/>
      <c r="AA2491" s="3"/>
      <c r="AD2491" s="3"/>
      <c r="AG2491" s="3"/>
      <c r="AJ2491" s="3"/>
    </row>
    <row r="2492" spans="1:36" x14ac:dyDescent="0.25">
      <c r="A2492" s="1"/>
      <c r="B2492" s="2"/>
      <c r="AA2492" s="3"/>
      <c r="AD2492" s="3"/>
      <c r="AG2492" s="3"/>
      <c r="AJ2492" s="3"/>
    </row>
    <row r="2493" spans="1:36" x14ac:dyDescent="0.25">
      <c r="A2493" s="1"/>
      <c r="B2493" s="2"/>
      <c r="AA2493" s="3"/>
      <c r="AD2493" s="3"/>
      <c r="AG2493" s="3"/>
      <c r="AJ2493" s="3"/>
    </row>
    <row r="2494" spans="1:36" x14ac:dyDescent="0.25">
      <c r="A2494" s="1"/>
      <c r="B2494" s="2"/>
      <c r="AA2494" s="3"/>
      <c r="AD2494" s="3"/>
      <c r="AG2494" s="3"/>
      <c r="AJ2494" s="3"/>
    </row>
    <row r="2495" spans="1:36" x14ac:dyDescent="0.25">
      <c r="A2495" s="1"/>
      <c r="B2495" s="2"/>
      <c r="AA2495" s="3"/>
      <c r="AD2495" s="3"/>
      <c r="AG2495" s="3"/>
      <c r="AJ2495" s="3"/>
    </row>
    <row r="2496" spans="1:36" x14ac:dyDescent="0.25">
      <c r="A2496" s="1"/>
      <c r="B2496" s="2"/>
      <c r="AA2496" s="3"/>
      <c r="AD2496" s="3"/>
      <c r="AG2496" s="3"/>
      <c r="AJ2496" s="3"/>
    </row>
    <row r="2497" spans="1:36" x14ac:dyDescent="0.25">
      <c r="A2497" s="1"/>
      <c r="B2497" s="2"/>
      <c r="AA2497" s="3"/>
      <c r="AD2497" s="3"/>
      <c r="AG2497" s="3"/>
      <c r="AJ2497" s="3"/>
    </row>
    <row r="2498" spans="1:36" x14ac:dyDescent="0.25">
      <c r="A2498" s="1"/>
      <c r="B2498" s="2"/>
      <c r="AA2498" s="3"/>
      <c r="AD2498" s="3"/>
      <c r="AG2498" s="3"/>
      <c r="AJ2498" s="3"/>
    </row>
    <row r="2499" spans="1:36" x14ac:dyDescent="0.25">
      <c r="A2499" s="1"/>
      <c r="B2499" s="2"/>
      <c r="AA2499" s="3"/>
      <c r="AD2499" s="3"/>
      <c r="AG2499" s="3"/>
      <c r="AJ2499" s="3"/>
    </row>
    <row r="2500" spans="1:36" x14ac:dyDescent="0.25">
      <c r="A2500" s="1"/>
      <c r="B2500" s="2"/>
      <c r="AA2500" s="3"/>
      <c r="AD2500" s="3"/>
      <c r="AG2500" s="3"/>
      <c r="AJ2500" s="3"/>
    </row>
    <row r="2501" spans="1:36" x14ac:dyDescent="0.25">
      <c r="A2501" s="1"/>
      <c r="B2501" s="2"/>
      <c r="AA2501" s="3"/>
      <c r="AD2501" s="3"/>
      <c r="AG2501" s="3"/>
      <c r="AJ2501" s="3"/>
    </row>
    <row r="2502" spans="1:36" x14ac:dyDescent="0.25">
      <c r="A2502" s="1"/>
      <c r="B2502" s="2"/>
      <c r="AA2502" s="3"/>
      <c r="AD2502" s="3"/>
      <c r="AG2502" s="3"/>
      <c r="AJ2502" s="3"/>
    </row>
    <row r="2503" spans="1:36" x14ac:dyDescent="0.25">
      <c r="A2503" s="1"/>
      <c r="B2503" s="2"/>
      <c r="AA2503" s="3"/>
      <c r="AD2503" s="3"/>
      <c r="AG2503" s="3"/>
      <c r="AJ2503" s="3"/>
    </row>
    <row r="2504" spans="1:36" x14ac:dyDescent="0.25">
      <c r="A2504" s="1"/>
      <c r="B2504" s="2"/>
      <c r="AA2504" s="3"/>
      <c r="AD2504" s="3"/>
      <c r="AG2504" s="3"/>
      <c r="AJ2504" s="3"/>
    </row>
    <row r="2505" spans="1:36" x14ac:dyDescent="0.25">
      <c r="A2505" s="1"/>
      <c r="B2505" s="2"/>
      <c r="AA2505" s="3"/>
      <c r="AD2505" s="3"/>
      <c r="AG2505" s="3"/>
      <c r="AJ2505" s="3"/>
    </row>
    <row r="2506" spans="1:36" x14ac:dyDescent="0.25">
      <c r="A2506" s="1"/>
      <c r="B2506" s="2"/>
      <c r="AA2506" s="3"/>
      <c r="AD2506" s="3"/>
      <c r="AG2506" s="3"/>
      <c r="AJ2506" s="3"/>
    </row>
    <row r="2507" spans="1:36" x14ac:dyDescent="0.25">
      <c r="A2507" s="1"/>
      <c r="B2507" s="2"/>
      <c r="AA2507" s="3"/>
      <c r="AD2507" s="3"/>
      <c r="AG2507" s="3"/>
      <c r="AJ2507" s="3"/>
    </row>
    <row r="2508" spans="1:36" x14ac:dyDescent="0.25">
      <c r="A2508" s="1"/>
      <c r="B2508" s="2"/>
      <c r="AA2508" s="3"/>
      <c r="AD2508" s="3"/>
      <c r="AG2508" s="3"/>
      <c r="AJ2508" s="3"/>
    </row>
    <row r="2509" spans="1:36" x14ac:dyDescent="0.25">
      <c r="A2509" s="1"/>
      <c r="B2509" s="2"/>
      <c r="AA2509" s="3"/>
      <c r="AD2509" s="3"/>
      <c r="AG2509" s="3"/>
      <c r="AJ2509" s="3"/>
    </row>
    <row r="2510" spans="1:36" x14ac:dyDescent="0.25">
      <c r="A2510" s="1"/>
      <c r="B2510" s="2"/>
      <c r="AA2510" s="3"/>
      <c r="AD2510" s="3"/>
      <c r="AG2510" s="3"/>
      <c r="AJ2510" s="3"/>
    </row>
    <row r="2511" spans="1:36" x14ac:dyDescent="0.25">
      <c r="A2511" s="1"/>
      <c r="B2511" s="2"/>
      <c r="AA2511" s="3"/>
      <c r="AD2511" s="3"/>
      <c r="AG2511" s="3"/>
      <c r="AJ2511" s="3"/>
    </row>
    <row r="2512" spans="1:36" x14ac:dyDescent="0.25">
      <c r="A2512" s="1"/>
      <c r="B2512" s="2"/>
      <c r="AA2512" s="3"/>
      <c r="AD2512" s="3"/>
      <c r="AG2512" s="3"/>
      <c r="AJ2512" s="3"/>
    </row>
    <row r="2513" spans="1:36" x14ac:dyDescent="0.25">
      <c r="A2513" s="1"/>
      <c r="B2513" s="2"/>
      <c r="AA2513" s="3"/>
      <c r="AD2513" s="3"/>
      <c r="AG2513" s="3"/>
      <c r="AJ2513" s="3"/>
    </row>
    <row r="2514" spans="1:36" x14ac:dyDescent="0.25">
      <c r="A2514" s="1"/>
      <c r="B2514" s="2"/>
      <c r="AA2514" s="3"/>
      <c r="AD2514" s="3"/>
      <c r="AG2514" s="3"/>
      <c r="AJ2514" s="3"/>
    </row>
    <row r="2515" spans="1:36" x14ac:dyDescent="0.25">
      <c r="A2515" s="1"/>
      <c r="B2515" s="2"/>
      <c r="AA2515" s="3"/>
      <c r="AD2515" s="3"/>
      <c r="AG2515" s="3"/>
      <c r="AJ2515" s="3"/>
    </row>
    <row r="2516" spans="1:36" x14ac:dyDescent="0.25">
      <c r="A2516" s="1"/>
      <c r="B2516" s="2"/>
      <c r="AA2516" s="3"/>
      <c r="AD2516" s="3"/>
      <c r="AG2516" s="3"/>
      <c r="AJ2516" s="3"/>
    </row>
    <row r="2517" spans="1:36" x14ac:dyDescent="0.25">
      <c r="A2517" s="1"/>
      <c r="B2517" s="2"/>
      <c r="AA2517" s="3"/>
      <c r="AD2517" s="3"/>
      <c r="AG2517" s="3"/>
      <c r="AJ2517" s="3"/>
    </row>
    <row r="2518" spans="1:36" x14ac:dyDescent="0.25">
      <c r="A2518" s="1"/>
      <c r="B2518" s="2"/>
      <c r="AA2518" s="3"/>
      <c r="AD2518" s="3"/>
      <c r="AG2518" s="3"/>
      <c r="AJ2518" s="3"/>
    </row>
    <row r="2519" spans="1:36" x14ac:dyDescent="0.25">
      <c r="A2519" s="1"/>
      <c r="B2519" s="2"/>
      <c r="AA2519" s="3"/>
      <c r="AD2519" s="3"/>
      <c r="AG2519" s="3"/>
      <c r="AJ2519" s="3"/>
    </row>
    <row r="2520" spans="1:36" x14ac:dyDescent="0.25">
      <c r="A2520" s="1"/>
      <c r="B2520" s="2"/>
      <c r="AA2520" s="3"/>
      <c r="AD2520" s="3"/>
      <c r="AG2520" s="3"/>
      <c r="AJ2520" s="3"/>
    </row>
    <row r="2521" spans="1:36" x14ac:dyDescent="0.25">
      <c r="A2521" s="1"/>
      <c r="B2521" s="2"/>
      <c r="AA2521" s="3"/>
      <c r="AD2521" s="3"/>
      <c r="AG2521" s="3"/>
      <c r="AJ2521" s="3"/>
    </row>
    <row r="2522" spans="1:36" x14ac:dyDescent="0.25">
      <c r="A2522" s="1"/>
      <c r="B2522" s="2"/>
      <c r="AA2522" s="3"/>
      <c r="AD2522" s="3"/>
      <c r="AG2522" s="3"/>
      <c r="AJ2522" s="3"/>
    </row>
    <row r="2523" spans="1:36" x14ac:dyDescent="0.25">
      <c r="A2523" s="1"/>
      <c r="B2523" s="2"/>
      <c r="AA2523" s="3"/>
      <c r="AD2523" s="3"/>
      <c r="AG2523" s="3"/>
      <c r="AJ2523" s="3"/>
    </row>
    <row r="2524" spans="1:36" x14ac:dyDescent="0.25">
      <c r="A2524" s="1"/>
      <c r="B2524" s="2"/>
      <c r="AA2524" s="3"/>
      <c r="AD2524" s="3"/>
      <c r="AG2524" s="3"/>
      <c r="AJ2524" s="3"/>
    </row>
    <row r="2525" spans="1:36" x14ac:dyDescent="0.25">
      <c r="A2525" s="1"/>
      <c r="B2525" s="2"/>
      <c r="AA2525" s="3"/>
      <c r="AD2525" s="3"/>
      <c r="AG2525" s="3"/>
      <c r="AJ2525" s="3"/>
    </row>
    <row r="2526" spans="1:36" x14ac:dyDescent="0.25">
      <c r="A2526" s="1"/>
      <c r="B2526" s="2"/>
      <c r="AA2526" s="3"/>
      <c r="AD2526" s="3"/>
      <c r="AG2526" s="3"/>
      <c r="AJ2526" s="3"/>
    </row>
    <row r="2527" spans="1:36" x14ac:dyDescent="0.25">
      <c r="A2527" s="1"/>
      <c r="B2527" s="2"/>
      <c r="AA2527" s="3"/>
      <c r="AD2527" s="3"/>
      <c r="AG2527" s="3"/>
      <c r="AJ2527" s="3"/>
    </row>
    <row r="2528" spans="1:36" x14ac:dyDescent="0.25">
      <c r="A2528" s="1"/>
      <c r="B2528" s="2"/>
      <c r="AA2528" s="3"/>
      <c r="AD2528" s="3"/>
      <c r="AG2528" s="3"/>
      <c r="AJ2528" s="3"/>
    </row>
    <row r="2529" spans="1:36" x14ac:dyDescent="0.25">
      <c r="A2529" s="1"/>
      <c r="B2529" s="2"/>
      <c r="AA2529" s="3"/>
      <c r="AD2529" s="3"/>
      <c r="AG2529" s="3"/>
      <c r="AJ2529" s="3"/>
    </row>
    <row r="2530" spans="1:36" x14ac:dyDescent="0.25">
      <c r="A2530" s="1"/>
      <c r="B2530" s="2"/>
      <c r="AA2530" s="3"/>
      <c r="AD2530" s="3"/>
      <c r="AG2530" s="3"/>
      <c r="AJ2530" s="3"/>
    </row>
    <row r="2531" spans="1:36" x14ac:dyDescent="0.25">
      <c r="A2531" s="1"/>
      <c r="B2531" s="2"/>
      <c r="AA2531" s="3"/>
      <c r="AD2531" s="3"/>
      <c r="AG2531" s="3"/>
      <c r="AJ2531" s="3"/>
    </row>
    <row r="2532" spans="1:36" x14ac:dyDescent="0.25">
      <c r="A2532" s="1"/>
      <c r="B2532" s="2"/>
      <c r="AA2532" s="3"/>
      <c r="AD2532" s="3"/>
      <c r="AG2532" s="3"/>
      <c r="AJ2532" s="3"/>
    </row>
    <row r="2533" spans="1:36" x14ac:dyDescent="0.25">
      <c r="A2533" s="1"/>
      <c r="B2533" s="2"/>
      <c r="AA2533" s="3"/>
      <c r="AD2533" s="3"/>
      <c r="AG2533" s="3"/>
      <c r="AJ2533" s="3"/>
    </row>
    <row r="2534" spans="1:36" x14ac:dyDescent="0.25">
      <c r="A2534" s="1"/>
      <c r="B2534" s="2"/>
      <c r="AA2534" s="3"/>
      <c r="AD2534" s="3"/>
      <c r="AG2534" s="3"/>
      <c r="AJ2534" s="3"/>
    </row>
    <row r="2535" spans="1:36" x14ac:dyDescent="0.25">
      <c r="A2535" s="1"/>
      <c r="B2535" s="2"/>
      <c r="AA2535" s="3"/>
      <c r="AD2535" s="3"/>
      <c r="AG2535" s="3"/>
      <c r="AJ2535" s="3"/>
    </row>
    <row r="2536" spans="1:36" x14ac:dyDescent="0.25">
      <c r="A2536" s="1"/>
      <c r="B2536" s="2"/>
      <c r="AA2536" s="3"/>
      <c r="AD2536" s="3"/>
      <c r="AG2536" s="3"/>
      <c r="AJ2536" s="3"/>
    </row>
    <row r="2537" spans="1:36" x14ac:dyDescent="0.25">
      <c r="A2537" s="1"/>
      <c r="B2537" s="2"/>
      <c r="AA2537" s="3"/>
      <c r="AD2537" s="3"/>
      <c r="AG2537" s="3"/>
      <c r="AJ2537" s="3"/>
    </row>
    <row r="2538" spans="1:36" x14ac:dyDescent="0.25">
      <c r="A2538" s="1"/>
      <c r="B2538" s="2"/>
      <c r="AA2538" s="3"/>
      <c r="AD2538" s="3"/>
      <c r="AG2538" s="3"/>
      <c r="AJ2538" s="3"/>
    </row>
    <row r="2539" spans="1:36" x14ac:dyDescent="0.25">
      <c r="A2539" s="1"/>
      <c r="B2539" s="2"/>
      <c r="AA2539" s="3"/>
      <c r="AD2539" s="3"/>
      <c r="AG2539" s="3"/>
      <c r="AJ2539" s="3"/>
    </row>
    <row r="2540" spans="1:36" x14ac:dyDescent="0.25">
      <c r="A2540" s="1"/>
      <c r="B2540" s="2"/>
      <c r="AA2540" s="3"/>
      <c r="AD2540" s="3"/>
      <c r="AG2540" s="3"/>
      <c r="AJ2540" s="3"/>
    </row>
    <row r="2541" spans="1:36" x14ac:dyDescent="0.25">
      <c r="A2541" s="1"/>
      <c r="B2541" s="2"/>
      <c r="AA2541" s="3"/>
      <c r="AD2541" s="3"/>
      <c r="AG2541" s="3"/>
      <c r="AJ2541" s="3"/>
    </row>
    <row r="2542" spans="1:36" x14ac:dyDescent="0.25">
      <c r="A2542" s="1"/>
      <c r="B2542" s="2"/>
      <c r="AA2542" s="3"/>
      <c r="AD2542" s="3"/>
      <c r="AG2542" s="3"/>
      <c r="AJ2542" s="3"/>
    </row>
    <row r="2543" spans="1:36" x14ac:dyDescent="0.25">
      <c r="A2543" s="1"/>
      <c r="B2543" s="2"/>
      <c r="AA2543" s="3"/>
      <c r="AD2543" s="3"/>
      <c r="AG2543" s="3"/>
      <c r="AJ2543" s="3"/>
    </row>
    <row r="2544" spans="1:36" x14ac:dyDescent="0.25">
      <c r="A2544" s="1"/>
      <c r="B2544" s="2"/>
      <c r="AA2544" s="3"/>
      <c r="AD2544" s="3"/>
      <c r="AG2544" s="3"/>
      <c r="AJ2544" s="3"/>
    </row>
    <row r="2545" spans="1:36" x14ac:dyDescent="0.25">
      <c r="A2545" s="1"/>
      <c r="B2545" s="2"/>
      <c r="AA2545" s="3"/>
      <c r="AD2545" s="3"/>
      <c r="AG2545" s="3"/>
      <c r="AJ2545" s="3"/>
    </row>
    <row r="2546" spans="1:36" x14ac:dyDescent="0.25">
      <c r="A2546" s="1"/>
      <c r="B2546" s="2"/>
      <c r="AA2546" s="3"/>
      <c r="AD2546" s="3"/>
      <c r="AG2546" s="3"/>
      <c r="AJ2546" s="3"/>
    </row>
    <row r="2547" spans="1:36" x14ac:dyDescent="0.25">
      <c r="A2547" s="1"/>
      <c r="B2547" s="2"/>
      <c r="AA2547" s="3"/>
      <c r="AD2547" s="3"/>
      <c r="AG2547" s="3"/>
      <c r="AJ2547" s="3"/>
    </row>
    <row r="2548" spans="1:36" x14ac:dyDescent="0.25">
      <c r="A2548" s="1"/>
      <c r="B2548" s="2"/>
      <c r="AA2548" s="3"/>
      <c r="AD2548" s="3"/>
      <c r="AG2548" s="3"/>
      <c r="AJ2548" s="3"/>
    </row>
    <row r="2549" spans="1:36" x14ac:dyDescent="0.25">
      <c r="A2549" s="1"/>
      <c r="B2549" s="2"/>
      <c r="AA2549" s="3"/>
      <c r="AD2549" s="3"/>
      <c r="AG2549" s="3"/>
      <c r="AJ2549" s="3"/>
    </row>
    <row r="2550" spans="1:36" x14ac:dyDescent="0.25">
      <c r="A2550" s="1"/>
      <c r="B2550" s="2"/>
      <c r="AA2550" s="3"/>
      <c r="AD2550" s="3"/>
      <c r="AG2550" s="3"/>
      <c r="AJ2550" s="3"/>
    </row>
    <row r="2551" spans="1:36" x14ac:dyDescent="0.25">
      <c r="A2551" s="1"/>
      <c r="B2551" s="2"/>
      <c r="AA2551" s="3"/>
      <c r="AD2551" s="3"/>
      <c r="AG2551" s="3"/>
      <c r="AJ2551" s="3"/>
    </row>
    <row r="2552" spans="1:36" x14ac:dyDescent="0.25">
      <c r="A2552" s="1"/>
      <c r="B2552" s="2"/>
      <c r="AA2552" s="3"/>
      <c r="AD2552" s="3"/>
      <c r="AG2552" s="3"/>
      <c r="AJ2552" s="3"/>
    </row>
    <row r="2553" spans="1:36" x14ac:dyDescent="0.25">
      <c r="A2553" s="1"/>
      <c r="B2553" s="2"/>
      <c r="AA2553" s="3"/>
      <c r="AD2553" s="3"/>
      <c r="AG2553" s="3"/>
      <c r="AJ2553" s="3"/>
    </row>
    <row r="2554" spans="1:36" x14ac:dyDescent="0.25">
      <c r="A2554" s="1"/>
      <c r="B2554" s="2"/>
      <c r="AA2554" s="3"/>
      <c r="AD2554" s="3"/>
      <c r="AG2554" s="3"/>
      <c r="AJ2554" s="3"/>
    </row>
    <row r="2555" spans="1:36" x14ac:dyDescent="0.25">
      <c r="A2555" s="1"/>
      <c r="B2555" s="2"/>
      <c r="AA2555" s="3"/>
      <c r="AD2555" s="3"/>
      <c r="AG2555" s="3"/>
      <c r="AJ2555" s="3"/>
    </row>
    <row r="2556" spans="1:36" x14ac:dyDescent="0.25">
      <c r="A2556" s="1"/>
      <c r="B2556" s="2"/>
      <c r="AA2556" s="3"/>
      <c r="AD2556" s="3"/>
      <c r="AG2556" s="3"/>
      <c r="AJ2556" s="3"/>
    </row>
    <row r="2557" spans="1:36" x14ac:dyDescent="0.25">
      <c r="A2557" s="1"/>
      <c r="B2557" s="2"/>
      <c r="AA2557" s="3"/>
      <c r="AD2557" s="3"/>
      <c r="AG2557" s="3"/>
      <c r="AJ2557" s="3"/>
    </row>
    <row r="2558" spans="1:36" x14ac:dyDescent="0.25">
      <c r="A2558" s="1"/>
      <c r="B2558" s="2"/>
      <c r="AA2558" s="3"/>
      <c r="AD2558" s="3"/>
      <c r="AG2558" s="3"/>
      <c r="AJ2558" s="3"/>
    </row>
    <row r="2559" spans="1:36" x14ac:dyDescent="0.25">
      <c r="A2559" s="1"/>
      <c r="B2559" s="2"/>
      <c r="AA2559" s="3"/>
      <c r="AD2559" s="3"/>
      <c r="AG2559" s="3"/>
      <c r="AJ2559" s="3"/>
    </row>
    <row r="2560" spans="1:36" x14ac:dyDescent="0.25">
      <c r="A2560" s="1"/>
      <c r="B2560" s="2"/>
      <c r="AA2560" s="3"/>
      <c r="AD2560" s="3"/>
      <c r="AG2560" s="3"/>
      <c r="AJ2560" s="3"/>
    </row>
    <row r="2561" spans="1:36" x14ac:dyDescent="0.25">
      <c r="A2561" s="1"/>
      <c r="B2561" s="2"/>
      <c r="AA2561" s="3"/>
      <c r="AD2561" s="3"/>
      <c r="AG2561" s="3"/>
      <c r="AJ2561" s="3"/>
    </row>
    <row r="2562" spans="1:36" x14ac:dyDescent="0.25">
      <c r="A2562" s="1"/>
      <c r="B2562" s="2"/>
      <c r="AA2562" s="3"/>
      <c r="AD2562" s="3"/>
      <c r="AG2562" s="3"/>
      <c r="AJ2562" s="3"/>
    </row>
    <row r="2563" spans="1:36" x14ac:dyDescent="0.25">
      <c r="A2563" s="1"/>
      <c r="B2563" s="2"/>
      <c r="AA2563" s="3"/>
      <c r="AD2563" s="3"/>
      <c r="AG2563" s="3"/>
      <c r="AJ2563" s="3"/>
    </row>
    <row r="2564" spans="1:36" x14ac:dyDescent="0.25">
      <c r="A2564" s="1"/>
      <c r="B2564" s="2"/>
      <c r="AA2564" s="3"/>
      <c r="AD2564" s="3"/>
      <c r="AG2564" s="3"/>
      <c r="AJ2564" s="3"/>
    </row>
    <row r="2565" spans="1:36" x14ac:dyDescent="0.25">
      <c r="A2565" s="1"/>
      <c r="B2565" s="2"/>
      <c r="AA2565" s="3"/>
      <c r="AD2565" s="3"/>
      <c r="AG2565" s="3"/>
      <c r="AJ2565" s="3"/>
    </row>
    <row r="2566" spans="1:36" x14ac:dyDescent="0.25">
      <c r="A2566" s="1"/>
      <c r="B2566" s="2"/>
      <c r="AA2566" s="3"/>
      <c r="AD2566" s="3"/>
      <c r="AG2566" s="3"/>
      <c r="AJ2566" s="3"/>
    </row>
    <row r="2567" spans="1:36" x14ac:dyDescent="0.25">
      <c r="A2567" s="1"/>
      <c r="B2567" s="2"/>
      <c r="AA2567" s="3"/>
      <c r="AD2567" s="3"/>
      <c r="AG2567" s="3"/>
      <c r="AJ2567" s="3"/>
    </row>
    <row r="2568" spans="1:36" x14ac:dyDescent="0.25">
      <c r="A2568" s="1"/>
      <c r="B2568" s="2"/>
      <c r="AA2568" s="3"/>
      <c r="AD2568" s="3"/>
      <c r="AG2568" s="3"/>
      <c r="AJ2568" s="3"/>
    </row>
    <row r="2569" spans="1:36" x14ac:dyDescent="0.25">
      <c r="A2569" s="1"/>
      <c r="B2569" s="2"/>
      <c r="AA2569" s="3"/>
      <c r="AD2569" s="3"/>
      <c r="AG2569" s="3"/>
      <c r="AJ2569" s="3"/>
    </row>
    <row r="2570" spans="1:36" x14ac:dyDescent="0.25">
      <c r="A2570" s="1"/>
      <c r="B2570" s="2"/>
      <c r="AA2570" s="3"/>
      <c r="AD2570" s="3"/>
      <c r="AG2570" s="3"/>
      <c r="AJ2570" s="3"/>
    </row>
    <row r="2571" spans="1:36" x14ac:dyDescent="0.25">
      <c r="A2571" s="1"/>
      <c r="B2571" s="2"/>
      <c r="AA2571" s="3"/>
      <c r="AD2571" s="3"/>
      <c r="AG2571" s="3"/>
      <c r="AJ2571" s="3"/>
    </row>
    <row r="2572" spans="1:36" x14ac:dyDescent="0.25">
      <c r="A2572" s="1"/>
      <c r="B2572" s="2"/>
      <c r="AA2572" s="3"/>
      <c r="AD2572" s="3"/>
      <c r="AG2572" s="3"/>
      <c r="AJ2572" s="3"/>
    </row>
    <row r="2573" spans="1:36" x14ac:dyDescent="0.25">
      <c r="A2573" s="1"/>
      <c r="B2573" s="2"/>
      <c r="AA2573" s="3"/>
      <c r="AD2573" s="3"/>
      <c r="AG2573" s="3"/>
      <c r="AJ2573" s="3"/>
    </row>
    <row r="2574" spans="1:36" x14ac:dyDescent="0.25">
      <c r="A2574" s="1"/>
      <c r="B2574" s="2"/>
      <c r="AA2574" s="3"/>
      <c r="AD2574" s="3"/>
      <c r="AG2574" s="3"/>
      <c r="AJ2574" s="3"/>
    </row>
    <row r="2575" spans="1:36" x14ac:dyDescent="0.25">
      <c r="A2575" s="1"/>
      <c r="B2575" s="2"/>
      <c r="AA2575" s="3"/>
      <c r="AD2575" s="3"/>
      <c r="AG2575" s="3"/>
      <c r="AJ2575" s="3"/>
    </row>
    <row r="2576" spans="1:36" x14ac:dyDescent="0.25">
      <c r="A2576" s="1"/>
      <c r="B2576" s="2"/>
      <c r="AA2576" s="3"/>
      <c r="AD2576" s="3"/>
      <c r="AG2576" s="3"/>
      <c r="AJ2576" s="3"/>
    </row>
    <row r="2577" spans="1:36" x14ac:dyDescent="0.25">
      <c r="A2577" s="1"/>
      <c r="B2577" s="2"/>
      <c r="AA2577" s="3"/>
      <c r="AD2577" s="3"/>
      <c r="AG2577" s="3"/>
      <c r="AJ2577" s="3"/>
    </row>
    <row r="2578" spans="1:36" x14ac:dyDescent="0.25">
      <c r="A2578" s="1"/>
      <c r="B2578" s="2"/>
      <c r="AA2578" s="3"/>
      <c r="AD2578" s="3"/>
      <c r="AG2578" s="3"/>
      <c r="AJ2578" s="3"/>
    </row>
    <row r="2579" spans="1:36" x14ac:dyDescent="0.25">
      <c r="A2579" s="1"/>
      <c r="B2579" s="2"/>
      <c r="AA2579" s="3"/>
      <c r="AD2579" s="3"/>
      <c r="AG2579" s="3"/>
      <c r="AJ2579" s="3"/>
    </row>
    <row r="2580" spans="1:36" x14ac:dyDescent="0.25">
      <c r="A2580" s="1"/>
      <c r="B2580" s="2"/>
      <c r="AA2580" s="3"/>
      <c r="AD2580" s="3"/>
      <c r="AG2580" s="3"/>
      <c r="AJ2580" s="3"/>
    </row>
    <row r="2581" spans="1:36" x14ac:dyDescent="0.25">
      <c r="A2581" s="1"/>
      <c r="B2581" s="2"/>
      <c r="AA2581" s="3"/>
      <c r="AD2581" s="3"/>
      <c r="AG2581" s="3"/>
      <c r="AJ2581" s="3"/>
    </row>
    <row r="2582" spans="1:36" x14ac:dyDescent="0.25">
      <c r="A2582" s="1"/>
      <c r="B2582" s="2"/>
      <c r="AA2582" s="3"/>
      <c r="AD2582" s="3"/>
      <c r="AG2582" s="3"/>
      <c r="AJ2582" s="3"/>
    </row>
    <row r="2583" spans="1:36" x14ac:dyDescent="0.25">
      <c r="A2583" s="1"/>
      <c r="B2583" s="2"/>
      <c r="AA2583" s="3"/>
      <c r="AD2583" s="3"/>
      <c r="AG2583" s="3"/>
      <c r="AJ2583" s="3"/>
    </row>
    <row r="2584" spans="1:36" x14ac:dyDescent="0.25">
      <c r="A2584" s="1"/>
      <c r="B2584" s="2"/>
      <c r="AA2584" s="3"/>
      <c r="AD2584" s="3"/>
      <c r="AG2584" s="3"/>
      <c r="AJ2584" s="3"/>
    </row>
    <row r="2585" spans="1:36" x14ac:dyDescent="0.25">
      <c r="A2585" s="1"/>
      <c r="B2585" s="2"/>
      <c r="AA2585" s="3"/>
      <c r="AD2585" s="3"/>
      <c r="AG2585" s="3"/>
      <c r="AJ2585" s="3"/>
    </row>
    <row r="2586" spans="1:36" x14ac:dyDescent="0.25">
      <c r="A2586" s="1"/>
      <c r="B2586" s="2"/>
      <c r="AA2586" s="3"/>
      <c r="AD2586" s="3"/>
      <c r="AG2586" s="3"/>
      <c r="AJ2586" s="3"/>
    </row>
    <row r="2587" spans="1:36" x14ac:dyDescent="0.25">
      <c r="A2587" s="1"/>
      <c r="B2587" s="2"/>
      <c r="AA2587" s="3"/>
      <c r="AD2587" s="3"/>
      <c r="AG2587" s="3"/>
      <c r="AJ2587" s="3"/>
    </row>
    <row r="2588" spans="1:36" x14ac:dyDescent="0.25">
      <c r="A2588" s="1"/>
      <c r="B2588" s="2"/>
      <c r="AA2588" s="3"/>
      <c r="AD2588" s="3"/>
      <c r="AG2588" s="3"/>
      <c r="AJ2588" s="3"/>
    </row>
    <row r="2589" spans="1:36" x14ac:dyDescent="0.25">
      <c r="A2589" s="1"/>
      <c r="B2589" s="2"/>
      <c r="AA2589" s="3"/>
      <c r="AD2589" s="3"/>
      <c r="AG2589" s="3"/>
      <c r="AJ2589" s="3"/>
    </row>
    <row r="2590" spans="1:36" x14ac:dyDescent="0.25">
      <c r="A2590" s="1"/>
      <c r="B2590" s="2"/>
      <c r="AA2590" s="3"/>
      <c r="AD2590" s="3"/>
      <c r="AG2590" s="3"/>
      <c r="AJ2590" s="3"/>
    </row>
    <row r="2591" spans="1:36" x14ac:dyDescent="0.25">
      <c r="A2591" s="1"/>
      <c r="B2591" s="2"/>
      <c r="AA2591" s="3"/>
      <c r="AD2591" s="3"/>
      <c r="AG2591" s="3"/>
      <c r="AJ2591" s="3"/>
    </row>
    <row r="2592" spans="1:36" x14ac:dyDescent="0.25">
      <c r="A2592" s="1"/>
      <c r="B2592" s="2"/>
      <c r="AA2592" s="3"/>
      <c r="AD2592" s="3"/>
      <c r="AG2592" s="3"/>
      <c r="AJ2592" s="3"/>
    </row>
    <row r="2593" spans="1:36" x14ac:dyDescent="0.25">
      <c r="A2593" s="1"/>
      <c r="B2593" s="2"/>
      <c r="AA2593" s="3"/>
      <c r="AD2593" s="3"/>
      <c r="AG2593" s="3"/>
      <c r="AJ2593" s="3"/>
    </row>
    <row r="2594" spans="1:36" x14ac:dyDescent="0.25">
      <c r="A2594" s="1"/>
      <c r="B2594" s="2"/>
      <c r="AA2594" s="3"/>
      <c r="AD2594" s="3"/>
      <c r="AG2594" s="3"/>
      <c r="AJ2594" s="3"/>
    </row>
    <row r="2595" spans="1:36" x14ac:dyDescent="0.25">
      <c r="A2595" s="1"/>
      <c r="B2595" s="2"/>
      <c r="AA2595" s="3"/>
      <c r="AD2595" s="3"/>
      <c r="AG2595" s="3"/>
      <c r="AJ2595" s="3"/>
    </row>
    <row r="2596" spans="1:36" x14ac:dyDescent="0.25">
      <c r="A2596" s="1"/>
      <c r="B2596" s="2"/>
      <c r="AA2596" s="3"/>
      <c r="AD2596" s="3"/>
      <c r="AG2596" s="3"/>
      <c r="AJ2596" s="3"/>
    </row>
    <row r="2597" spans="1:36" x14ac:dyDescent="0.25">
      <c r="A2597" s="1"/>
      <c r="B2597" s="2"/>
      <c r="AA2597" s="3"/>
      <c r="AD2597" s="3"/>
      <c r="AG2597" s="3"/>
      <c r="AJ2597" s="3"/>
    </row>
    <row r="2598" spans="1:36" x14ac:dyDescent="0.25">
      <c r="A2598" s="1"/>
      <c r="B2598" s="2"/>
      <c r="AA2598" s="3"/>
      <c r="AD2598" s="3"/>
      <c r="AG2598" s="3"/>
      <c r="AJ2598" s="3"/>
    </row>
    <row r="2599" spans="1:36" x14ac:dyDescent="0.25">
      <c r="A2599" s="1"/>
      <c r="B2599" s="2"/>
      <c r="AA2599" s="3"/>
      <c r="AD2599" s="3"/>
      <c r="AG2599" s="3"/>
      <c r="AJ2599" s="3"/>
    </row>
    <row r="2600" spans="1:36" x14ac:dyDescent="0.25">
      <c r="A2600" s="1"/>
      <c r="B2600" s="2"/>
      <c r="AA2600" s="3"/>
      <c r="AD2600" s="3"/>
      <c r="AG2600" s="3"/>
      <c r="AJ2600" s="3"/>
    </row>
    <row r="2601" spans="1:36" x14ac:dyDescent="0.25">
      <c r="A2601" s="1"/>
      <c r="B2601" s="2"/>
      <c r="AA2601" s="3"/>
      <c r="AD2601" s="3"/>
      <c r="AG2601" s="3"/>
      <c r="AJ2601" s="3"/>
    </row>
    <row r="2602" spans="1:36" x14ac:dyDescent="0.25">
      <c r="A2602" s="1"/>
      <c r="B2602" s="2"/>
      <c r="AA2602" s="3"/>
      <c r="AD2602" s="3"/>
      <c r="AG2602" s="3"/>
      <c r="AJ2602" s="3"/>
    </row>
    <row r="2603" spans="1:36" x14ac:dyDescent="0.25">
      <c r="A2603" s="1"/>
      <c r="B2603" s="2"/>
      <c r="AA2603" s="3"/>
      <c r="AD2603" s="3"/>
      <c r="AG2603" s="3"/>
      <c r="AJ2603" s="3"/>
    </row>
    <row r="2604" spans="1:36" x14ac:dyDescent="0.25">
      <c r="A2604" s="1"/>
      <c r="B2604" s="2"/>
      <c r="AA2604" s="3"/>
      <c r="AD2604" s="3"/>
      <c r="AG2604" s="3"/>
      <c r="AJ2604" s="3"/>
    </row>
    <row r="2605" spans="1:36" x14ac:dyDescent="0.25">
      <c r="A2605" s="1"/>
      <c r="B2605" s="2"/>
      <c r="AA2605" s="3"/>
      <c r="AD2605" s="3"/>
      <c r="AG2605" s="3"/>
      <c r="AJ2605" s="3"/>
    </row>
    <row r="2606" spans="1:36" x14ac:dyDescent="0.25">
      <c r="A2606" s="1"/>
      <c r="B2606" s="2"/>
      <c r="AA2606" s="3"/>
      <c r="AD2606" s="3"/>
      <c r="AG2606" s="3"/>
      <c r="AJ2606" s="3"/>
    </row>
    <row r="2607" spans="1:36" x14ac:dyDescent="0.25">
      <c r="A2607" s="1"/>
      <c r="B2607" s="2"/>
      <c r="AA2607" s="3"/>
      <c r="AD2607" s="3"/>
      <c r="AG2607" s="3"/>
      <c r="AJ2607" s="3"/>
    </row>
    <row r="2608" spans="1:36" x14ac:dyDescent="0.25">
      <c r="A2608" s="1"/>
      <c r="B2608" s="2"/>
      <c r="AA2608" s="3"/>
      <c r="AD2608" s="3"/>
      <c r="AG2608" s="3"/>
      <c r="AJ2608" s="3"/>
    </row>
    <row r="2609" spans="1:36" x14ac:dyDescent="0.25">
      <c r="A2609" s="1"/>
      <c r="B2609" s="2"/>
      <c r="AA2609" s="3"/>
      <c r="AD2609" s="3"/>
      <c r="AG2609" s="3"/>
      <c r="AJ2609" s="3"/>
    </row>
    <row r="2610" spans="1:36" x14ac:dyDescent="0.25">
      <c r="A2610" s="1"/>
      <c r="B2610" s="2"/>
      <c r="AA2610" s="3"/>
      <c r="AD2610" s="3"/>
      <c r="AG2610" s="3"/>
      <c r="AJ2610" s="3"/>
    </row>
    <row r="2611" spans="1:36" x14ac:dyDescent="0.25">
      <c r="A2611" s="1"/>
      <c r="B2611" s="2"/>
      <c r="AA2611" s="3"/>
      <c r="AD2611" s="3"/>
      <c r="AG2611" s="3"/>
      <c r="AJ2611" s="3"/>
    </row>
    <row r="2612" spans="1:36" x14ac:dyDescent="0.25">
      <c r="A2612" s="1"/>
      <c r="B2612" s="2"/>
      <c r="AA2612" s="3"/>
      <c r="AD2612" s="3"/>
      <c r="AG2612" s="3"/>
      <c r="AJ2612" s="3"/>
    </row>
    <row r="2613" spans="1:36" x14ac:dyDescent="0.25">
      <c r="A2613" s="1"/>
      <c r="B2613" s="2"/>
      <c r="AA2613" s="3"/>
      <c r="AD2613" s="3"/>
      <c r="AG2613" s="3"/>
      <c r="AJ2613" s="3"/>
    </row>
    <row r="2614" spans="1:36" x14ac:dyDescent="0.25">
      <c r="A2614" s="1"/>
      <c r="B2614" s="2"/>
      <c r="AA2614" s="3"/>
      <c r="AD2614" s="3"/>
      <c r="AG2614" s="3"/>
      <c r="AJ2614" s="3"/>
    </row>
    <row r="2615" spans="1:36" x14ac:dyDescent="0.25">
      <c r="A2615" s="1"/>
      <c r="B2615" s="2"/>
      <c r="AA2615" s="3"/>
      <c r="AD2615" s="3"/>
      <c r="AG2615" s="3"/>
      <c r="AJ2615" s="3"/>
    </row>
    <row r="2616" spans="1:36" x14ac:dyDescent="0.25">
      <c r="A2616" s="1"/>
      <c r="B2616" s="2"/>
      <c r="AA2616" s="3"/>
      <c r="AD2616" s="3"/>
      <c r="AG2616" s="3"/>
      <c r="AJ2616" s="3"/>
    </row>
    <row r="2617" spans="1:36" x14ac:dyDescent="0.25">
      <c r="A2617" s="1"/>
      <c r="B2617" s="2"/>
      <c r="AA2617" s="3"/>
      <c r="AD2617" s="3"/>
      <c r="AG2617" s="3"/>
      <c r="AJ2617" s="3"/>
    </row>
    <row r="2618" spans="1:36" x14ac:dyDescent="0.25">
      <c r="A2618" s="1"/>
      <c r="B2618" s="2"/>
      <c r="AA2618" s="3"/>
      <c r="AD2618" s="3"/>
      <c r="AG2618" s="3"/>
      <c r="AJ2618" s="3"/>
    </row>
    <row r="2619" spans="1:36" x14ac:dyDescent="0.25">
      <c r="A2619" s="1"/>
      <c r="B2619" s="2"/>
      <c r="AA2619" s="3"/>
      <c r="AD2619" s="3"/>
      <c r="AG2619" s="3"/>
      <c r="AJ2619" s="3"/>
    </row>
    <row r="2620" spans="1:36" x14ac:dyDescent="0.25">
      <c r="A2620" s="1"/>
      <c r="B2620" s="2"/>
      <c r="AA2620" s="3"/>
      <c r="AD2620" s="3"/>
      <c r="AG2620" s="3"/>
      <c r="AJ2620" s="3"/>
    </row>
    <row r="2621" spans="1:36" x14ac:dyDescent="0.25">
      <c r="A2621" s="1"/>
      <c r="B2621" s="2"/>
      <c r="AA2621" s="3"/>
      <c r="AD2621" s="3"/>
      <c r="AG2621" s="3"/>
      <c r="AJ2621" s="3"/>
    </row>
    <row r="2622" spans="1:36" x14ac:dyDescent="0.25">
      <c r="A2622" s="1"/>
      <c r="B2622" s="2"/>
      <c r="AA2622" s="3"/>
      <c r="AD2622" s="3"/>
      <c r="AG2622" s="3"/>
      <c r="AJ2622" s="3"/>
    </row>
    <row r="2623" spans="1:36" x14ac:dyDescent="0.25">
      <c r="A2623" s="1"/>
      <c r="B2623" s="2"/>
      <c r="AA2623" s="3"/>
      <c r="AD2623" s="3"/>
      <c r="AG2623" s="3"/>
      <c r="AJ2623" s="3"/>
    </row>
    <row r="2624" spans="1:36" x14ac:dyDescent="0.25">
      <c r="A2624" s="1"/>
      <c r="B2624" s="2"/>
      <c r="AA2624" s="3"/>
      <c r="AD2624" s="3"/>
      <c r="AG2624" s="3"/>
      <c r="AJ2624" s="3"/>
    </row>
    <row r="2625" spans="1:36" x14ac:dyDescent="0.25">
      <c r="A2625" s="1"/>
      <c r="B2625" s="2"/>
      <c r="AA2625" s="3"/>
      <c r="AD2625" s="3"/>
      <c r="AG2625" s="3"/>
      <c r="AJ2625" s="3"/>
    </row>
    <row r="2626" spans="1:36" x14ac:dyDescent="0.25">
      <c r="A2626" s="1"/>
      <c r="B2626" s="2"/>
      <c r="AA2626" s="3"/>
      <c r="AD2626" s="3"/>
      <c r="AG2626" s="3"/>
      <c r="AJ2626" s="3"/>
    </row>
    <row r="2627" spans="1:36" x14ac:dyDescent="0.25">
      <c r="A2627" s="1"/>
      <c r="B2627" s="2"/>
      <c r="AA2627" s="3"/>
      <c r="AD2627" s="3"/>
      <c r="AG2627" s="3"/>
      <c r="AJ2627" s="3"/>
    </row>
    <row r="2628" spans="1:36" x14ac:dyDescent="0.25">
      <c r="A2628" s="1"/>
      <c r="B2628" s="2"/>
      <c r="AA2628" s="3"/>
      <c r="AD2628" s="3"/>
      <c r="AG2628" s="3"/>
      <c r="AJ2628" s="3"/>
    </row>
    <row r="2629" spans="1:36" x14ac:dyDescent="0.25">
      <c r="A2629" s="1"/>
      <c r="B2629" s="2"/>
      <c r="AA2629" s="3"/>
      <c r="AD2629" s="3"/>
      <c r="AG2629" s="3"/>
      <c r="AJ2629" s="3"/>
    </row>
    <row r="2630" spans="1:36" x14ac:dyDescent="0.25">
      <c r="A2630" s="1"/>
      <c r="B2630" s="2"/>
      <c r="AA2630" s="3"/>
      <c r="AD2630" s="3"/>
      <c r="AG2630" s="3"/>
      <c r="AJ2630" s="3"/>
    </row>
    <row r="2631" spans="1:36" x14ac:dyDescent="0.25">
      <c r="A2631" s="1"/>
      <c r="B2631" s="2"/>
      <c r="AA2631" s="3"/>
      <c r="AD2631" s="3"/>
      <c r="AG2631" s="3"/>
      <c r="AJ2631" s="3"/>
    </row>
    <row r="2632" spans="1:36" x14ac:dyDescent="0.25">
      <c r="A2632" s="1"/>
      <c r="B2632" s="2"/>
      <c r="AA2632" s="3"/>
      <c r="AD2632" s="3"/>
      <c r="AG2632" s="3"/>
      <c r="AJ2632" s="3"/>
    </row>
    <row r="2633" spans="1:36" x14ac:dyDescent="0.25">
      <c r="A2633" s="1"/>
      <c r="B2633" s="2"/>
      <c r="AA2633" s="3"/>
      <c r="AD2633" s="3"/>
      <c r="AG2633" s="3"/>
      <c r="AJ2633" s="3"/>
    </row>
    <row r="2634" spans="1:36" x14ac:dyDescent="0.25">
      <c r="A2634" s="1"/>
      <c r="B2634" s="2"/>
      <c r="AA2634" s="3"/>
      <c r="AD2634" s="3"/>
      <c r="AG2634" s="3"/>
      <c r="AJ2634" s="3"/>
    </row>
    <row r="2635" spans="1:36" x14ac:dyDescent="0.25">
      <c r="A2635" s="1"/>
      <c r="B2635" s="2"/>
      <c r="AA2635" s="3"/>
      <c r="AD2635" s="3"/>
      <c r="AG2635" s="3"/>
      <c r="AJ2635" s="3"/>
    </row>
    <row r="2636" spans="1:36" x14ac:dyDescent="0.25">
      <c r="A2636" s="1"/>
      <c r="B2636" s="2"/>
      <c r="AA2636" s="3"/>
      <c r="AD2636" s="3"/>
      <c r="AG2636" s="3"/>
      <c r="AJ2636" s="3"/>
    </row>
    <row r="2637" spans="1:36" x14ac:dyDescent="0.25">
      <c r="A2637" s="1"/>
      <c r="B2637" s="2"/>
      <c r="AA2637" s="3"/>
      <c r="AD2637" s="3"/>
      <c r="AG2637" s="3"/>
      <c r="AJ2637" s="3"/>
    </row>
    <row r="2638" spans="1:36" x14ac:dyDescent="0.25">
      <c r="A2638" s="1"/>
      <c r="B2638" s="2"/>
      <c r="AA2638" s="3"/>
      <c r="AD2638" s="3"/>
      <c r="AG2638" s="3"/>
      <c r="AJ2638" s="3"/>
    </row>
    <row r="2639" spans="1:36" x14ac:dyDescent="0.25">
      <c r="A2639" s="1"/>
      <c r="B2639" s="2"/>
      <c r="AA2639" s="3"/>
      <c r="AD2639" s="3"/>
      <c r="AG2639" s="3"/>
      <c r="AJ2639" s="3"/>
    </row>
    <row r="2640" spans="1:36" x14ac:dyDescent="0.25">
      <c r="A2640" s="1"/>
      <c r="B2640" s="2"/>
      <c r="AA2640" s="3"/>
      <c r="AD2640" s="3"/>
      <c r="AG2640" s="3"/>
      <c r="AJ2640" s="3"/>
    </row>
    <row r="2641" spans="1:36" x14ac:dyDescent="0.25">
      <c r="A2641" s="1"/>
      <c r="B2641" s="2"/>
      <c r="AA2641" s="3"/>
      <c r="AD2641" s="3"/>
      <c r="AG2641" s="3"/>
      <c r="AJ2641" s="3"/>
    </row>
    <row r="2642" spans="1:36" x14ac:dyDescent="0.25">
      <c r="A2642" s="1"/>
      <c r="B2642" s="2"/>
      <c r="AA2642" s="3"/>
      <c r="AD2642" s="3"/>
      <c r="AG2642" s="3"/>
      <c r="AJ2642" s="3"/>
    </row>
    <row r="2643" spans="1:36" x14ac:dyDescent="0.25">
      <c r="A2643" s="1"/>
      <c r="B2643" s="2"/>
      <c r="AA2643" s="3"/>
      <c r="AD2643" s="3"/>
      <c r="AG2643" s="3"/>
      <c r="AJ2643" s="3"/>
    </row>
    <row r="2644" spans="1:36" x14ac:dyDescent="0.25">
      <c r="A2644" s="1"/>
      <c r="B2644" s="2"/>
      <c r="AA2644" s="3"/>
      <c r="AD2644" s="3"/>
      <c r="AG2644" s="3"/>
      <c r="AJ2644" s="3"/>
    </row>
    <row r="2645" spans="1:36" x14ac:dyDescent="0.25">
      <c r="A2645" s="1"/>
      <c r="B2645" s="2"/>
      <c r="AA2645" s="3"/>
      <c r="AD2645" s="3"/>
      <c r="AG2645" s="3"/>
      <c r="AJ2645" s="3"/>
    </row>
    <row r="2646" spans="1:36" x14ac:dyDescent="0.25">
      <c r="A2646" s="1"/>
      <c r="B2646" s="2"/>
      <c r="AA2646" s="3"/>
      <c r="AD2646" s="3"/>
      <c r="AG2646" s="3"/>
      <c r="AJ2646" s="3"/>
    </row>
    <row r="2647" spans="1:36" x14ac:dyDescent="0.25">
      <c r="A2647" s="1"/>
      <c r="B2647" s="2"/>
      <c r="AA2647" s="3"/>
      <c r="AD2647" s="3"/>
      <c r="AG2647" s="3"/>
      <c r="AJ2647" s="3"/>
    </row>
    <row r="2648" spans="1:36" x14ac:dyDescent="0.25">
      <c r="A2648" s="1"/>
      <c r="B2648" s="2"/>
      <c r="AA2648" s="3"/>
      <c r="AD2648" s="3"/>
      <c r="AG2648" s="3"/>
      <c r="AJ2648" s="3"/>
    </row>
    <row r="2649" spans="1:36" x14ac:dyDescent="0.25">
      <c r="A2649" s="1"/>
      <c r="B2649" s="2"/>
      <c r="AA2649" s="3"/>
      <c r="AD2649" s="3"/>
      <c r="AG2649" s="3"/>
      <c r="AJ2649" s="3"/>
    </row>
    <row r="2650" spans="1:36" x14ac:dyDescent="0.25">
      <c r="A2650" s="1"/>
      <c r="B2650" s="2"/>
      <c r="AA2650" s="3"/>
      <c r="AD2650" s="3"/>
      <c r="AG2650" s="3"/>
      <c r="AJ2650" s="3"/>
    </row>
    <row r="2651" spans="1:36" x14ac:dyDescent="0.25">
      <c r="A2651" s="1"/>
      <c r="B2651" s="2"/>
      <c r="AA2651" s="3"/>
      <c r="AD2651" s="3"/>
      <c r="AG2651" s="3"/>
      <c r="AJ2651" s="3"/>
    </row>
    <row r="2652" spans="1:36" x14ac:dyDescent="0.25">
      <c r="A2652" s="1"/>
      <c r="B2652" s="2"/>
      <c r="AA2652" s="3"/>
      <c r="AD2652" s="3"/>
      <c r="AG2652" s="3"/>
      <c r="AJ2652" s="3"/>
    </row>
    <row r="2653" spans="1:36" x14ac:dyDescent="0.25">
      <c r="A2653" s="1"/>
      <c r="B2653" s="2"/>
      <c r="AA2653" s="3"/>
      <c r="AD2653" s="3"/>
      <c r="AG2653" s="3"/>
      <c r="AJ2653" s="3"/>
    </row>
    <row r="2654" spans="1:36" x14ac:dyDescent="0.25">
      <c r="A2654" s="1"/>
      <c r="B2654" s="2"/>
      <c r="AA2654" s="3"/>
      <c r="AD2654" s="3"/>
      <c r="AG2654" s="3"/>
      <c r="AJ2654" s="3"/>
    </row>
    <row r="2655" spans="1:36" x14ac:dyDescent="0.25">
      <c r="A2655" s="1"/>
      <c r="B2655" s="2"/>
      <c r="AA2655" s="3"/>
      <c r="AD2655" s="3"/>
      <c r="AG2655" s="3"/>
      <c r="AJ2655" s="3"/>
    </row>
    <row r="2656" spans="1:36" x14ac:dyDescent="0.25">
      <c r="A2656" s="1"/>
      <c r="B2656" s="2"/>
      <c r="AA2656" s="3"/>
      <c r="AD2656" s="3"/>
      <c r="AG2656" s="3"/>
      <c r="AJ2656" s="3"/>
    </row>
    <row r="2657" spans="1:36" x14ac:dyDescent="0.25">
      <c r="A2657" s="1"/>
      <c r="B2657" s="2"/>
      <c r="AA2657" s="3"/>
      <c r="AD2657" s="3"/>
      <c r="AG2657" s="3"/>
      <c r="AJ2657" s="3"/>
    </row>
    <row r="2658" spans="1:36" x14ac:dyDescent="0.25">
      <c r="A2658" s="1"/>
      <c r="B2658" s="2"/>
      <c r="AA2658" s="3"/>
      <c r="AD2658" s="3"/>
      <c r="AG2658" s="3"/>
      <c r="AJ2658" s="3"/>
    </row>
    <row r="2659" spans="1:36" x14ac:dyDescent="0.25">
      <c r="A2659" s="1"/>
      <c r="B2659" s="2"/>
      <c r="AA2659" s="3"/>
      <c r="AD2659" s="3"/>
      <c r="AG2659" s="3"/>
      <c r="AJ2659" s="3"/>
    </row>
    <row r="2660" spans="1:36" x14ac:dyDescent="0.25">
      <c r="A2660" s="1"/>
      <c r="B2660" s="2"/>
      <c r="AA2660" s="3"/>
      <c r="AD2660" s="3"/>
      <c r="AG2660" s="3"/>
      <c r="AJ2660" s="3"/>
    </row>
    <row r="2661" spans="1:36" x14ac:dyDescent="0.25">
      <c r="A2661" s="1"/>
      <c r="B2661" s="2"/>
      <c r="AA2661" s="3"/>
      <c r="AD2661" s="3"/>
      <c r="AG2661" s="3"/>
      <c r="AJ2661" s="3"/>
    </row>
    <row r="2662" spans="1:36" x14ac:dyDescent="0.25">
      <c r="A2662" s="1"/>
      <c r="B2662" s="2"/>
      <c r="AA2662" s="3"/>
      <c r="AD2662" s="3"/>
      <c r="AG2662" s="3"/>
      <c r="AJ2662" s="3"/>
    </row>
    <row r="2663" spans="1:36" x14ac:dyDescent="0.25">
      <c r="A2663" s="1"/>
      <c r="B2663" s="2"/>
      <c r="AA2663" s="3"/>
      <c r="AD2663" s="3"/>
      <c r="AG2663" s="3"/>
      <c r="AJ2663" s="3"/>
    </row>
    <row r="2664" spans="1:36" x14ac:dyDescent="0.25">
      <c r="A2664" s="1"/>
      <c r="B2664" s="2"/>
      <c r="AA2664" s="3"/>
      <c r="AD2664" s="3"/>
      <c r="AG2664" s="3"/>
      <c r="AJ2664" s="3"/>
    </row>
    <row r="2665" spans="1:36" x14ac:dyDescent="0.25">
      <c r="A2665" s="1"/>
      <c r="B2665" s="2"/>
      <c r="AA2665" s="3"/>
      <c r="AD2665" s="3"/>
      <c r="AG2665" s="3"/>
      <c r="AJ2665" s="3"/>
    </row>
    <row r="2666" spans="1:36" x14ac:dyDescent="0.25">
      <c r="A2666" s="1"/>
      <c r="B2666" s="2"/>
      <c r="AA2666" s="3"/>
      <c r="AD2666" s="3"/>
      <c r="AG2666" s="3"/>
      <c r="AJ2666" s="3"/>
    </row>
    <row r="2667" spans="1:36" x14ac:dyDescent="0.25">
      <c r="A2667" s="1"/>
      <c r="B2667" s="2"/>
      <c r="AA2667" s="3"/>
      <c r="AD2667" s="3"/>
      <c r="AG2667" s="3"/>
      <c r="AJ2667" s="3"/>
    </row>
    <row r="2668" spans="1:36" x14ac:dyDescent="0.25">
      <c r="A2668" s="1"/>
      <c r="B2668" s="2"/>
      <c r="AA2668" s="3"/>
      <c r="AD2668" s="3"/>
      <c r="AG2668" s="3"/>
      <c r="AJ2668" s="3"/>
    </row>
    <row r="2669" spans="1:36" x14ac:dyDescent="0.25">
      <c r="A2669" s="1"/>
      <c r="B2669" s="2"/>
      <c r="AA2669" s="3"/>
      <c r="AD2669" s="3"/>
      <c r="AG2669" s="3"/>
      <c r="AJ2669" s="3"/>
    </row>
    <row r="2670" spans="1:36" x14ac:dyDescent="0.25">
      <c r="A2670" s="1"/>
      <c r="B2670" s="2"/>
      <c r="AA2670" s="3"/>
      <c r="AD2670" s="3"/>
      <c r="AG2670" s="3"/>
      <c r="AJ2670" s="3"/>
    </row>
    <row r="2671" spans="1:36" x14ac:dyDescent="0.25">
      <c r="A2671" s="1"/>
      <c r="B2671" s="2"/>
      <c r="AA2671" s="3"/>
      <c r="AD2671" s="3"/>
      <c r="AG2671" s="3"/>
      <c r="AJ2671" s="3"/>
    </row>
    <row r="2672" spans="1:36" x14ac:dyDescent="0.25">
      <c r="A2672" s="1"/>
      <c r="B2672" s="2"/>
      <c r="AA2672" s="3"/>
      <c r="AD2672" s="3"/>
      <c r="AG2672" s="3"/>
      <c r="AJ2672" s="3"/>
    </row>
    <row r="2673" spans="1:36" x14ac:dyDescent="0.25">
      <c r="A2673" s="1"/>
      <c r="B2673" s="2"/>
      <c r="AA2673" s="3"/>
      <c r="AD2673" s="3"/>
      <c r="AG2673" s="3"/>
      <c r="AJ2673" s="3"/>
    </row>
    <row r="2674" spans="1:36" x14ac:dyDescent="0.25">
      <c r="A2674" s="1"/>
      <c r="B2674" s="2"/>
      <c r="AA2674" s="3"/>
      <c r="AD2674" s="3"/>
      <c r="AG2674" s="3"/>
      <c r="AJ2674" s="3"/>
    </row>
    <row r="2675" spans="1:36" x14ac:dyDescent="0.25">
      <c r="A2675" s="1"/>
      <c r="B2675" s="2"/>
      <c r="AA2675" s="3"/>
      <c r="AD2675" s="3"/>
      <c r="AG2675" s="3"/>
      <c r="AJ2675" s="3"/>
    </row>
    <row r="2676" spans="1:36" x14ac:dyDescent="0.25">
      <c r="A2676" s="1"/>
      <c r="B2676" s="2"/>
      <c r="AA2676" s="3"/>
      <c r="AD2676" s="3"/>
      <c r="AG2676" s="3"/>
      <c r="AJ2676" s="3"/>
    </row>
    <row r="2677" spans="1:36" x14ac:dyDescent="0.25">
      <c r="A2677" s="1"/>
      <c r="B2677" s="2"/>
      <c r="AA2677" s="3"/>
      <c r="AD2677" s="3"/>
      <c r="AG2677" s="3"/>
      <c r="AJ2677" s="3"/>
    </row>
    <row r="2678" spans="1:36" x14ac:dyDescent="0.25">
      <c r="A2678" s="1"/>
      <c r="B2678" s="2"/>
      <c r="AA2678" s="3"/>
      <c r="AD2678" s="3"/>
      <c r="AG2678" s="3"/>
      <c r="AJ2678" s="3"/>
    </row>
    <row r="2679" spans="1:36" x14ac:dyDescent="0.25">
      <c r="A2679" s="1"/>
      <c r="B2679" s="2"/>
      <c r="AA2679" s="3"/>
      <c r="AD2679" s="3"/>
      <c r="AG2679" s="3"/>
      <c r="AJ2679" s="3"/>
    </row>
    <row r="2680" spans="1:36" x14ac:dyDescent="0.25">
      <c r="A2680" s="1"/>
      <c r="B2680" s="2"/>
      <c r="AA2680" s="3"/>
      <c r="AD2680" s="3"/>
      <c r="AG2680" s="3"/>
      <c r="AJ2680" s="3"/>
    </row>
    <row r="2681" spans="1:36" x14ac:dyDescent="0.25">
      <c r="A2681" s="1"/>
      <c r="B2681" s="2"/>
      <c r="AA2681" s="3"/>
      <c r="AD2681" s="3"/>
      <c r="AG2681" s="3"/>
      <c r="AJ2681" s="3"/>
    </row>
    <row r="2682" spans="1:36" x14ac:dyDescent="0.25">
      <c r="A2682" s="1"/>
      <c r="B2682" s="2"/>
      <c r="AA2682" s="3"/>
      <c r="AD2682" s="3"/>
      <c r="AG2682" s="3"/>
      <c r="AJ2682" s="3"/>
    </row>
    <row r="2683" spans="1:36" x14ac:dyDescent="0.25">
      <c r="A2683" s="1"/>
      <c r="B2683" s="2"/>
      <c r="AA2683" s="3"/>
      <c r="AD2683" s="3"/>
      <c r="AG2683" s="3"/>
      <c r="AJ2683" s="3"/>
    </row>
    <row r="2684" spans="1:36" x14ac:dyDescent="0.25">
      <c r="A2684" s="1"/>
      <c r="B2684" s="2"/>
      <c r="AA2684" s="3"/>
      <c r="AD2684" s="3"/>
      <c r="AG2684" s="3"/>
      <c r="AJ2684" s="3"/>
    </row>
    <row r="2685" spans="1:36" x14ac:dyDescent="0.25">
      <c r="A2685" s="1"/>
      <c r="B2685" s="2"/>
      <c r="AA2685" s="3"/>
      <c r="AD2685" s="3"/>
      <c r="AG2685" s="3"/>
      <c r="AJ2685" s="3"/>
    </row>
    <row r="2686" spans="1:36" x14ac:dyDescent="0.25">
      <c r="A2686" s="1"/>
      <c r="B2686" s="2"/>
      <c r="AA2686" s="3"/>
      <c r="AD2686" s="3"/>
      <c r="AG2686" s="3"/>
      <c r="AJ2686" s="3"/>
    </row>
    <row r="2687" spans="1:36" x14ac:dyDescent="0.25">
      <c r="A2687" s="1"/>
      <c r="B2687" s="2"/>
      <c r="AA2687" s="3"/>
      <c r="AD2687" s="3"/>
      <c r="AG2687" s="3"/>
      <c r="AJ2687" s="3"/>
    </row>
    <row r="2688" spans="1:36" x14ac:dyDescent="0.25">
      <c r="A2688" s="1"/>
      <c r="B2688" s="2"/>
      <c r="AA2688" s="3"/>
      <c r="AD2688" s="3"/>
      <c r="AG2688" s="3"/>
      <c r="AJ2688" s="3"/>
    </row>
    <row r="2689" spans="1:36" x14ac:dyDescent="0.25">
      <c r="A2689" s="1"/>
      <c r="B2689" s="2"/>
      <c r="AA2689" s="3"/>
      <c r="AD2689" s="3"/>
      <c r="AG2689" s="3"/>
      <c r="AJ2689" s="3"/>
    </row>
    <row r="2690" spans="1:36" x14ac:dyDescent="0.25">
      <c r="A2690" s="1"/>
      <c r="B2690" s="2"/>
      <c r="AA2690" s="3"/>
      <c r="AD2690" s="3"/>
      <c r="AG2690" s="3"/>
      <c r="AJ2690" s="3"/>
    </row>
    <row r="2691" spans="1:36" x14ac:dyDescent="0.25">
      <c r="A2691" s="1"/>
      <c r="B2691" s="2"/>
      <c r="AA2691" s="3"/>
      <c r="AD2691" s="3"/>
      <c r="AG2691" s="3"/>
      <c r="AJ2691" s="3"/>
    </row>
    <row r="2692" spans="1:36" x14ac:dyDescent="0.25">
      <c r="A2692" s="1"/>
      <c r="B2692" s="2"/>
      <c r="AA2692" s="3"/>
      <c r="AD2692" s="3"/>
      <c r="AG2692" s="3"/>
      <c r="AJ2692" s="3"/>
    </row>
    <row r="2693" spans="1:36" x14ac:dyDescent="0.25">
      <c r="A2693" s="1"/>
      <c r="B2693" s="2"/>
      <c r="AA2693" s="3"/>
      <c r="AD2693" s="3"/>
      <c r="AG2693" s="3"/>
      <c r="AJ2693" s="3"/>
    </row>
    <row r="2694" spans="1:36" x14ac:dyDescent="0.25">
      <c r="A2694" s="1"/>
      <c r="B2694" s="2"/>
      <c r="AA2694" s="3"/>
      <c r="AD2694" s="3"/>
      <c r="AG2694" s="3"/>
      <c r="AJ2694" s="3"/>
    </row>
    <row r="2695" spans="1:36" x14ac:dyDescent="0.25">
      <c r="A2695" s="1"/>
      <c r="B2695" s="2"/>
      <c r="AA2695" s="3"/>
      <c r="AD2695" s="3"/>
      <c r="AG2695" s="3"/>
      <c r="AJ2695" s="3"/>
    </row>
    <row r="2696" spans="1:36" x14ac:dyDescent="0.25">
      <c r="A2696" s="1"/>
      <c r="B2696" s="2"/>
      <c r="AA2696" s="3"/>
      <c r="AD2696" s="3"/>
      <c r="AG2696" s="3"/>
      <c r="AJ2696" s="3"/>
    </row>
    <row r="2697" spans="1:36" x14ac:dyDescent="0.25">
      <c r="A2697" s="1"/>
      <c r="B2697" s="2"/>
      <c r="AA2697" s="3"/>
      <c r="AD2697" s="3"/>
      <c r="AG2697" s="3"/>
      <c r="AJ2697" s="3"/>
    </row>
    <row r="2698" spans="1:36" x14ac:dyDescent="0.25">
      <c r="A2698" s="1"/>
      <c r="B2698" s="2"/>
      <c r="AA2698" s="3"/>
      <c r="AD2698" s="3"/>
      <c r="AG2698" s="3"/>
      <c r="AJ2698" s="3"/>
    </row>
    <row r="2699" spans="1:36" x14ac:dyDescent="0.25">
      <c r="A2699" s="1"/>
      <c r="B2699" s="2"/>
      <c r="AA2699" s="3"/>
      <c r="AD2699" s="3"/>
      <c r="AG2699" s="3"/>
      <c r="AJ2699" s="3"/>
    </row>
    <row r="2700" spans="1:36" x14ac:dyDescent="0.25">
      <c r="A2700" s="1"/>
      <c r="B2700" s="2"/>
      <c r="AA2700" s="3"/>
      <c r="AD2700" s="3"/>
      <c r="AG2700" s="3"/>
      <c r="AJ2700" s="3"/>
    </row>
    <row r="2701" spans="1:36" x14ac:dyDescent="0.25">
      <c r="A2701" s="1"/>
      <c r="B2701" s="2"/>
      <c r="AA2701" s="3"/>
      <c r="AD2701" s="3"/>
      <c r="AG2701" s="3"/>
      <c r="AJ2701" s="3"/>
    </row>
    <row r="2702" spans="1:36" x14ac:dyDescent="0.25">
      <c r="A2702" s="1"/>
      <c r="B2702" s="2"/>
      <c r="AA2702" s="3"/>
      <c r="AD2702" s="3"/>
      <c r="AG2702" s="3"/>
      <c r="AJ2702" s="3"/>
    </row>
    <row r="2703" spans="1:36" x14ac:dyDescent="0.25">
      <c r="A2703" s="1"/>
      <c r="B2703" s="2"/>
      <c r="AA2703" s="3"/>
      <c r="AD2703" s="3"/>
      <c r="AG2703" s="3"/>
      <c r="AJ2703" s="3"/>
    </row>
    <row r="2704" spans="1:36" x14ac:dyDescent="0.25">
      <c r="A2704" s="1"/>
      <c r="B2704" s="2"/>
      <c r="AA2704" s="3"/>
      <c r="AD2704" s="3"/>
      <c r="AG2704" s="3"/>
      <c r="AJ2704" s="3"/>
    </row>
    <row r="2705" spans="1:36" x14ac:dyDescent="0.25">
      <c r="A2705" s="1"/>
      <c r="B2705" s="2"/>
      <c r="AA2705" s="3"/>
      <c r="AD2705" s="3"/>
      <c r="AG2705" s="3"/>
      <c r="AJ2705" s="3"/>
    </row>
    <row r="2706" spans="1:36" x14ac:dyDescent="0.25">
      <c r="A2706" s="1"/>
      <c r="B2706" s="2"/>
      <c r="AA2706" s="3"/>
      <c r="AD2706" s="3"/>
      <c r="AG2706" s="3"/>
      <c r="AJ2706" s="3"/>
    </row>
    <row r="2707" spans="1:36" x14ac:dyDescent="0.25">
      <c r="A2707" s="1"/>
      <c r="B2707" s="2"/>
      <c r="AA2707" s="3"/>
      <c r="AD2707" s="3"/>
      <c r="AG2707" s="3"/>
      <c r="AJ2707" s="3"/>
    </row>
    <row r="2708" spans="1:36" x14ac:dyDescent="0.25">
      <c r="A2708" s="1"/>
      <c r="B2708" s="2"/>
      <c r="AA2708" s="3"/>
      <c r="AD2708" s="3"/>
      <c r="AG2708" s="3"/>
      <c r="AJ2708" s="3"/>
    </row>
    <row r="2709" spans="1:36" x14ac:dyDescent="0.25">
      <c r="A2709" s="1"/>
      <c r="B2709" s="2"/>
      <c r="AA2709" s="3"/>
      <c r="AD2709" s="3"/>
      <c r="AG2709" s="3"/>
      <c r="AJ2709" s="3"/>
    </row>
    <row r="2710" spans="1:36" x14ac:dyDescent="0.25">
      <c r="A2710" s="1"/>
      <c r="B2710" s="2"/>
      <c r="AA2710" s="3"/>
      <c r="AD2710" s="3"/>
      <c r="AG2710" s="3"/>
      <c r="AJ2710" s="3"/>
    </row>
    <row r="2711" spans="1:36" x14ac:dyDescent="0.25">
      <c r="A2711" s="1"/>
      <c r="B2711" s="2"/>
      <c r="AA2711" s="3"/>
      <c r="AD2711" s="3"/>
      <c r="AG2711" s="3"/>
      <c r="AJ2711" s="3"/>
    </row>
    <row r="2712" spans="1:36" x14ac:dyDescent="0.25">
      <c r="A2712" s="1"/>
      <c r="B2712" s="2"/>
      <c r="AA2712" s="3"/>
      <c r="AD2712" s="3"/>
      <c r="AG2712" s="3"/>
      <c r="AJ2712" s="3"/>
    </row>
    <row r="2713" spans="1:36" x14ac:dyDescent="0.25">
      <c r="A2713" s="1"/>
      <c r="B2713" s="2"/>
      <c r="AA2713" s="3"/>
      <c r="AD2713" s="3"/>
      <c r="AG2713" s="3"/>
      <c r="AJ2713" s="3"/>
    </row>
    <row r="2714" spans="1:36" x14ac:dyDescent="0.25">
      <c r="A2714" s="1"/>
      <c r="B2714" s="2"/>
      <c r="AA2714" s="3"/>
      <c r="AD2714" s="3"/>
      <c r="AG2714" s="3"/>
      <c r="AJ2714" s="3"/>
    </row>
    <row r="2715" spans="1:36" x14ac:dyDescent="0.25">
      <c r="A2715" s="1"/>
      <c r="B2715" s="2"/>
      <c r="AA2715" s="3"/>
      <c r="AD2715" s="3"/>
      <c r="AG2715" s="3"/>
      <c r="AJ2715" s="3"/>
    </row>
    <row r="2716" spans="1:36" x14ac:dyDescent="0.25">
      <c r="A2716" s="1"/>
      <c r="B2716" s="2"/>
      <c r="AA2716" s="3"/>
      <c r="AD2716" s="3"/>
      <c r="AG2716" s="3"/>
      <c r="AJ2716" s="3"/>
    </row>
    <row r="2717" spans="1:36" x14ac:dyDescent="0.25">
      <c r="A2717" s="1"/>
      <c r="B2717" s="2"/>
      <c r="AA2717" s="3"/>
      <c r="AD2717" s="3"/>
      <c r="AG2717" s="3"/>
      <c r="AJ2717" s="3"/>
    </row>
    <row r="2718" spans="1:36" x14ac:dyDescent="0.25">
      <c r="A2718" s="1"/>
      <c r="B2718" s="2"/>
      <c r="AA2718" s="3"/>
      <c r="AD2718" s="3"/>
      <c r="AG2718" s="3"/>
      <c r="AJ2718" s="3"/>
    </row>
    <row r="2719" spans="1:36" x14ac:dyDescent="0.25">
      <c r="A2719" s="1"/>
      <c r="B2719" s="2"/>
      <c r="AA2719" s="3"/>
      <c r="AD2719" s="3"/>
      <c r="AG2719" s="3"/>
      <c r="AJ2719" s="3"/>
    </row>
    <row r="2720" spans="1:36" x14ac:dyDescent="0.25">
      <c r="A2720" s="1"/>
      <c r="B2720" s="2"/>
      <c r="AA2720" s="3"/>
      <c r="AD2720" s="3"/>
      <c r="AG2720" s="3"/>
      <c r="AJ2720" s="3"/>
    </row>
    <row r="2721" spans="1:36" x14ac:dyDescent="0.25">
      <c r="A2721" s="1"/>
      <c r="B2721" s="2"/>
      <c r="AA2721" s="3"/>
      <c r="AD2721" s="3"/>
      <c r="AG2721" s="3"/>
      <c r="AJ2721" s="3"/>
    </row>
    <row r="2722" spans="1:36" x14ac:dyDescent="0.25">
      <c r="A2722" s="1"/>
      <c r="B2722" s="2"/>
      <c r="AA2722" s="3"/>
      <c r="AD2722" s="3"/>
      <c r="AG2722" s="3"/>
      <c r="AJ2722" s="3"/>
    </row>
    <row r="2723" spans="1:36" x14ac:dyDescent="0.25">
      <c r="A2723" s="1"/>
      <c r="B2723" s="2"/>
      <c r="AA2723" s="3"/>
      <c r="AD2723" s="3"/>
      <c r="AG2723" s="3"/>
      <c r="AJ2723" s="3"/>
    </row>
    <row r="2724" spans="1:36" x14ac:dyDescent="0.25">
      <c r="A2724" s="1"/>
      <c r="B2724" s="2"/>
      <c r="AA2724" s="3"/>
      <c r="AD2724" s="3"/>
      <c r="AG2724" s="3"/>
      <c r="AJ2724" s="3"/>
    </row>
    <row r="2725" spans="1:36" x14ac:dyDescent="0.25">
      <c r="A2725" s="1"/>
      <c r="B2725" s="2"/>
      <c r="AA2725" s="3"/>
      <c r="AD2725" s="3"/>
      <c r="AG2725" s="3"/>
      <c r="AJ2725" s="3"/>
    </row>
    <row r="2726" spans="1:36" x14ac:dyDescent="0.25">
      <c r="A2726" s="1"/>
      <c r="B2726" s="2"/>
      <c r="AA2726" s="3"/>
      <c r="AD2726" s="3"/>
      <c r="AG2726" s="3"/>
      <c r="AJ2726" s="3"/>
    </row>
    <row r="2727" spans="1:36" x14ac:dyDescent="0.25">
      <c r="A2727" s="1"/>
      <c r="B2727" s="2"/>
      <c r="AA2727" s="3"/>
      <c r="AD2727" s="3"/>
      <c r="AG2727" s="3"/>
      <c r="AJ2727" s="3"/>
    </row>
    <row r="2728" spans="1:36" x14ac:dyDescent="0.25">
      <c r="A2728" s="1"/>
      <c r="B2728" s="2"/>
      <c r="AA2728" s="3"/>
      <c r="AD2728" s="3"/>
      <c r="AG2728" s="3"/>
      <c r="AJ2728" s="3"/>
    </row>
    <row r="2729" spans="1:36" x14ac:dyDescent="0.25">
      <c r="A2729" s="1"/>
      <c r="B2729" s="2"/>
      <c r="AA2729" s="3"/>
      <c r="AD2729" s="3"/>
      <c r="AG2729" s="3"/>
      <c r="AJ2729" s="3"/>
    </row>
    <row r="2730" spans="1:36" x14ac:dyDescent="0.25">
      <c r="A2730" s="1"/>
      <c r="B2730" s="2"/>
      <c r="AA2730" s="3"/>
      <c r="AD2730" s="3"/>
      <c r="AG2730" s="3"/>
      <c r="AJ2730" s="3"/>
    </row>
    <row r="2731" spans="1:36" x14ac:dyDescent="0.25">
      <c r="A2731" s="1"/>
      <c r="B2731" s="2"/>
      <c r="AA2731" s="3"/>
      <c r="AD2731" s="3"/>
      <c r="AG2731" s="3"/>
      <c r="AJ2731" s="3"/>
    </row>
    <row r="2732" spans="1:36" x14ac:dyDescent="0.25">
      <c r="A2732" s="1"/>
      <c r="B2732" s="2"/>
      <c r="AA2732" s="3"/>
      <c r="AD2732" s="3"/>
      <c r="AG2732" s="3"/>
      <c r="AJ2732" s="3"/>
    </row>
    <row r="2733" spans="1:36" x14ac:dyDescent="0.25">
      <c r="A2733" s="1"/>
      <c r="B2733" s="2"/>
      <c r="AA2733" s="3"/>
      <c r="AD2733" s="3"/>
      <c r="AG2733" s="3"/>
      <c r="AJ2733" s="3"/>
    </row>
    <row r="2734" spans="1:36" x14ac:dyDescent="0.25">
      <c r="A2734" s="1"/>
      <c r="B2734" s="2"/>
      <c r="AA2734" s="3"/>
      <c r="AD2734" s="3"/>
      <c r="AG2734" s="3"/>
      <c r="AJ2734" s="3"/>
    </row>
    <row r="2735" spans="1:36" x14ac:dyDescent="0.25">
      <c r="A2735" s="1"/>
      <c r="B2735" s="2"/>
      <c r="AA2735" s="3"/>
      <c r="AD2735" s="3"/>
      <c r="AG2735" s="3"/>
      <c r="AJ2735" s="3"/>
    </row>
    <row r="2736" spans="1:36" x14ac:dyDescent="0.25">
      <c r="A2736" s="1"/>
      <c r="B2736" s="2"/>
      <c r="AA2736" s="3"/>
      <c r="AD2736" s="3"/>
      <c r="AG2736" s="3"/>
      <c r="AJ2736" s="3"/>
    </row>
    <row r="2737" spans="1:36" x14ac:dyDescent="0.25">
      <c r="A2737" s="1"/>
      <c r="B2737" s="2"/>
      <c r="AA2737" s="3"/>
      <c r="AD2737" s="3"/>
      <c r="AG2737" s="3"/>
      <c r="AJ2737" s="3"/>
    </row>
    <row r="2738" spans="1:36" x14ac:dyDescent="0.25">
      <c r="A2738" s="1"/>
      <c r="B2738" s="2"/>
      <c r="AA2738" s="3"/>
      <c r="AD2738" s="3"/>
      <c r="AG2738" s="3"/>
      <c r="AJ2738" s="3"/>
    </row>
    <row r="2739" spans="1:36" x14ac:dyDescent="0.25">
      <c r="A2739" s="1"/>
      <c r="B2739" s="2"/>
      <c r="AA2739" s="3"/>
      <c r="AD2739" s="3"/>
      <c r="AG2739" s="3"/>
      <c r="AJ2739" s="3"/>
    </row>
    <row r="2740" spans="1:36" x14ac:dyDescent="0.25">
      <c r="A2740" s="1"/>
      <c r="B2740" s="2"/>
      <c r="AA2740" s="3"/>
      <c r="AD2740" s="3"/>
      <c r="AG2740" s="3"/>
      <c r="AJ2740" s="3"/>
    </row>
    <row r="2741" spans="1:36" x14ac:dyDescent="0.25">
      <c r="A2741" s="1"/>
      <c r="B2741" s="2"/>
      <c r="AA2741" s="3"/>
      <c r="AD2741" s="3"/>
      <c r="AG2741" s="3"/>
      <c r="AJ2741" s="3"/>
    </row>
    <row r="2742" spans="1:36" x14ac:dyDescent="0.25">
      <c r="A2742" s="1"/>
      <c r="B2742" s="2"/>
      <c r="AA2742" s="3"/>
      <c r="AD2742" s="3"/>
      <c r="AG2742" s="3"/>
      <c r="AJ2742" s="3"/>
    </row>
    <row r="2743" spans="1:36" x14ac:dyDescent="0.25">
      <c r="A2743" s="1"/>
      <c r="B2743" s="2"/>
      <c r="AA2743" s="3"/>
      <c r="AD2743" s="3"/>
      <c r="AG2743" s="3"/>
      <c r="AJ2743" s="3"/>
    </row>
    <row r="2744" spans="1:36" x14ac:dyDescent="0.25">
      <c r="A2744" s="1"/>
      <c r="B2744" s="2"/>
      <c r="AA2744" s="3"/>
      <c r="AD2744" s="3"/>
      <c r="AG2744" s="3"/>
      <c r="AJ2744" s="3"/>
    </row>
    <row r="2745" spans="1:36" x14ac:dyDescent="0.25">
      <c r="A2745" s="1"/>
      <c r="B2745" s="2"/>
      <c r="AA2745" s="3"/>
      <c r="AD2745" s="3"/>
      <c r="AG2745" s="3"/>
      <c r="AJ2745" s="3"/>
    </row>
    <row r="2746" spans="1:36" x14ac:dyDescent="0.25">
      <c r="A2746" s="1"/>
      <c r="B2746" s="2"/>
      <c r="AA2746" s="3"/>
      <c r="AD2746" s="3"/>
      <c r="AG2746" s="3"/>
      <c r="AJ2746" s="3"/>
    </row>
    <row r="2747" spans="1:36" x14ac:dyDescent="0.25">
      <c r="A2747" s="1"/>
      <c r="B2747" s="2"/>
      <c r="AA2747" s="3"/>
      <c r="AD2747" s="3"/>
      <c r="AG2747" s="3"/>
      <c r="AJ2747" s="3"/>
    </row>
    <row r="2748" spans="1:36" x14ac:dyDescent="0.25">
      <c r="A2748" s="1"/>
      <c r="B2748" s="2"/>
      <c r="AA2748" s="3"/>
      <c r="AD2748" s="3"/>
      <c r="AG2748" s="3"/>
      <c r="AJ2748" s="3"/>
    </row>
    <row r="2749" spans="1:36" x14ac:dyDescent="0.25">
      <c r="A2749" s="1"/>
      <c r="B2749" s="2"/>
      <c r="AA2749" s="3"/>
      <c r="AD2749" s="3"/>
      <c r="AG2749" s="3"/>
      <c r="AJ2749" s="3"/>
    </row>
    <row r="2750" spans="1:36" x14ac:dyDescent="0.25">
      <c r="A2750" s="1"/>
      <c r="B2750" s="2"/>
      <c r="AA2750" s="3"/>
      <c r="AD2750" s="3"/>
      <c r="AG2750" s="3"/>
      <c r="AJ2750" s="3"/>
    </row>
    <row r="2751" spans="1:36" x14ac:dyDescent="0.25">
      <c r="A2751" s="1"/>
      <c r="B2751" s="2"/>
      <c r="AA2751" s="3"/>
      <c r="AD2751" s="3"/>
      <c r="AG2751" s="3"/>
      <c r="AJ2751" s="3"/>
    </row>
    <row r="2752" spans="1:36" x14ac:dyDescent="0.25">
      <c r="A2752" s="1"/>
      <c r="B2752" s="2"/>
      <c r="AA2752" s="3"/>
      <c r="AD2752" s="3"/>
      <c r="AG2752" s="3"/>
      <c r="AJ2752" s="3"/>
    </row>
    <row r="2753" spans="1:36" x14ac:dyDescent="0.25">
      <c r="A2753" s="1"/>
      <c r="B2753" s="2"/>
      <c r="AA2753" s="3"/>
      <c r="AD2753" s="3"/>
      <c r="AG2753" s="3"/>
      <c r="AJ2753" s="3"/>
    </row>
    <row r="2754" spans="1:36" x14ac:dyDescent="0.25">
      <c r="A2754" s="1"/>
      <c r="B2754" s="2"/>
      <c r="AA2754" s="3"/>
      <c r="AD2754" s="3"/>
      <c r="AG2754" s="3"/>
      <c r="AJ2754" s="3"/>
    </row>
    <row r="2755" spans="1:36" x14ac:dyDescent="0.25">
      <c r="A2755" s="1"/>
      <c r="B2755" s="2"/>
      <c r="AA2755" s="3"/>
      <c r="AD2755" s="3"/>
      <c r="AG2755" s="3"/>
      <c r="AJ2755" s="3"/>
    </row>
    <row r="2756" spans="1:36" x14ac:dyDescent="0.25">
      <c r="A2756" s="1"/>
      <c r="B2756" s="2"/>
      <c r="AA2756" s="3"/>
      <c r="AD2756" s="3"/>
      <c r="AG2756" s="3"/>
      <c r="AJ2756" s="3"/>
    </row>
    <row r="2757" spans="1:36" x14ac:dyDescent="0.25">
      <c r="A2757" s="1"/>
      <c r="B2757" s="2"/>
      <c r="AA2757" s="3"/>
      <c r="AD2757" s="3"/>
      <c r="AG2757" s="3"/>
      <c r="AJ2757" s="3"/>
    </row>
    <row r="2758" spans="1:36" x14ac:dyDescent="0.25">
      <c r="A2758" s="1"/>
      <c r="B2758" s="2"/>
      <c r="AA2758" s="3"/>
      <c r="AD2758" s="3"/>
      <c r="AG2758" s="3"/>
      <c r="AJ2758" s="3"/>
    </row>
    <row r="2759" spans="1:36" x14ac:dyDescent="0.25">
      <c r="A2759" s="1"/>
      <c r="B2759" s="2"/>
      <c r="AA2759" s="3"/>
      <c r="AD2759" s="3"/>
      <c r="AG2759" s="3"/>
      <c r="AJ2759" s="3"/>
    </row>
    <row r="2760" spans="1:36" x14ac:dyDescent="0.25">
      <c r="A2760" s="1"/>
      <c r="B2760" s="2"/>
      <c r="AA2760" s="3"/>
      <c r="AD2760" s="3"/>
      <c r="AG2760" s="3"/>
      <c r="AJ2760" s="3"/>
    </row>
    <row r="2761" spans="1:36" x14ac:dyDescent="0.25">
      <c r="A2761" s="1"/>
      <c r="B2761" s="2"/>
      <c r="AA2761" s="3"/>
      <c r="AD2761" s="3"/>
      <c r="AG2761" s="3"/>
      <c r="AJ2761" s="3"/>
    </row>
    <row r="2762" spans="1:36" x14ac:dyDescent="0.25">
      <c r="A2762" s="1"/>
      <c r="B2762" s="2"/>
      <c r="AA2762" s="3"/>
      <c r="AD2762" s="3"/>
      <c r="AG2762" s="3"/>
      <c r="AJ2762" s="3"/>
    </row>
    <row r="2763" spans="1:36" x14ac:dyDescent="0.25">
      <c r="A2763" s="1"/>
      <c r="B2763" s="2"/>
      <c r="AA2763" s="3"/>
      <c r="AD2763" s="3"/>
      <c r="AG2763" s="3"/>
      <c r="AJ2763" s="3"/>
    </row>
    <row r="2764" spans="1:36" x14ac:dyDescent="0.25">
      <c r="A2764" s="1"/>
      <c r="B2764" s="2"/>
      <c r="AA2764" s="3"/>
      <c r="AD2764" s="3"/>
      <c r="AG2764" s="3"/>
      <c r="AJ2764" s="3"/>
    </row>
    <row r="2765" spans="1:36" x14ac:dyDescent="0.25">
      <c r="A2765" s="1"/>
      <c r="B2765" s="2"/>
      <c r="AA2765" s="3"/>
      <c r="AD2765" s="3"/>
      <c r="AG2765" s="3"/>
      <c r="AJ2765" s="3"/>
    </row>
    <row r="2766" spans="1:36" x14ac:dyDescent="0.25">
      <c r="A2766" s="1"/>
      <c r="B2766" s="2"/>
      <c r="AA2766" s="3"/>
      <c r="AD2766" s="3"/>
      <c r="AG2766" s="3"/>
      <c r="AJ2766" s="3"/>
    </row>
    <row r="2767" spans="1:36" x14ac:dyDescent="0.25">
      <c r="A2767" s="1"/>
      <c r="B2767" s="2"/>
      <c r="AA2767" s="3"/>
      <c r="AD2767" s="3"/>
      <c r="AG2767" s="3"/>
      <c r="AJ2767" s="3"/>
    </row>
    <row r="2768" spans="1:36" x14ac:dyDescent="0.25">
      <c r="A2768" s="1"/>
      <c r="B2768" s="2"/>
      <c r="AA2768" s="3"/>
      <c r="AD2768" s="3"/>
      <c r="AG2768" s="3"/>
      <c r="AJ2768" s="3"/>
    </row>
    <row r="2769" spans="1:36" x14ac:dyDescent="0.25">
      <c r="A2769" s="1"/>
      <c r="B2769" s="2"/>
      <c r="AA2769" s="3"/>
      <c r="AD2769" s="3"/>
      <c r="AG2769" s="3"/>
      <c r="AJ2769" s="3"/>
    </row>
    <row r="2770" spans="1:36" x14ac:dyDescent="0.25">
      <c r="A2770" s="1"/>
      <c r="B2770" s="2"/>
      <c r="AA2770" s="3"/>
      <c r="AD2770" s="3"/>
      <c r="AG2770" s="3"/>
      <c r="AJ2770" s="3"/>
    </row>
    <row r="2771" spans="1:36" x14ac:dyDescent="0.25">
      <c r="A2771" s="1"/>
      <c r="B2771" s="2"/>
      <c r="AA2771" s="3"/>
      <c r="AD2771" s="3"/>
      <c r="AG2771" s="3"/>
      <c r="AJ2771" s="3"/>
    </row>
    <row r="2772" spans="1:36" x14ac:dyDescent="0.25">
      <c r="A2772" s="1"/>
      <c r="B2772" s="2"/>
      <c r="AA2772" s="3"/>
      <c r="AD2772" s="3"/>
      <c r="AG2772" s="3"/>
      <c r="AJ2772" s="3"/>
    </row>
    <row r="2773" spans="1:36" x14ac:dyDescent="0.25">
      <c r="A2773" s="1"/>
      <c r="B2773" s="2"/>
      <c r="AA2773" s="3"/>
      <c r="AD2773" s="3"/>
      <c r="AG2773" s="3"/>
      <c r="AJ2773" s="3"/>
    </row>
    <row r="2774" spans="1:36" x14ac:dyDescent="0.25">
      <c r="A2774" s="1"/>
      <c r="B2774" s="2"/>
      <c r="AA2774" s="3"/>
      <c r="AD2774" s="3"/>
      <c r="AG2774" s="3"/>
      <c r="AJ2774" s="3"/>
    </row>
    <row r="2775" spans="1:36" x14ac:dyDescent="0.25">
      <c r="A2775" s="1"/>
      <c r="B2775" s="2"/>
      <c r="AA2775" s="3"/>
      <c r="AD2775" s="3"/>
      <c r="AG2775" s="3"/>
      <c r="AJ2775" s="3"/>
    </row>
    <row r="2776" spans="1:36" x14ac:dyDescent="0.25">
      <c r="A2776" s="1"/>
      <c r="B2776" s="2"/>
      <c r="AA2776" s="3"/>
      <c r="AD2776" s="3"/>
      <c r="AG2776" s="3"/>
      <c r="AJ2776" s="3"/>
    </row>
    <row r="2777" spans="1:36" x14ac:dyDescent="0.25">
      <c r="A2777" s="1"/>
      <c r="B2777" s="2"/>
      <c r="AA2777" s="3"/>
      <c r="AD2777" s="3"/>
      <c r="AG2777" s="3"/>
      <c r="AJ2777" s="3"/>
    </row>
    <row r="2778" spans="1:36" x14ac:dyDescent="0.25">
      <c r="A2778" s="1"/>
      <c r="B2778" s="2"/>
      <c r="AA2778" s="3"/>
      <c r="AD2778" s="3"/>
      <c r="AG2778" s="3"/>
      <c r="AJ2778" s="3"/>
    </row>
    <row r="2779" spans="1:36" x14ac:dyDescent="0.25">
      <c r="A2779" s="1"/>
      <c r="B2779" s="2"/>
      <c r="AA2779" s="3"/>
      <c r="AD2779" s="3"/>
      <c r="AG2779" s="3"/>
      <c r="AJ2779" s="3"/>
    </row>
    <row r="2780" spans="1:36" x14ac:dyDescent="0.25">
      <c r="A2780" s="1"/>
      <c r="B2780" s="2"/>
      <c r="AA2780" s="3"/>
      <c r="AD2780" s="3"/>
      <c r="AG2780" s="3"/>
      <c r="AJ2780" s="3"/>
    </row>
    <row r="2781" spans="1:36" x14ac:dyDescent="0.25">
      <c r="A2781" s="1"/>
      <c r="B2781" s="2"/>
      <c r="AA2781" s="3"/>
      <c r="AD2781" s="3"/>
      <c r="AG2781" s="3"/>
      <c r="AJ2781" s="3"/>
    </row>
    <row r="2782" spans="1:36" x14ac:dyDescent="0.25">
      <c r="A2782" s="1"/>
      <c r="B2782" s="2"/>
      <c r="AA2782" s="3"/>
      <c r="AD2782" s="3"/>
      <c r="AG2782" s="3"/>
      <c r="AJ2782" s="3"/>
    </row>
    <row r="2783" spans="1:36" x14ac:dyDescent="0.25">
      <c r="A2783" s="1"/>
      <c r="B2783" s="2"/>
      <c r="AA2783" s="3"/>
      <c r="AD2783" s="3"/>
      <c r="AG2783" s="3"/>
      <c r="AJ2783" s="3"/>
    </row>
    <row r="2784" spans="1:36" x14ac:dyDescent="0.25">
      <c r="A2784" s="1"/>
      <c r="B2784" s="2"/>
      <c r="AA2784" s="3"/>
      <c r="AD2784" s="3"/>
      <c r="AG2784" s="3"/>
      <c r="AJ2784" s="3"/>
    </row>
    <row r="2785" spans="1:36" x14ac:dyDescent="0.25">
      <c r="A2785" s="1"/>
      <c r="B2785" s="2"/>
      <c r="AA2785" s="3"/>
      <c r="AD2785" s="3"/>
      <c r="AG2785" s="3"/>
      <c r="AJ2785" s="3"/>
    </row>
    <row r="2786" spans="1:36" x14ac:dyDescent="0.25">
      <c r="A2786" s="1"/>
      <c r="B2786" s="2"/>
      <c r="AA2786" s="3"/>
      <c r="AD2786" s="3"/>
      <c r="AG2786" s="3"/>
      <c r="AJ2786" s="3"/>
    </row>
    <row r="2787" spans="1:36" x14ac:dyDescent="0.25">
      <c r="A2787" s="1"/>
      <c r="B2787" s="2"/>
      <c r="AA2787" s="3"/>
      <c r="AD2787" s="3"/>
      <c r="AG2787" s="3"/>
      <c r="AJ2787" s="3"/>
    </row>
    <row r="2788" spans="1:36" x14ac:dyDescent="0.25">
      <c r="A2788" s="1"/>
      <c r="B2788" s="2"/>
      <c r="AA2788" s="3"/>
      <c r="AD2788" s="3"/>
      <c r="AG2788" s="3"/>
      <c r="AJ2788" s="3"/>
    </row>
    <row r="2789" spans="1:36" x14ac:dyDescent="0.25">
      <c r="A2789" s="1"/>
      <c r="B2789" s="2"/>
      <c r="AA2789" s="3"/>
      <c r="AD2789" s="3"/>
      <c r="AG2789" s="3"/>
      <c r="AJ2789" s="3"/>
    </row>
    <row r="2790" spans="1:36" x14ac:dyDescent="0.25">
      <c r="A2790" s="1"/>
      <c r="B2790" s="2"/>
      <c r="AA2790" s="3"/>
      <c r="AD2790" s="3"/>
      <c r="AG2790" s="3"/>
      <c r="AJ2790" s="3"/>
    </row>
    <row r="2791" spans="1:36" x14ac:dyDescent="0.25">
      <c r="A2791" s="1"/>
      <c r="B2791" s="2"/>
      <c r="AA2791" s="3"/>
      <c r="AD2791" s="3"/>
      <c r="AG2791" s="3"/>
      <c r="AJ2791" s="3"/>
    </row>
    <row r="2792" spans="1:36" x14ac:dyDescent="0.25">
      <c r="A2792" s="1"/>
      <c r="B2792" s="2"/>
      <c r="AA2792" s="3"/>
      <c r="AD2792" s="3"/>
      <c r="AG2792" s="3"/>
      <c r="AJ2792" s="3"/>
    </row>
    <row r="2793" spans="1:36" x14ac:dyDescent="0.25">
      <c r="A2793" s="1"/>
      <c r="B2793" s="2"/>
      <c r="AA2793" s="3"/>
      <c r="AD2793" s="3"/>
      <c r="AG2793" s="3"/>
      <c r="AJ2793" s="3"/>
    </row>
    <row r="2794" spans="1:36" x14ac:dyDescent="0.25">
      <c r="A2794" s="1"/>
      <c r="B2794" s="2"/>
      <c r="AA2794" s="3"/>
      <c r="AD2794" s="3"/>
      <c r="AG2794" s="3"/>
      <c r="AJ2794" s="3"/>
    </row>
    <row r="2795" spans="1:36" x14ac:dyDescent="0.25">
      <c r="A2795" s="1"/>
      <c r="B2795" s="2"/>
      <c r="AA2795" s="3"/>
      <c r="AD2795" s="3"/>
      <c r="AG2795" s="3"/>
      <c r="AJ2795" s="3"/>
    </row>
    <row r="2796" spans="1:36" x14ac:dyDescent="0.25">
      <c r="A2796" s="1"/>
      <c r="B2796" s="2"/>
      <c r="AA2796" s="3"/>
      <c r="AD2796" s="3"/>
      <c r="AG2796" s="3"/>
      <c r="AJ2796" s="3"/>
    </row>
    <row r="2797" spans="1:36" x14ac:dyDescent="0.25">
      <c r="A2797" s="1"/>
      <c r="B2797" s="2"/>
      <c r="AA2797" s="3"/>
      <c r="AD2797" s="3"/>
      <c r="AG2797" s="3"/>
      <c r="AJ2797" s="3"/>
    </row>
    <row r="2798" spans="1:36" x14ac:dyDescent="0.25">
      <c r="A2798" s="1"/>
      <c r="B2798" s="2"/>
      <c r="AA2798" s="3"/>
      <c r="AD2798" s="3"/>
      <c r="AG2798" s="3"/>
      <c r="AJ2798" s="3"/>
    </row>
    <row r="2799" spans="1:36" x14ac:dyDescent="0.25">
      <c r="A2799" s="1"/>
      <c r="B2799" s="2"/>
      <c r="AA2799" s="3"/>
      <c r="AD2799" s="3"/>
      <c r="AG2799" s="3"/>
      <c r="AJ2799" s="3"/>
    </row>
    <row r="2800" spans="1:36" x14ac:dyDescent="0.25">
      <c r="A2800" s="1"/>
      <c r="B2800" s="2"/>
      <c r="AA2800" s="3"/>
      <c r="AD2800" s="3"/>
      <c r="AG2800" s="3"/>
      <c r="AJ2800" s="3"/>
    </row>
    <row r="2801" spans="1:36" x14ac:dyDescent="0.25">
      <c r="A2801" s="1"/>
      <c r="B2801" s="2"/>
      <c r="AA2801" s="3"/>
      <c r="AD2801" s="3"/>
      <c r="AG2801" s="3"/>
      <c r="AJ2801" s="3"/>
    </row>
    <row r="2802" spans="1:36" x14ac:dyDescent="0.25">
      <c r="A2802" s="1"/>
      <c r="B2802" s="2"/>
      <c r="AA2802" s="3"/>
      <c r="AD2802" s="3"/>
      <c r="AG2802" s="3"/>
      <c r="AJ2802" s="3"/>
    </row>
    <row r="2803" spans="1:36" x14ac:dyDescent="0.25">
      <c r="A2803" s="1"/>
      <c r="B2803" s="2"/>
      <c r="AA2803" s="3"/>
      <c r="AD2803" s="3"/>
      <c r="AG2803" s="3"/>
      <c r="AJ2803" s="3"/>
    </row>
    <row r="2804" spans="1:36" x14ac:dyDescent="0.25">
      <c r="A2804" s="1"/>
      <c r="B2804" s="2"/>
      <c r="AA2804" s="3"/>
      <c r="AD2804" s="3"/>
      <c r="AG2804" s="3"/>
      <c r="AJ2804" s="3"/>
    </row>
    <row r="2805" spans="1:36" x14ac:dyDescent="0.25">
      <c r="A2805" s="1"/>
      <c r="B2805" s="2"/>
      <c r="AA2805" s="3"/>
      <c r="AD2805" s="3"/>
      <c r="AG2805" s="3"/>
      <c r="AJ2805" s="3"/>
    </row>
    <row r="2806" spans="1:36" x14ac:dyDescent="0.25">
      <c r="A2806" s="1"/>
      <c r="B2806" s="2"/>
      <c r="AA2806" s="3"/>
      <c r="AD2806" s="3"/>
      <c r="AG2806" s="3"/>
      <c r="AJ2806" s="3"/>
    </row>
    <row r="2807" spans="1:36" x14ac:dyDescent="0.25">
      <c r="A2807" s="1"/>
      <c r="B2807" s="2"/>
      <c r="AA2807" s="3"/>
      <c r="AD2807" s="3"/>
      <c r="AG2807" s="3"/>
      <c r="AJ2807" s="3"/>
    </row>
    <row r="2808" spans="1:36" x14ac:dyDescent="0.25">
      <c r="A2808" s="1"/>
      <c r="B2808" s="2"/>
      <c r="AA2808" s="3"/>
      <c r="AD2808" s="3"/>
      <c r="AG2808" s="3"/>
      <c r="AJ2808" s="3"/>
    </row>
    <row r="2809" spans="1:36" x14ac:dyDescent="0.25">
      <c r="A2809" s="1"/>
      <c r="B2809" s="2"/>
      <c r="AA2809" s="3"/>
      <c r="AD2809" s="3"/>
      <c r="AG2809" s="3"/>
      <c r="AJ2809" s="3"/>
    </row>
    <row r="2810" spans="1:36" x14ac:dyDescent="0.25">
      <c r="A2810" s="1"/>
      <c r="B2810" s="2"/>
      <c r="AA2810" s="3"/>
      <c r="AD2810" s="3"/>
      <c r="AG2810" s="3"/>
      <c r="AJ2810" s="3"/>
    </row>
    <row r="2811" spans="1:36" x14ac:dyDescent="0.25">
      <c r="A2811" s="1"/>
      <c r="B2811" s="2"/>
      <c r="AA2811" s="3"/>
      <c r="AD2811" s="3"/>
      <c r="AG2811" s="3"/>
      <c r="AJ2811" s="3"/>
    </row>
    <row r="2812" spans="1:36" x14ac:dyDescent="0.25">
      <c r="A2812" s="1"/>
      <c r="B2812" s="2"/>
      <c r="AA2812" s="3"/>
      <c r="AD2812" s="3"/>
      <c r="AG2812" s="3"/>
      <c r="AJ2812" s="3"/>
    </row>
    <row r="2813" spans="1:36" x14ac:dyDescent="0.25">
      <c r="A2813" s="1"/>
      <c r="B2813" s="2"/>
      <c r="AA2813" s="3"/>
      <c r="AD2813" s="3"/>
      <c r="AG2813" s="3"/>
      <c r="AJ2813" s="3"/>
    </row>
    <row r="2814" spans="1:36" x14ac:dyDescent="0.25">
      <c r="A2814" s="1"/>
      <c r="B2814" s="2"/>
      <c r="AA2814" s="3"/>
      <c r="AD2814" s="3"/>
      <c r="AG2814" s="3"/>
      <c r="AJ2814" s="3"/>
    </row>
    <row r="2815" spans="1:36" x14ac:dyDescent="0.25">
      <c r="A2815" s="1"/>
      <c r="B2815" s="2"/>
      <c r="AA2815" s="3"/>
      <c r="AD2815" s="3"/>
      <c r="AG2815" s="3"/>
      <c r="AJ2815" s="3"/>
    </row>
    <row r="2816" spans="1:36" x14ac:dyDescent="0.25">
      <c r="A2816" s="1"/>
      <c r="B2816" s="2"/>
      <c r="AA2816" s="3"/>
      <c r="AD2816" s="3"/>
      <c r="AG2816" s="3"/>
      <c r="AJ2816" s="3"/>
    </row>
    <row r="2817" spans="1:36" x14ac:dyDescent="0.25">
      <c r="A2817" s="1"/>
      <c r="B2817" s="2"/>
      <c r="AA2817" s="3"/>
      <c r="AD2817" s="3"/>
      <c r="AG2817" s="3"/>
      <c r="AJ2817" s="3"/>
    </row>
    <row r="2818" spans="1:36" x14ac:dyDescent="0.25">
      <c r="A2818" s="1"/>
      <c r="B2818" s="2"/>
      <c r="AA2818" s="3"/>
      <c r="AD2818" s="3"/>
      <c r="AG2818" s="3"/>
      <c r="AJ2818" s="3"/>
    </row>
    <row r="2819" spans="1:36" x14ac:dyDescent="0.25">
      <c r="A2819" s="1"/>
      <c r="B2819" s="2"/>
      <c r="AA2819" s="3"/>
      <c r="AD2819" s="3"/>
      <c r="AG2819" s="3"/>
      <c r="AJ2819" s="3"/>
    </row>
    <row r="2820" spans="1:36" x14ac:dyDescent="0.25">
      <c r="A2820" s="1"/>
      <c r="B2820" s="2"/>
      <c r="AA2820" s="3"/>
      <c r="AD2820" s="3"/>
      <c r="AG2820" s="3"/>
      <c r="AJ2820" s="3"/>
    </row>
    <row r="2821" spans="1:36" x14ac:dyDescent="0.25">
      <c r="A2821" s="1"/>
      <c r="B2821" s="2"/>
      <c r="AA2821" s="3"/>
      <c r="AD2821" s="3"/>
      <c r="AG2821" s="3"/>
      <c r="AJ2821" s="3"/>
    </row>
    <row r="2822" spans="1:36" x14ac:dyDescent="0.25">
      <c r="A2822" s="1"/>
      <c r="B2822" s="2"/>
      <c r="AA2822" s="3"/>
      <c r="AD2822" s="3"/>
      <c r="AG2822" s="3"/>
      <c r="AJ2822" s="3"/>
    </row>
    <row r="2823" spans="1:36" x14ac:dyDescent="0.25">
      <c r="A2823" s="1"/>
      <c r="B2823" s="2"/>
      <c r="AA2823" s="3"/>
      <c r="AD2823" s="3"/>
      <c r="AG2823" s="3"/>
      <c r="AJ2823" s="3"/>
    </row>
    <row r="2824" spans="1:36" x14ac:dyDescent="0.25">
      <c r="A2824" s="1"/>
      <c r="B2824" s="2"/>
      <c r="AA2824" s="3"/>
      <c r="AD2824" s="3"/>
      <c r="AG2824" s="3"/>
      <c r="AJ2824" s="3"/>
    </row>
    <row r="2825" spans="1:36" x14ac:dyDescent="0.25">
      <c r="A2825" s="1"/>
      <c r="B2825" s="2"/>
      <c r="AA2825" s="3"/>
      <c r="AD2825" s="3"/>
      <c r="AG2825" s="3"/>
      <c r="AJ2825" s="3"/>
    </row>
    <row r="2826" spans="1:36" x14ac:dyDescent="0.25">
      <c r="A2826" s="1"/>
      <c r="B2826" s="2"/>
      <c r="AA2826" s="3"/>
      <c r="AD2826" s="3"/>
      <c r="AG2826" s="3"/>
      <c r="AJ2826" s="3"/>
    </row>
    <row r="2827" spans="1:36" x14ac:dyDescent="0.25">
      <c r="A2827" s="1"/>
      <c r="B2827" s="2"/>
      <c r="AA2827" s="3"/>
      <c r="AD2827" s="3"/>
      <c r="AG2827" s="3"/>
      <c r="AJ2827" s="3"/>
    </row>
    <row r="2828" spans="1:36" x14ac:dyDescent="0.25">
      <c r="A2828" s="1"/>
      <c r="B2828" s="2"/>
      <c r="AA2828" s="3"/>
      <c r="AD2828" s="3"/>
      <c r="AG2828" s="3"/>
      <c r="AJ2828" s="3"/>
    </row>
    <row r="2829" spans="1:36" x14ac:dyDescent="0.25">
      <c r="A2829" s="1"/>
      <c r="B2829" s="2"/>
      <c r="AA2829" s="3"/>
      <c r="AD2829" s="3"/>
      <c r="AG2829" s="3"/>
      <c r="AJ2829" s="3"/>
    </row>
    <row r="2830" spans="1:36" x14ac:dyDescent="0.25">
      <c r="A2830" s="1"/>
      <c r="B2830" s="2"/>
      <c r="AA2830" s="3"/>
      <c r="AD2830" s="3"/>
      <c r="AG2830" s="3"/>
      <c r="AJ2830" s="3"/>
    </row>
    <row r="2831" spans="1:36" x14ac:dyDescent="0.25">
      <c r="A2831" s="1"/>
      <c r="B2831" s="2"/>
      <c r="AA2831" s="3"/>
      <c r="AD2831" s="3"/>
      <c r="AG2831" s="3"/>
      <c r="AJ2831" s="3"/>
    </row>
    <row r="2832" spans="1:36" x14ac:dyDescent="0.25">
      <c r="A2832" s="1"/>
      <c r="B2832" s="2"/>
      <c r="AA2832" s="3"/>
      <c r="AD2832" s="3"/>
      <c r="AG2832" s="3"/>
      <c r="AJ2832" s="3"/>
    </row>
    <row r="2833" spans="1:36" x14ac:dyDescent="0.25">
      <c r="A2833" s="1"/>
      <c r="B2833" s="2"/>
      <c r="AA2833" s="3"/>
      <c r="AD2833" s="3"/>
      <c r="AG2833" s="3"/>
      <c r="AJ2833" s="3"/>
    </row>
    <row r="2834" spans="1:36" x14ac:dyDescent="0.25">
      <c r="A2834" s="1"/>
      <c r="B2834" s="2"/>
      <c r="AA2834" s="3"/>
      <c r="AD2834" s="3"/>
      <c r="AG2834" s="3"/>
      <c r="AJ2834" s="3"/>
    </row>
    <row r="2835" spans="1:36" x14ac:dyDescent="0.25">
      <c r="A2835" s="1"/>
      <c r="B2835" s="2"/>
      <c r="AA2835" s="3"/>
      <c r="AD2835" s="3"/>
      <c r="AG2835" s="3"/>
      <c r="AJ2835" s="3"/>
    </row>
    <row r="2836" spans="1:36" x14ac:dyDescent="0.25">
      <c r="A2836" s="1"/>
      <c r="B2836" s="2"/>
      <c r="AA2836" s="3"/>
      <c r="AD2836" s="3"/>
      <c r="AG2836" s="3"/>
      <c r="AJ2836" s="3"/>
    </row>
    <row r="2837" spans="1:36" x14ac:dyDescent="0.25">
      <c r="A2837" s="1"/>
      <c r="B2837" s="2"/>
      <c r="AA2837" s="3"/>
      <c r="AD2837" s="3"/>
      <c r="AG2837" s="3"/>
      <c r="AJ2837" s="3"/>
    </row>
    <row r="2838" spans="1:36" x14ac:dyDescent="0.25">
      <c r="A2838" s="1"/>
      <c r="B2838" s="2"/>
      <c r="AA2838" s="3"/>
      <c r="AD2838" s="3"/>
      <c r="AG2838" s="3"/>
      <c r="AJ2838" s="3"/>
    </row>
    <row r="2839" spans="1:36" x14ac:dyDescent="0.25">
      <c r="A2839" s="1"/>
      <c r="B2839" s="2"/>
      <c r="AA2839" s="3"/>
      <c r="AD2839" s="3"/>
      <c r="AG2839" s="3"/>
      <c r="AJ2839" s="3"/>
    </row>
    <row r="2840" spans="1:36" x14ac:dyDescent="0.25">
      <c r="A2840" s="1"/>
      <c r="B2840" s="2"/>
      <c r="AA2840" s="3"/>
      <c r="AD2840" s="3"/>
      <c r="AG2840" s="3"/>
      <c r="AJ2840" s="3"/>
    </row>
    <row r="2841" spans="1:36" x14ac:dyDescent="0.25">
      <c r="A2841" s="1"/>
      <c r="B2841" s="2"/>
      <c r="AA2841" s="3"/>
      <c r="AD2841" s="3"/>
      <c r="AG2841" s="3"/>
      <c r="AJ2841" s="3"/>
    </row>
    <row r="2842" spans="1:36" x14ac:dyDescent="0.25">
      <c r="A2842" s="1"/>
      <c r="B2842" s="2"/>
      <c r="AA2842" s="3"/>
      <c r="AD2842" s="3"/>
      <c r="AG2842" s="3"/>
      <c r="AJ2842" s="3"/>
    </row>
    <row r="2843" spans="1:36" x14ac:dyDescent="0.25">
      <c r="A2843" s="1"/>
      <c r="B2843" s="2"/>
      <c r="AA2843" s="3"/>
      <c r="AD2843" s="3"/>
      <c r="AG2843" s="3"/>
      <c r="AJ2843" s="3"/>
    </row>
    <row r="2844" spans="1:36" x14ac:dyDescent="0.25">
      <c r="A2844" s="1"/>
      <c r="B2844" s="2"/>
      <c r="AA2844" s="3"/>
      <c r="AD2844" s="3"/>
      <c r="AG2844" s="3"/>
      <c r="AJ2844" s="3"/>
    </row>
    <row r="2845" spans="1:36" x14ac:dyDescent="0.25">
      <c r="A2845" s="1"/>
      <c r="B2845" s="2"/>
      <c r="AA2845" s="3"/>
      <c r="AD2845" s="3"/>
      <c r="AG2845" s="3"/>
      <c r="AJ2845" s="3"/>
    </row>
    <row r="2846" spans="1:36" x14ac:dyDescent="0.25">
      <c r="A2846" s="1"/>
      <c r="B2846" s="2"/>
      <c r="AA2846" s="3"/>
      <c r="AD2846" s="3"/>
      <c r="AG2846" s="3"/>
      <c r="AJ2846" s="3"/>
    </row>
    <row r="2847" spans="1:36" x14ac:dyDescent="0.25">
      <c r="A2847" s="1"/>
      <c r="B2847" s="2"/>
      <c r="AA2847" s="3"/>
      <c r="AD2847" s="3"/>
      <c r="AG2847" s="3"/>
      <c r="AJ2847" s="3"/>
    </row>
    <row r="2848" spans="1:36" x14ac:dyDescent="0.25">
      <c r="A2848" s="1"/>
      <c r="B2848" s="2"/>
      <c r="AA2848" s="3"/>
      <c r="AD2848" s="3"/>
      <c r="AG2848" s="3"/>
      <c r="AJ2848" s="3"/>
    </row>
    <row r="2849" spans="1:36" x14ac:dyDescent="0.25">
      <c r="A2849" s="1"/>
      <c r="B2849" s="2"/>
      <c r="AA2849" s="3"/>
      <c r="AD2849" s="3"/>
      <c r="AG2849" s="3"/>
      <c r="AJ2849" s="3"/>
    </row>
    <row r="2850" spans="1:36" x14ac:dyDescent="0.25">
      <c r="A2850" s="1"/>
      <c r="B2850" s="2"/>
      <c r="AA2850" s="3"/>
      <c r="AD2850" s="3"/>
      <c r="AG2850" s="3"/>
      <c r="AJ2850" s="3"/>
    </row>
    <row r="2851" spans="1:36" x14ac:dyDescent="0.25">
      <c r="A2851" s="1"/>
      <c r="B2851" s="2"/>
      <c r="AA2851" s="3"/>
      <c r="AD2851" s="3"/>
      <c r="AG2851" s="3"/>
      <c r="AJ2851" s="3"/>
    </row>
    <row r="2852" spans="1:36" x14ac:dyDescent="0.25">
      <c r="A2852" s="1"/>
      <c r="B2852" s="2"/>
      <c r="AA2852" s="3"/>
      <c r="AD2852" s="3"/>
      <c r="AG2852" s="3"/>
      <c r="AJ2852" s="3"/>
    </row>
    <row r="2853" spans="1:36" x14ac:dyDescent="0.25">
      <c r="A2853" s="1"/>
      <c r="B2853" s="2"/>
      <c r="AA2853" s="3"/>
      <c r="AD2853" s="3"/>
      <c r="AG2853" s="3"/>
      <c r="AJ2853" s="3"/>
    </row>
    <row r="2854" spans="1:36" x14ac:dyDescent="0.25">
      <c r="A2854" s="1"/>
      <c r="B2854" s="2"/>
      <c r="AA2854" s="3"/>
      <c r="AD2854" s="3"/>
      <c r="AG2854" s="3"/>
      <c r="AJ2854" s="3"/>
    </row>
    <row r="2855" spans="1:36" x14ac:dyDescent="0.25">
      <c r="A2855" s="1"/>
      <c r="B2855" s="2"/>
      <c r="AA2855" s="3"/>
      <c r="AD2855" s="3"/>
      <c r="AG2855" s="3"/>
      <c r="AJ2855" s="3"/>
    </row>
    <row r="2856" spans="1:36" x14ac:dyDescent="0.25">
      <c r="A2856" s="1"/>
      <c r="B2856" s="2"/>
      <c r="AA2856" s="3"/>
      <c r="AD2856" s="3"/>
      <c r="AG2856" s="3"/>
      <c r="AJ2856" s="3"/>
    </row>
    <row r="2857" spans="1:36" x14ac:dyDescent="0.25">
      <c r="A2857" s="1"/>
      <c r="B2857" s="2"/>
      <c r="AA2857" s="3"/>
      <c r="AD2857" s="3"/>
      <c r="AG2857" s="3"/>
      <c r="AJ2857" s="3"/>
    </row>
    <row r="2858" spans="1:36" x14ac:dyDescent="0.25">
      <c r="A2858" s="1"/>
      <c r="B2858" s="2"/>
      <c r="AA2858" s="3"/>
      <c r="AD2858" s="3"/>
      <c r="AG2858" s="3"/>
      <c r="AJ2858" s="3"/>
    </row>
    <row r="2859" spans="1:36" x14ac:dyDescent="0.25">
      <c r="A2859" s="1"/>
      <c r="B2859" s="2"/>
      <c r="AA2859" s="3"/>
      <c r="AD2859" s="3"/>
      <c r="AG2859" s="3"/>
      <c r="AJ2859" s="3"/>
    </row>
    <row r="2860" spans="1:36" x14ac:dyDescent="0.25">
      <c r="A2860" s="1"/>
      <c r="B2860" s="2"/>
      <c r="AA2860" s="3"/>
      <c r="AD2860" s="3"/>
      <c r="AG2860" s="3"/>
      <c r="AJ2860" s="3"/>
    </row>
    <row r="2861" spans="1:36" x14ac:dyDescent="0.25">
      <c r="A2861" s="1"/>
      <c r="B2861" s="2"/>
      <c r="AA2861" s="3"/>
      <c r="AD2861" s="3"/>
      <c r="AG2861" s="3"/>
      <c r="AJ2861" s="3"/>
    </row>
    <row r="2862" spans="1:36" x14ac:dyDescent="0.25">
      <c r="A2862" s="1"/>
      <c r="B2862" s="2"/>
      <c r="AA2862" s="3"/>
      <c r="AD2862" s="3"/>
      <c r="AG2862" s="3"/>
      <c r="AJ2862" s="3"/>
    </row>
    <row r="2863" spans="1:36" x14ac:dyDescent="0.25">
      <c r="A2863" s="1"/>
      <c r="B2863" s="2"/>
      <c r="AA2863" s="3"/>
      <c r="AD2863" s="3"/>
      <c r="AG2863" s="3"/>
      <c r="AJ2863" s="3"/>
    </row>
    <row r="2864" spans="1:36" x14ac:dyDescent="0.25">
      <c r="A2864" s="1"/>
      <c r="B2864" s="2"/>
      <c r="AA2864" s="3"/>
      <c r="AD2864" s="3"/>
      <c r="AG2864" s="3"/>
      <c r="AJ2864" s="3"/>
    </row>
    <row r="2865" spans="1:36" x14ac:dyDescent="0.25">
      <c r="A2865" s="1"/>
      <c r="B2865" s="2"/>
      <c r="AA2865" s="3"/>
      <c r="AD2865" s="3"/>
      <c r="AG2865" s="3"/>
      <c r="AJ2865" s="3"/>
    </row>
    <row r="2866" spans="1:36" x14ac:dyDescent="0.25">
      <c r="A2866" s="1"/>
      <c r="B2866" s="2"/>
      <c r="AA2866" s="3"/>
      <c r="AD2866" s="3"/>
      <c r="AG2866" s="3"/>
      <c r="AJ2866" s="3"/>
    </row>
    <row r="2867" spans="1:36" x14ac:dyDescent="0.25">
      <c r="A2867" s="1"/>
      <c r="B2867" s="2"/>
      <c r="AA2867" s="3"/>
      <c r="AD2867" s="3"/>
      <c r="AG2867" s="3"/>
      <c r="AJ2867" s="3"/>
    </row>
    <row r="2868" spans="1:36" x14ac:dyDescent="0.25">
      <c r="A2868" s="1"/>
      <c r="B2868" s="2"/>
      <c r="AA2868" s="3"/>
      <c r="AD2868" s="3"/>
      <c r="AG2868" s="3"/>
      <c r="AJ2868" s="3"/>
    </row>
    <row r="2869" spans="1:36" x14ac:dyDescent="0.25">
      <c r="A2869" s="1"/>
      <c r="B2869" s="2"/>
      <c r="AA2869" s="3"/>
      <c r="AD2869" s="3"/>
      <c r="AG2869" s="3"/>
      <c r="AJ2869" s="3"/>
    </row>
    <row r="2870" spans="1:36" x14ac:dyDescent="0.25">
      <c r="A2870" s="1"/>
      <c r="B2870" s="2"/>
      <c r="AA2870" s="3"/>
      <c r="AD2870" s="3"/>
      <c r="AG2870" s="3"/>
      <c r="AJ2870" s="3"/>
    </row>
    <row r="2871" spans="1:36" x14ac:dyDescent="0.25">
      <c r="A2871" s="1"/>
      <c r="B2871" s="2"/>
      <c r="AA2871" s="3"/>
      <c r="AD2871" s="3"/>
      <c r="AG2871" s="3"/>
      <c r="AJ2871" s="3"/>
    </row>
    <row r="2872" spans="1:36" x14ac:dyDescent="0.25">
      <c r="A2872" s="1"/>
      <c r="B2872" s="2"/>
      <c r="AA2872" s="3"/>
      <c r="AD2872" s="3"/>
      <c r="AG2872" s="3"/>
      <c r="AJ2872" s="3"/>
    </row>
    <row r="2873" spans="1:36" x14ac:dyDescent="0.25">
      <c r="A2873" s="1"/>
      <c r="B2873" s="2"/>
      <c r="AA2873" s="3"/>
      <c r="AD2873" s="3"/>
      <c r="AG2873" s="3"/>
      <c r="AJ2873" s="3"/>
    </row>
    <row r="2874" spans="1:36" x14ac:dyDescent="0.25">
      <c r="A2874" s="1"/>
      <c r="B2874" s="2"/>
      <c r="AA2874" s="3"/>
      <c r="AD2874" s="3"/>
      <c r="AG2874" s="3"/>
      <c r="AJ2874" s="3"/>
    </row>
    <row r="2875" spans="1:36" x14ac:dyDescent="0.25">
      <c r="A2875" s="1"/>
      <c r="B2875" s="2"/>
      <c r="AA2875" s="3"/>
      <c r="AD2875" s="3"/>
      <c r="AG2875" s="3"/>
      <c r="AJ2875" s="3"/>
    </row>
    <row r="2876" spans="1:36" x14ac:dyDescent="0.25">
      <c r="A2876" s="1"/>
      <c r="B2876" s="2"/>
      <c r="AA2876" s="3"/>
      <c r="AD2876" s="3"/>
      <c r="AG2876" s="3"/>
      <c r="AJ2876" s="3"/>
    </row>
    <row r="2877" spans="1:36" x14ac:dyDescent="0.25">
      <c r="A2877" s="1"/>
      <c r="B2877" s="2"/>
      <c r="AA2877" s="3"/>
      <c r="AD2877" s="3"/>
      <c r="AG2877" s="3"/>
      <c r="AJ2877" s="3"/>
    </row>
    <row r="2878" spans="1:36" x14ac:dyDescent="0.25">
      <c r="A2878" s="1"/>
      <c r="B2878" s="2"/>
      <c r="AA2878" s="3"/>
      <c r="AD2878" s="3"/>
      <c r="AG2878" s="3"/>
      <c r="AJ2878" s="3"/>
    </row>
    <row r="2879" spans="1:36" x14ac:dyDescent="0.25">
      <c r="A2879" s="1"/>
      <c r="B2879" s="2"/>
      <c r="AA2879" s="3"/>
      <c r="AD2879" s="3"/>
      <c r="AG2879" s="3"/>
      <c r="AJ2879" s="3"/>
    </row>
    <row r="2880" spans="1:36" x14ac:dyDescent="0.25">
      <c r="A2880" s="1"/>
      <c r="B2880" s="2"/>
      <c r="AA2880" s="3"/>
      <c r="AD2880" s="3"/>
      <c r="AG2880" s="3"/>
      <c r="AJ2880" s="3"/>
    </row>
    <row r="2881" spans="1:36" x14ac:dyDescent="0.25">
      <c r="A2881" s="1"/>
      <c r="B2881" s="2"/>
      <c r="AA2881" s="3"/>
      <c r="AD2881" s="3"/>
      <c r="AG2881" s="3"/>
      <c r="AJ2881" s="3"/>
    </row>
    <row r="2882" spans="1:36" x14ac:dyDescent="0.25">
      <c r="A2882" s="1"/>
      <c r="B2882" s="2"/>
      <c r="AA2882" s="3"/>
      <c r="AD2882" s="3"/>
      <c r="AG2882" s="3"/>
      <c r="AJ2882" s="3"/>
    </row>
    <row r="2883" spans="1:36" x14ac:dyDescent="0.25">
      <c r="A2883" s="1"/>
      <c r="B2883" s="2"/>
      <c r="AA2883" s="3"/>
      <c r="AD2883" s="3"/>
      <c r="AG2883" s="3"/>
      <c r="AJ2883" s="3"/>
    </row>
    <row r="2884" spans="1:36" x14ac:dyDescent="0.25">
      <c r="A2884" s="1"/>
      <c r="B2884" s="2"/>
      <c r="AA2884" s="3"/>
      <c r="AD2884" s="3"/>
      <c r="AG2884" s="3"/>
      <c r="AJ2884" s="3"/>
    </row>
    <row r="2885" spans="1:36" x14ac:dyDescent="0.25">
      <c r="A2885" s="1"/>
      <c r="B2885" s="2"/>
      <c r="AA2885" s="3"/>
      <c r="AD2885" s="3"/>
      <c r="AG2885" s="3"/>
      <c r="AJ2885" s="3"/>
    </row>
    <row r="2886" spans="1:36" x14ac:dyDescent="0.25">
      <c r="A2886" s="1"/>
      <c r="B2886" s="2"/>
      <c r="AA2886" s="3"/>
      <c r="AD2886" s="3"/>
      <c r="AG2886" s="3"/>
      <c r="AJ2886" s="3"/>
    </row>
    <row r="2887" spans="1:36" x14ac:dyDescent="0.25">
      <c r="A2887" s="1"/>
      <c r="B2887" s="2"/>
      <c r="AA2887" s="3"/>
      <c r="AD2887" s="3"/>
      <c r="AG2887" s="3"/>
      <c r="AJ2887" s="3"/>
    </row>
    <row r="2888" spans="1:36" x14ac:dyDescent="0.25">
      <c r="A2888" s="1"/>
      <c r="B2888" s="2"/>
      <c r="AA2888" s="3"/>
      <c r="AD2888" s="3"/>
      <c r="AG2888" s="3"/>
      <c r="AJ2888" s="3"/>
    </row>
    <row r="2889" spans="1:36" x14ac:dyDescent="0.25">
      <c r="A2889" s="1"/>
      <c r="B2889" s="2"/>
      <c r="AA2889" s="3"/>
      <c r="AD2889" s="3"/>
      <c r="AG2889" s="3"/>
      <c r="AJ2889" s="3"/>
    </row>
    <row r="2890" spans="1:36" x14ac:dyDescent="0.25">
      <c r="A2890" s="1"/>
      <c r="B2890" s="2"/>
      <c r="AA2890" s="3"/>
      <c r="AD2890" s="3"/>
      <c r="AG2890" s="3"/>
      <c r="AJ2890" s="3"/>
    </row>
    <row r="2891" spans="1:36" x14ac:dyDescent="0.25">
      <c r="A2891" s="1"/>
      <c r="B2891" s="2"/>
      <c r="AA2891" s="3"/>
      <c r="AD2891" s="3"/>
      <c r="AG2891" s="3"/>
      <c r="AJ2891" s="3"/>
    </row>
    <row r="2892" spans="1:36" x14ac:dyDescent="0.25">
      <c r="A2892" s="1"/>
      <c r="B2892" s="2"/>
      <c r="AA2892" s="3"/>
      <c r="AD2892" s="3"/>
      <c r="AG2892" s="3"/>
      <c r="AJ2892" s="3"/>
    </row>
    <row r="2893" spans="1:36" x14ac:dyDescent="0.25">
      <c r="A2893" s="1"/>
      <c r="B2893" s="2"/>
      <c r="AA2893" s="3"/>
      <c r="AD2893" s="3"/>
      <c r="AG2893" s="3"/>
      <c r="AJ2893" s="3"/>
    </row>
    <row r="2894" spans="1:36" x14ac:dyDescent="0.25">
      <c r="A2894" s="1"/>
      <c r="B2894" s="2"/>
      <c r="AA2894" s="3"/>
      <c r="AD2894" s="3"/>
      <c r="AG2894" s="3"/>
      <c r="AJ2894" s="3"/>
    </row>
    <row r="2895" spans="1:36" x14ac:dyDescent="0.25">
      <c r="A2895" s="1"/>
      <c r="B2895" s="2"/>
      <c r="AA2895" s="3"/>
      <c r="AD2895" s="3"/>
      <c r="AG2895" s="3"/>
      <c r="AJ2895" s="3"/>
    </row>
    <row r="2896" spans="1:36" x14ac:dyDescent="0.25">
      <c r="A2896" s="1"/>
      <c r="B2896" s="2"/>
      <c r="AA2896" s="3"/>
      <c r="AD2896" s="3"/>
      <c r="AG2896" s="3"/>
      <c r="AJ2896" s="3"/>
    </row>
    <row r="2897" spans="1:36" x14ac:dyDescent="0.25">
      <c r="A2897" s="1"/>
      <c r="B2897" s="2"/>
      <c r="AA2897" s="3"/>
      <c r="AD2897" s="3"/>
      <c r="AG2897" s="3"/>
      <c r="AJ2897" s="3"/>
    </row>
    <row r="2898" spans="1:36" x14ac:dyDescent="0.25">
      <c r="A2898" s="1"/>
      <c r="B2898" s="2"/>
      <c r="AA2898" s="3"/>
      <c r="AD2898" s="3"/>
      <c r="AG2898" s="3"/>
      <c r="AJ2898" s="3"/>
    </row>
    <row r="2899" spans="1:36" x14ac:dyDescent="0.25">
      <c r="A2899" s="1"/>
      <c r="B2899" s="2"/>
      <c r="AA2899" s="3"/>
      <c r="AD2899" s="3"/>
      <c r="AG2899" s="3"/>
      <c r="AJ2899" s="3"/>
    </row>
    <row r="2900" spans="1:36" x14ac:dyDescent="0.25">
      <c r="A2900" s="1"/>
      <c r="B2900" s="2"/>
      <c r="AA2900" s="3"/>
      <c r="AD2900" s="3"/>
      <c r="AG2900" s="3"/>
      <c r="AJ2900" s="3"/>
    </row>
    <row r="2901" spans="1:36" x14ac:dyDescent="0.25">
      <c r="A2901" s="1"/>
      <c r="B2901" s="2"/>
      <c r="AA2901" s="3"/>
      <c r="AD2901" s="3"/>
      <c r="AG2901" s="3"/>
      <c r="AJ2901" s="3"/>
    </row>
    <row r="2902" spans="1:36" x14ac:dyDescent="0.25">
      <c r="A2902" s="1"/>
      <c r="B2902" s="2"/>
      <c r="AA2902" s="3"/>
      <c r="AD2902" s="3"/>
      <c r="AG2902" s="3"/>
      <c r="AJ2902" s="3"/>
    </row>
    <row r="2903" spans="1:36" x14ac:dyDescent="0.25">
      <c r="A2903" s="1"/>
      <c r="B2903" s="2"/>
      <c r="AA2903" s="3"/>
      <c r="AD2903" s="3"/>
      <c r="AG2903" s="3"/>
      <c r="AJ2903" s="3"/>
    </row>
    <row r="2904" spans="1:36" x14ac:dyDescent="0.25">
      <c r="A2904" s="1"/>
      <c r="B2904" s="2"/>
      <c r="AA2904" s="3"/>
      <c r="AD2904" s="3"/>
      <c r="AG2904" s="3"/>
      <c r="AJ2904" s="3"/>
    </row>
    <row r="2905" spans="1:36" x14ac:dyDescent="0.25">
      <c r="A2905" s="1"/>
      <c r="B2905" s="2"/>
      <c r="AA2905" s="3"/>
      <c r="AD2905" s="3"/>
      <c r="AG2905" s="3"/>
      <c r="AJ2905" s="3"/>
    </row>
    <row r="2906" spans="1:36" x14ac:dyDescent="0.25">
      <c r="A2906" s="1"/>
      <c r="B2906" s="2"/>
      <c r="AA2906" s="3"/>
      <c r="AD2906" s="3"/>
      <c r="AG2906" s="3"/>
      <c r="AJ2906" s="3"/>
    </row>
    <row r="2907" spans="1:36" x14ac:dyDescent="0.25">
      <c r="A2907" s="1"/>
      <c r="B2907" s="2"/>
      <c r="AA2907" s="3"/>
      <c r="AD2907" s="3"/>
      <c r="AG2907" s="3"/>
      <c r="AJ2907" s="3"/>
    </row>
    <row r="2908" spans="1:36" x14ac:dyDescent="0.25">
      <c r="A2908" s="1"/>
      <c r="B2908" s="2"/>
      <c r="AA2908" s="3"/>
      <c r="AD2908" s="3"/>
      <c r="AG2908" s="3"/>
      <c r="AJ2908" s="3"/>
    </row>
    <row r="2909" spans="1:36" x14ac:dyDescent="0.25">
      <c r="A2909" s="1"/>
      <c r="B2909" s="2"/>
      <c r="AA2909" s="3"/>
      <c r="AD2909" s="3"/>
      <c r="AG2909" s="3"/>
      <c r="AJ2909" s="3"/>
    </row>
    <row r="2910" spans="1:36" x14ac:dyDescent="0.25">
      <c r="A2910" s="1"/>
      <c r="B2910" s="2"/>
      <c r="AA2910" s="3"/>
      <c r="AD2910" s="3"/>
      <c r="AG2910" s="3"/>
      <c r="AJ2910" s="3"/>
    </row>
    <row r="2911" spans="1:36" x14ac:dyDescent="0.25">
      <c r="A2911" s="1"/>
      <c r="B2911" s="2"/>
      <c r="AA2911" s="3"/>
      <c r="AD2911" s="3"/>
      <c r="AG2911" s="3"/>
      <c r="AJ2911" s="3"/>
    </row>
    <row r="2912" spans="1:36" x14ac:dyDescent="0.25">
      <c r="A2912" s="1"/>
      <c r="B2912" s="2"/>
      <c r="AA2912" s="3"/>
      <c r="AD2912" s="3"/>
      <c r="AG2912" s="3"/>
      <c r="AJ2912" s="3"/>
    </row>
    <row r="2913" spans="1:36" x14ac:dyDescent="0.25">
      <c r="A2913" s="1"/>
      <c r="B2913" s="2"/>
      <c r="AA2913" s="3"/>
      <c r="AD2913" s="3"/>
      <c r="AG2913" s="3"/>
      <c r="AJ2913" s="3"/>
    </row>
    <row r="2914" spans="1:36" x14ac:dyDescent="0.25">
      <c r="A2914" s="1"/>
      <c r="B2914" s="2"/>
      <c r="AA2914" s="3"/>
      <c r="AD2914" s="3"/>
      <c r="AG2914" s="3"/>
      <c r="AJ2914" s="3"/>
    </row>
    <row r="2915" spans="1:36" x14ac:dyDescent="0.25">
      <c r="A2915" s="1"/>
      <c r="B2915" s="2"/>
      <c r="AA2915" s="3"/>
      <c r="AD2915" s="3"/>
      <c r="AG2915" s="3"/>
      <c r="AJ2915" s="3"/>
    </row>
    <row r="2916" spans="1:36" x14ac:dyDescent="0.25">
      <c r="A2916" s="1"/>
      <c r="B2916" s="2"/>
      <c r="AA2916" s="3"/>
      <c r="AD2916" s="3"/>
      <c r="AG2916" s="3"/>
      <c r="AJ2916" s="3"/>
    </row>
    <row r="2917" spans="1:36" x14ac:dyDescent="0.25">
      <c r="A2917" s="1"/>
      <c r="B2917" s="2"/>
      <c r="AA2917" s="3"/>
      <c r="AD2917" s="3"/>
      <c r="AG2917" s="3"/>
      <c r="AJ2917" s="3"/>
    </row>
    <row r="2918" spans="1:36" x14ac:dyDescent="0.25">
      <c r="A2918" s="1"/>
      <c r="B2918" s="2"/>
      <c r="AA2918" s="3"/>
      <c r="AD2918" s="3"/>
      <c r="AG2918" s="3"/>
      <c r="AJ2918" s="3"/>
    </row>
    <row r="2919" spans="1:36" x14ac:dyDescent="0.25">
      <c r="A2919" s="1"/>
      <c r="B2919" s="2"/>
      <c r="AA2919" s="3"/>
      <c r="AD2919" s="3"/>
      <c r="AG2919" s="3"/>
      <c r="AJ2919" s="3"/>
    </row>
    <row r="2920" spans="1:36" x14ac:dyDescent="0.25">
      <c r="A2920" s="1"/>
      <c r="B2920" s="2"/>
      <c r="AA2920" s="3"/>
      <c r="AD2920" s="3"/>
      <c r="AG2920" s="3"/>
      <c r="AJ2920" s="3"/>
    </row>
    <row r="2921" spans="1:36" x14ac:dyDescent="0.25">
      <c r="A2921" s="1"/>
      <c r="B2921" s="2"/>
      <c r="AA2921" s="3"/>
      <c r="AD2921" s="3"/>
      <c r="AG2921" s="3"/>
      <c r="AJ2921" s="3"/>
    </row>
    <row r="2922" spans="1:36" x14ac:dyDescent="0.25">
      <c r="A2922" s="1"/>
      <c r="B2922" s="2"/>
      <c r="AA2922" s="3"/>
      <c r="AD2922" s="3"/>
      <c r="AG2922" s="3"/>
      <c r="AJ2922" s="3"/>
    </row>
    <row r="2923" spans="1:36" x14ac:dyDescent="0.25">
      <c r="A2923" s="1"/>
      <c r="B2923" s="2"/>
      <c r="AA2923" s="3"/>
      <c r="AD2923" s="3"/>
      <c r="AG2923" s="3"/>
      <c r="AJ2923" s="3"/>
    </row>
    <row r="2924" spans="1:36" x14ac:dyDescent="0.25">
      <c r="A2924" s="1"/>
      <c r="B2924" s="2"/>
      <c r="AA2924" s="3"/>
      <c r="AD2924" s="3"/>
      <c r="AG2924" s="3"/>
      <c r="AJ2924" s="3"/>
    </row>
    <row r="2925" spans="1:36" x14ac:dyDescent="0.25">
      <c r="A2925" s="1"/>
      <c r="B2925" s="2"/>
      <c r="AA2925" s="3"/>
      <c r="AD2925" s="3"/>
      <c r="AG2925" s="3"/>
      <c r="AJ2925" s="3"/>
    </row>
    <row r="2926" spans="1:36" x14ac:dyDescent="0.25">
      <c r="A2926" s="1"/>
      <c r="B2926" s="2"/>
      <c r="AA2926" s="3"/>
      <c r="AD2926" s="3"/>
      <c r="AG2926" s="3"/>
      <c r="AJ2926" s="3"/>
    </row>
    <row r="2927" spans="1:36" x14ac:dyDescent="0.25">
      <c r="A2927" s="1"/>
      <c r="B2927" s="2"/>
      <c r="AA2927" s="3"/>
      <c r="AD2927" s="3"/>
      <c r="AG2927" s="3"/>
      <c r="AJ2927" s="3"/>
    </row>
    <row r="2928" spans="1:36" x14ac:dyDescent="0.25">
      <c r="A2928" s="1"/>
      <c r="B2928" s="2"/>
      <c r="AA2928" s="3"/>
      <c r="AD2928" s="3"/>
      <c r="AG2928" s="3"/>
      <c r="AJ2928" s="3"/>
    </row>
    <row r="2929" spans="1:36" x14ac:dyDescent="0.25">
      <c r="A2929" s="1"/>
      <c r="B2929" s="2"/>
      <c r="AA2929" s="3"/>
      <c r="AD2929" s="3"/>
      <c r="AG2929" s="3"/>
      <c r="AJ2929" s="3"/>
    </row>
    <row r="2930" spans="1:36" x14ac:dyDescent="0.25">
      <c r="A2930" s="1"/>
      <c r="B2930" s="2"/>
      <c r="AA2930" s="3"/>
      <c r="AD2930" s="3"/>
      <c r="AG2930" s="3"/>
      <c r="AJ2930" s="3"/>
    </row>
    <row r="2931" spans="1:36" x14ac:dyDescent="0.25">
      <c r="A2931" s="1"/>
      <c r="B2931" s="2"/>
      <c r="AA2931" s="3"/>
      <c r="AD2931" s="3"/>
      <c r="AG2931" s="3"/>
      <c r="AJ2931" s="3"/>
    </row>
    <row r="2932" spans="1:36" x14ac:dyDescent="0.25">
      <c r="A2932" s="1"/>
      <c r="B2932" s="2"/>
      <c r="AA2932" s="3"/>
      <c r="AD2932" s="3"/>
      <c r="AG2932" s="3"/>
      <c r="AJ2932" s="3"/>
    </row>
    <row r="2933" spans="1:36" x14ac:dyDescent="0.25">
      <c r="A2933" s="1"/>
      <c r="B2933" s="2"/>
      <c r="AA2933" s="3"/>
      <c r="AD2933" s="3"/>
      <c r="AG2933" s="3"/>
      <c r="AJ2933" s="3"/>
    </row>
    <row r="2934" spans="1:36" x14ac:dyDescent="0.25">
      <c r="A2934" s="1"/>
      <c r="B2934" s="2"/>
      <c r="AA2934" s="3"/>
      <c r="AD2934" s="3"/>
      <c r="AG2934" s="3"/>
      <c r="AJ2934" s="3"/>
    </row>
    <row r="2935" spans="1:36" x14ac:dyDescent="0.25">
      <c r="A2935" s="1"/>
      <c r="B2935" s="2"/>
      <c r="AA2935" s="3"/>
      <c r="AD2935" s="3"/>
      <c r="AG2935" s="3"/>
      <c r="AJ2935" s="3"/>
    </row>
    <row r="2936" spans="1:36" x14ac:dyDescent="0.25">
      <c r="A2936" s="1"/>
      <c r="B2936" s="2"/>
      <c r="AA2936" s="3"/>
      <c r="AD2936" s="3"/>
      <c r="AG2936" s="3"/>
      <c r="AJ2936" s="3"/>
    </row>
    <row r="2937" spans="1:36" x14ac:dyDescent="0.25">
      <c r="A2937" s="1"/>
      <c r="B2937" s="2"/>
      <c r="AA2937" s="3"/>
      <c r="AD2937" s="3"/>
      <c r="AG2937" s="3"/>
      <c r="AJ2937" s="3"/>
    </row>
    <row r="2938" spans="1:36" x14ac:dyDescent="0.25">
      <c r="A2938" s="1"/>
      <c r="B2938" s="2"/>
      <c r="AA2938" s="3"/>
      <c r="AD2938" s="3"/>
      <c r="AG2938" s="3"/>
      <c r="AJ2938" s="3"/>
    </row>
    <row r="2939" spans="1:36" x14ac:dyDescent="0.25">
      <c r="A2939" s="1"/>
      <c r="B2939" s="2"/>
      <c r="AA2939" s="3"/>
      <c r="AD2939" s="3"/>
      <c r="AG2939" s="3"/>
      <c r="AJ2939" s="3"/>
    </row>
    <row r="2940" spans="1:36" x14ac:dyDescent="0.25">
      <c r="A2940" s="1"/>
      <c r="B2940" s="2"/>
      <c r="AA2940" s="3"/>
      <c r="AD2940" s="3"/>
      <c r="AG2940" s="3"/>
      <c r="AJ2940" s="3"/>
    </row>
    <row r="2941" spans="1:36" x14ac:dyDescent="0.25">
      <c r="A2941" s="1"/>
      <c r="B2941" s="2"/>
      <c r="AA2941" s="3"/>
      <c r="AD2941" s="3"/>
      <c r="AG2941" s="3"/>
      <c r="AJ2941" s="3"/>
    </row>
    <row r="2942" spans="1:36" x14ac:dyDescent="0.25">
      <c r="A2942" s="1"/>
      <c r="B2942" s="2"/>
      <c r="AA2942" s="3"/>
      <c r="AD2942" s="3"/>
      <c r="AG2942" s="3"/>
      <c r="AJ2942" s="3"/>
    </row>
    <row r="2943" spans="1:36" x14ac:dyDescent="0.25">
      <c r="A2943" s="1"/>
      <c r="B2943" s="2"/>
      <c r="AA2943" s="3"/>
      <c r="AD2943" s="3"/>
      <c r="AG2943" s="3"/>
      <c r="AJ2943" s="3"/>
    </row>
    <row r="2944" spans="1:36" x14ac:dyDescent="0.25">
      <c r="A2944" s="1"/>
      <c r="B2944" s="2"/>
      <c r="AA2944" s="3"/>
      <c r="AD2944" s="3"/>
      <c r="AG2944" s="3"/>
      <c r="AJ2944" s="3"/>
    </row>
    <row r="2945" spans="1:36" x14ac:dyDescent="0.25">
      <c r="A2945" s="1"/>
      <c r="B2945" s="2"/>
      <c r="AA2945" s="3"/>
      <c r="AD2945" s="3"/>
      <c r="AG2945" s="3"/>
      <c r="AJ2945" s="3"/>
    </row>
    <row r="2946" spans="1:36" x14ac:dyDescent="0.25">
      <c r="A2946" s="1"/>
      <c r="B2946" s="2"/>
      <c r="AA2946" s="3"/>
      <c r="AD2946" s="3"/>
      <c r="AG2946" s="3"/>
      <c r="AJ2946" s="3"/>
    </row>
    <row r="2947" spans="1:36" x14ac:dyDescent="0.25">
      <c r="A2947" s="1"/>
      <c r="B2947" s="2"/>
      <c r="AA2947" s="3"/>
      <c r="AD2947" s="3"/>
      <c r="AG2947" s="3"/>
      <c r="AJ2947" s="3"/>
    </row>
    <row r="2948" spans="1:36" x14ac:dyDescent="0.25">
      <c r="A2948" s="1"/>
      <c r="B2948" s="2"/>
      <c r="AA2948" s="3"/>
      <c r="AD2948" s="3"/>
      <c r="AG2948" s="3"/>
      <c r="AJ2948" s="3"/>
    </row>
    <row r="2949" spans="1:36" x14ac:dyDescent="0.25">
      <c r="A2949" s="1"/>
      <c r="B2949" s="2"/>
      <c r="AA2949" s="3"/>
      <c r="AD2949" s="3"/>
      <c r="AG2949" s="3"/>
      <c r="AJ2949" s="3"/>
    </row>
    <row r="2950" spans="1:36" x14ac:dyDescent="0.25">
      <c r="A2950" s="1"/>
      <c r="B2950" s="2"/>
      <c r="AA2950" s="3"/>
      <c r="AD2950" s="3"/>
      <c r="AG2950" s="3"/>
      <c r="AJ2950" s="3"/>
    </row>
    <row r="2951" spans="1:36" x14ac:dyDescent="0.25">
      <c r="A2951" s="1"/>
      <c r="B2951" s="2"/>
      <c r="AA2951" s="3"/>
      <c r="AD2951" s="3"/>
      <c r="AG2951" s="3"/>
      <c r="AJ2951" s="3"/>
    </row>
    <row r="2952" spans="1:36" x14ac:dyDescent="0.25">
      <c r="A2952" s="1"/>
      <c r="B2952" s="2"/>
      <c r="AA2952" s="3"/>
      <c r="AD2952" s="3"/>
      <c r="AG2952" s="3"/>
      <c r="AJ2952" s="3"/>
    </row>
    <row r="2953" spans="1:36" x14ac:dyDescent="0.25">
      <c r="A2953" s="1"/>
      <c r="B2953" s="2"/>
      <c r="AA2953" s="3"/>
      <c r="AD2953" s="3"/>
      <c r="AG2953" s="3"/>
      <c r="AJ2953" s="3"/>
    </row>
    <row r="2954" spans="1:36" x14ac:dyDescent="0.25">
      <c r="A2954" s="1"/>
      <c r="B2954" s="2"/>
      <c r="AA2954" s="3"/>
      <c r="AD2954" s="3"/>
      <c r="AG2954" s="3"/>
      <c r="AJ2954" s="3"/>
    </row>
    <row r="2955" spans="1:36" x14ac:dyDescent="0.25">
      <c r="A2955" s="1"/>
      <c r="B2955" s="2"/>
      <c r="AA2955" s="3"/>
      <c r="AD2955" s="3"/>
      <c r="AG2955" s="3"/>
      <c r="AJ2955" s="3"/>
    </row>
    <row r="2956" spans="1:36" x14ac:dyDescent="0.25">
      <c r="A2956" s="1"/>
      <c r="B2956" s="2"/>
      <c r="AA2956" s="3"/>
      <c r="AD2956" s="3"/>
      <c r="AG2956" s="3"/>
      <c r="AJ2956" s="3"/>
    </row>
    <row r="2957" spans="1:36" x14ac:dyDescent="0.25">
      <c r="A2957" s="1"/>
      <c r="B2957" s="2"/>
      <c r="AA2957" s="3"/>
      <c r="AD2957" s="3"/>
      <c r="AG2957" s="3"/>
      <c r="AJ2957" s="3"/>
    </row>
    <row r="2958" spans="1:36" x14ac:dyDescent="0.25">
      <c r="A2958" s="1"/>
      <c r="B2958" s="2"/>
      <c r="AA2958" s="3"/>
      <c r="AD2958" s="3"/>
      <c r="AG2958" s="3"/>
      <c r="AJ2958" s="3"/>
    </row>
    <row r="2959" spans="1:36" x14ac:dyDescent="0.25">
      <c r="A2959" s="1"/>
      <c r="B2959" s="2"/>
      <c r="AA2959" s="3"/>
      <c r="AD2959" s="3"/>
      <c r="AG2959" s="3"/>
      <c r="AJ2959" s="3"/>
    </row>
    <row r="2960" spans="1:36" x14ac:dyDescent="0.25">
      <c r="A2960" s="1"/>
      <c r="B2960" s="2"/>
      <c r="AA2960" s="3"/>
      <c r="AD2960" s="3"/>
      <c r="AG2960" s="3"/>
      <c r="AJ2960" s="3"/>
    </row>
    <row r="2961" spans="1:36" x14ac:dyDescent="0.25">
      <c r="A2961" s="1"/>
      <c r="B2961" s="2"/>
      <c r="AA2961" s="3"/>
      <c r="AD2961" s="3"/>
      <c r="AG2961" s="3"/>
      <c r="AJ2961" s="3"/>
    </row>
    <row r="2962" spans="1:36" x14ac:dyDescent="0.25">
      <c r="A2962" s="1"/>
      <c r="B2962" s="2"/>
      <c r="AA2962" s="3"/>
      <c r="AD2962" s="3"/>
      <c r="AG2962" s="3"/>
      <c r="AJ2962" s="3"/>
    </row>
    <row r="2963" spans="1:36" x14ac:dyDescent="0.25">
      <c r="A2963" s="1"/>
      <c r="B2963" s="2"/>
      <c r="AA2963" s="3"/>
      <c r="AD2963" s="3"/>
      <c r="AG2963" s="3"/>
      <c r="AJ2963" s="3"/>
    </row>
    <row r="2964" spans="1:36" x14ac:dyDescent="0.25">
      <c r="A2964" s="1"/>
      <c r="B2964" s="2"/>
      <c r="AA2964" s="3"/>
      <c r="AD2964" s="3"/>
      <c r="AG2964" s="3"/>
      <c r="AJ2964" s="3"/>
    </row>
    <row r="2965" spans="1:36" x14ac:dyDescent="0.25">
      <c r="A2965" s="1"/>
      <c r="B2965" s="2"/>
      <c r="AA2965" s="3"/>
      <c r="AD2965" s="3"/>
      <c r="AG2965" s="3"/>
      <c r="AJ2965" s="3"/>
    </row>
    <row r="2966" spans="1:36" x14ac:dyDescent="0.25">
      <c r="A2966" s="1"/>
      <c r="B2966" s="2"/>
      <c r="AA2966" s="3"/>
      <c r="AD2966" s="3"/>
      <c r="AG2966" s="3"/>
      <c r="AJ2966" s="3"/>
    </row>
    <row r="2967" spans="1:36" x14ac:dyDescent="0.25">
      <c r="A2967" s="1"/>
      <c r="B2967" s="2"/>
      <c r="AA2967" s="3"/>
      <c r="AD2967" s="3"/>
      <c r="AG2967" s="3"/>
      <c r="AJ2967" s="3"/>
    </row>
    <row r="2968" spans="1:36" x14ac:dyDescent="0.25">
      <c r="A2968" s="1"/>
      <c r="B2968" s="2"/>
      <c r="AA2968" s="3"/>
      <c r="AD2968" s="3"/>
      <c r="AG2968" s="3"/>
      <c r="AJ2968" s="3"/>
    </row>
    <row r="2969" spans="1:36" x14ac:dyDescent="0.25">
      <c r="A2969" s="1"/>
      <c r="B2969" s="2"/>
      <c r="AA2969" s="3"/>
      <c r="AD2969" s="3"/>
      <c r="AG2969" s="3"/>
      <c r="AJ2969" s="3"/>
    </row>
    <row r="2970" spans="1:36" x14ac:dyDescent="0.25">
      <c r="A2970" s="1"/>
      <c r="B2970" s="2"/>
      <c r="AA2970" s="3"/>
      <c r="AD2970" s="3"/>
      <c r="AG2970" s="3"/>
      <c r="AJ2970" s="3"/>
    </row>
    <row r="2971" spans="1:36" x14ac:dyDescent="0.25">
      <c r="A2971" s="1"/>
      <c r="B2971" s="2"/>
      <c r="AA2971" s="3"/>
      <c r="AD2971" s="3"/>
      <c r="AG2971" s="3"/>
      <c r="AJ2971" s="3"/>
    </row>
    <row r="2972" spans="1:36" x14ac:dyDescent="0.25">
      <c r="A2972" s="1"/>
      <c r="B2972" s="2"/>
      <c r="AA2972" s="3"/>
      <c r="AD2972" s="3"/>
      <c r="AG2972" s="3"/>
      <c r="AJ2972" s="3"/>
    </row>
    <row r="2973" spans="1:36" x14ac:dyDescent="0.25">
      <c r="A2973" s="1"/>
      <c r="B2973" s="2"/>
      <c r="AA2973" s="3"/>
      <c r="AD2973" s="3"/>
      <c r="AG2973" s="3"/>
      <c r="AJ2973" s="3"/>
    </row>
    <row r="2974" spans="1:36" x14ac:dyDescent="0.25">
      <c r="A2974" s="1"/>
      <c r="B2974" s="2"/>
      <c r="AA2974" s="3"/>
      <c r="AD2974" s="3"/>
      <c r="AG2974" s="3"/>
      <c r="AJ2974" s="3"/>
    </row>
    <row r="2975" spans="1:36" x14ac:dyDescent="0.25">
      <c r="A2975" s="1"/>
      <c r="B2975" s="2"/>
      <c r="AA2975" s="3"/>
      <c r="AD2975" s="3"/>
      <c r="AG2975" s="3"/>
      <c r="AJ2975" s="3"/>
    </row>
    <row r="2976" spans="1:36" x14ac:dyDescent="0.25">
      <c r="A2976" s="1"/>
      <c r="B2976" s="2"/>
      <c r="AA2976" s="3"/>
      <c r="AD2976" s="3"/>
      <c r="AG2976" s="3"/>
      <c r="AJ2976" s="3"/>
    </row>
    <row r="2977" spans="1:36" x14ac:dyDescent="0.25">
      <c r="A2977" s="1"/>
      <c r="B2977" s="2"/>
      <c r="AA2977" s="3"/>
      <c r="AD2977" s="3"/>
      <c r="AG2977" s="3"/>
      <c r="AJ2977" s="3"/>
    </row>
    <row r="2978" spans="1:36" x14ac:dyDescent="0.25">
      <c r="A2978" s="1"/>
      <c r="B2978" s="2"/>
      <c r="AA2978" s="3"/>
      <c r="AD2978" s="3"/>
      <c r="AG2978" s="3"/>
      <c r="AJ2978" s="3"/>
    </row>
    <row r="2979" spans="1:36" x14ac:dyDescent="0.25">
      <c r="A2979" s="1"/>
      <c r="B2979" s="2"/>
      <c r="AA2979" s="3"/>
      <c r="AD2979" s="3"/>
      <c r="AG2979" s="3"/>
      <c r="AJ2979" s="3"/>
    </row>
    <row r="2980" spans="1:36" x14ac:dyDescent="0.25">
      <c r="A2980" s="1"/>
      <c r="B2980" s="2"/>
      <c r="AA2980" s="3"/>
      <c r="AD2980" s="3"/>
      <c r="AG2980" s="3"/>
      <c r="AJ2980" s="3"/>
    </row>
    <row r="2981" spans="1:36" x14ac:dyDescent="0.25">
      <c r="A2981" s="1"/>
      <c r="B2981" s="2"/>
      <c r="AA2981" s="3"/>
      <c r="AD2981" s="3"/>
      <c r="AG2981" s="3"/>
      <c r="AJ2981" s="3"/>
    </row>
    <row r="2982" spans="1:36" x14ac:dyDescent="0.25">
      <c r="A2982" s="1"/>
      <c r="B2982" s="2"/>
      <c r="AA2982" s="3"/>
      <c r="AD2982" s="3"/>
      <c r="AG2982" s="3"/>
      <c r="AJ2982" s="3"/>
    </row>
    <row r="2983" spans="1:36" x14ac:dyDescent="0.25">
      <c r="A2983" s="1"/>
      <c r="B2983" s="2"/>
      <c r="AA2983" s="3"/>
      <c r="AD2983" s="3"/>
      <c r="AG2983" s="3"/>
      <c r="AJ2983" s="3"/>
    </row>
    <row r="2984" spans="1:36" x14ac:dyDescent="0.25">
      <c r="A2984" s="1"/>
      <c r="B2984" s="2"/>
      <c r="AA2984" s="3"/>
      <c r="AD2984" s="3"/>
      <c r="AG2984" s="3"/>
      <c r="AJ2984" s="3"/>
    </row>
    <row r="2985" spans="1:36" x14ac:dyDescent="0.25">
      <c r="A2985" s="1"/>
      <c r="B2985" s="2"/>
      <c r="AA2985" s="3"/>
      <c r="AD2985" s="3"/>
      <c r="AG2985" s="3"/>
      <c r="AJ2985" s="3"/>
    </row>
    <row r="2986" spans="1:36" x14ac:dyDescent="0.25">
      <c r="A2986" s="1"/>
      <c r="B2986" s="2"/>
      <c r="AA2986" s="3"/>
      <c r="AD2986" s="3"/>
      <c r="AG2986" s="3"/>
      <c r="AJ2986" s="3"/>
    </row>
    <row r="2987" spans="1:36" x14ac:dyDescent="0.25">
      <c r="A2987" s="1"/>
      <c r="B2987" s="2"/>
      <c r="AA2987" s="3"/>
      <c r="AD2987" s="3"/>
      <c r="AG2987" s="3"/>
      <c r="AJ2987" s="3"/>
    </row>
    <row r="2988" spans="1:36" x14ac:dyDescent="0.25">
      <c r="A2988" s="1"/>
      <c r="B2988" s="2"/>
      <c r="AA2988" s="3"/>
      <c r="AD2988" s="3"/>
      <c r="AG2988" s="3"/>
      <c r="AJ2988" s="3"/>
    </row>
    <row r="2989" spans="1:36" x14ac:dyDescent="0.25">
      <c r="A2989" s="1"/>
      <c r="B2989" s="2"/>
      <c r="AA2989" s="3"/>
      <c r="AD2989" s="3"/>
      <c r="AG2989" s="3"/>
      <c r="AJ2989" s="3"/>
    </row>
    <row r="2990" spans="1:36" x14ac:dyDescent="0.25">
      <c r="A2990" s="1"/>
      <c r="B2990" s="2"/>
      <c r="AA2990" s="3"/>
      <c r="AD2990" s="3"/>
      <c r="AG2990" s="3"/>
      <c r="AJ2990" s="3"/>
    </row>
    <row r="2991" spans="1:36" x14ac:dyDescent="0.25">
      <c r="A2991" s="1"/>
      <c r="B2991" s="2"/>
      <c r="AA2991" s="3"/>
      <c r="AD2991" s="3"/>
      <c r="AG2991" s="3"/>
      <c r="AJ2991" s="3"/>
    </row>
    <row r="2992" spans="1:36" x14ac:dyDescent="0.25">
      <c r="A2992" s="1"/>
      <c r="B2992" s="2"/>
      <c r="AA2992" s="3"/>
      <c r="AD2992" s="3"/>
      <c r="AG2992" s="3"/>
      <c r="AJ2992" s="3"/>
    </row>
    <row r="2993" spans="1:36" x14ac:dyDescent="0.25">
      <c r="A2993" s="1"/>
      <c r="B2993" s="2"/>
      <c r="AA2993" s="3"/>
      <c r="AD2993" s="3"/>
      <c r="AG2993" s="3"/>
      <c r="AJ2993" s="3"/>
    </row>
    <row r="2994" spans="1:36" x14ac:dyDescent="0.25">
      <c r="A2994" s="1"/>
      <c r="B2994" s="2"/>
      <c r="AA2994" s="3"/>
      <c r="AD2994" s="3"/>
      <c r="AG2994" s="3"/>
      <c r="AJ2994" s="3"/>
    </row>
    <row r="2995" spans="1:36" x14ac:dyDescent="0.25">
      <c r="A2995" s="1"/>
      <c r="B2995" s="2"/>
      <c r="AA2995" s="3"/>
      <c r="AD2995" s="3"/>
      <c r="AG2995" s="3"/>
      <c r="AJ2995" s="3"/>
    </row>
    <row r="2996" spans="1:36" x14ac:dyDescent="0.25">
      <c r="A2996" s="1"/>
      <c r="B2996" s="2"/>
      <c r="AA2996" s="3"/>
      <c r="AD2996" s="3"/>
      <c r="AG2996" s="3"/>
      <c r="AJ2996" s="3"/>
    </row>
    <row r="2997" spans="1:36" x14ac:dyDescent="0.25">
      <c r="A2997" s="1"/>
      <c r="B2997" s="2"/>
      <c r="AA2997" s="3"/>
      <c r="AD2997" s="3"/>
      <c r="AG2997" s="3"/>
      <c r="AJ2997" s="3"/>
    </row>
    <row r="2998" spans="1:36" x14ac:dyDescent="0.25">
      <c r="A2998" s="1"/>
      <c r="B2998" s="2"/>
      <c r="AA2998" s="3"/>
      <c r="AD2998" s="3"/>
      <c r="AG2998" s="3"/>
      <c r="AJ2998" s="3"/>
    </row>
    <row r="2999" spans="1:36" x14ac:dyDescent="0.25">
      <c r="A2999" s="1"/>
      <c r="B2999" s="2"/>
      <c r="AA2999" s="3"/>
      <c r="AD2999" s="3"/>
      <c r="AG2999" s="3"/>
      <c r="AJ2999" s="3"/>
    </row>
    <row r="3000" spans="1:36" x14ac:dyDescent="0.25">
      <c r="A3000" s="1"/>
      <c r="B3000" s="2"/>
      <c r="AA3000" s="3"/>
      <c r="AD3000" s="3"/>
      <c r="AG3000" s="3"/>
      <c r="AJ3000" s="3"/>
    </row>
    <row r="3001" spans="1:36" x14ac:dyDescent="0.25">
      <c r="A3001" s="1"/>
      <c r="B3001" s="2"/>
      <c r="AA3001" s="3"/>
      <c r="AD3001" s="3"/>
      <c r="AG3001" s="3"/>
      <c r="AJ3001" s="3"/>
    </row>
    <row r="3002" spans="1:36" x14ac:dyDescent="0.25">
      <c r="A3002" s="1"/>
      <c r="B3002" s="2"/>
      <c r="AA3002" s="3"/>
      <c r="AD3002" s="3"/>
      <c r="AG3002" s="3"/>
      <c r="AJ3002" s="3"/>
    </row>
    <row r="3003" spans="1:36" x14ac:dyDescent="0.25">
      <c r="A3003" s="1"/>
      <c r="B3003" s="2"/>
      <c r="AA3003" s="3"/>
      <c r="AD3003" s="3"/>
      <c r="AG3003" s="3"/>
      <c r="AJ3003" s="3"/>
    </row>
    <row r="3004" spans="1:36" x14ac:dyDescent="0.25">
      <c r="A3004" s="1"/>
      <c r="B3004" s="2"/>
      <c r="AA3004" s="3"/>
      <c r="AD3004" s="3"/>
      <c r="AG3004" s="3"/>
      <c r="AJ3004" s="3"/>
    </row>
    <row r="3005" spans="1:36" x14ac:dyDescent="0.25">
      <c r="A3005" s="1"/>
      <c r="B3005" s="2"/>
      <c r="AA3005" s="3"/>
      <c r="AD3005" s="3"/>
      <c r="AG3005" s="3"/>
      <c r="AJ3005" s="3"/>
    </row>
    <row r="3006" spans="1:36" x14ac:dyDescent="0.25">
      <c r="A3006" s="1"/>
      <c r="B3006" s="2"/>
      <c r="AA3006" s="3"/>
      <c r="AD3006" s="3"/>
      <c r="AG3006" s="3"/>
      <c r="AJ3006" s="3"/>
    </row>
    <row r="3007" spans="1:36" x14ac:dyDescent="0.25">
      <c r="A3007" s="1"/>
      <c r="B3007" s="2"/>
      <c r="AA3007" s="3"/>
      <c r="AD3007" s="3"/>
      <c r="AG3007" s="3"/>
      <c r="AJ3007" s="3"/>
    </row>
    <row r="3008" spans="1:36" x14ac:dyDescent="0.25">
      <c r="A3008" s="1"/>
      <c r="B3008" s="2"/>
      <c r="AA3008" s="3"/>
      <c r="AD3008" s="3"/>
      <c r="AG3008" s="3"/>
      <c r="AJ3008" s="3"/>
    </row>
    <row r="3009" spans="1:36" x14ac:dyDescent="0.25">
      <c r="A3009" s="1"/>
      <c r="B3009" s="2"/>
      <c r="AA3009" s="3"/>
      <c r="AD3009" s="3"/>
      <c r="AG3009" s="3"/>
      <c r="AJ3009" s="3"/>
    </row>
    <row r="3010" spans="1:36" x14ac:dyDescent="0.25">
      <c r="A3010" s="1"/>
      <c r="B3010" s="2"/>
      <c r="AA3010" s="3"/>
      <c r="AD3010" s="3"/>
      <c r="AG3010" s="3"/>
      <c r="AJ3010" s="3"/>
    </row>
    <row r="3011" spans="1:36" x14ac:dyDescent="0.25">
      <c r="A3011" s="1"/>
      <c r="B3011" s="2"/>
      <c r="AA3011" s="3"/>
      <c r="AD3011" s="3"/>
      <c r="AG3011" s="3"/>
      <c r="AJ3011" s="3"/>
    </row>
    <row r="3012" spans="1:36" x14ac:dyDescent="0.25">
      <c r="A3012" s="1"/>
      <c r="B3012" s="2"/>
      <c r="AA3012" s="3"/>
      <c r="AD3012" s="3"/>
      <c r="AG3012" s="3"/>
      <c r="AJ3012" s="3"/>
    </row>
    <row r="3013" spans="1:36" x14ac:dyDescent="0.25">
      <c r="A3013" s="1"/>
      <c r="B3013" s="2"/>
      <c r="AA3013" s="3"/>
      <c r="AD3013" s="3"/>
      <c r="AG3013" s="3"/>
      <c r="AJ3013" s="3"/>
    </row>
    <row r="3014" spans="1:36" x14ac:dyDescent="0.25">
      <c r="A3014" s="1"/>
      <c r="B3014" s="2"/>
      <c r="AA3014" s="3"/>
      <c r="AD3014" s="3"/>
      <c r="AG3014" s="3"/>
      <c r="AJ3014" s="3"/>
    </row>
    <row r="3015" spans="1:36" x14ac:dyDescent="0.25">
      <c r="A3015" s="1"/>
      <c r="B3015" s="2"/>
      <c r="AA3015" s="3"/>
      <c r="AD3015" s="3"/>
      <c r="AG3015" s="3"/>
      <c r="AJ3015" s="3"/>
    </row>
    <row r="3016" spans="1:36" x14ac:dyDescent="0.25">
      <c r="A3016" s="1"/>
      <c r="B3016" s="2"/>
      <c r="AA3016" s="3"/>
      <c r="AD3016" s="3"/>
      <c r="AG3016" s="3"/>
      <c r="AJ3016" s="3"/>
    </row>
    <row r="3017" spans="1:36" x14ac:dyDescent="0.25">
      <c r="A3017" s="1"/>
      <c r="B3017" s="2"/>
      <c r="AA3017" s="3"/>
      <c r="AD3017" s="3"/>
      <c r="AG3017" s="3"/>
      <c r="AJ3017" s="3"/>
    </row>
    <row r="3018" spans="1:36" x14ac:dyDescent="0.25">
      <c r="A3018" s="1"/>
      <c r="B3018" s="2"/>
      <c r="AA3018" s="3"/>
      <c r="AD3018" s="3"/>
      <c r="AG3018" s="3"/>
      <c r="AJ3018" s="3"/>
    </row>
    <row r="3019" spans="1:36" x14ac:dyDescent="0.25">
      <c r="A3019" s="1"/>
      <c r="B3019" s="2"/>
      <c r="AA3019" s="3"/>
      <c r="AD3019" s="3"/>
      <c r="AG3019" s="3"/>
      <c r="AJ3019" s="3"/>
    </row>
    <row r="3020" spans="1:36" x14ac:dyDescent="0.25">
      <c r="A3020" s="1"/>
      <c r="B3020" s="2"/>
      <c r="AA3020" s="3"/>
      <c r="AD3020" s="3"/>
      <c r="AG3020" s="3"/>
      <c r="AJ3020" s="3"/>
    </row>
    <row r="3021" spans="1:36" x14ac:dyDescent="0.25">
      <c r="A3021" s="1"/>
      <c r="B3021" s="2"/>
      <c r="AA3021" s="3"/>
      <c r="AD3021" s="3"/>
      <c r="AG3021" s="3"/>
      <c r="AJ3021" s="3"/>
    </row>
    <row r="3022" spans="1:36" x14ac:dyDescent="0.25">
      <c r="A3022" s="1"/>
      <c r="B3022" s="2"/>
      <c r="AA3022" s="3"/>
      <c r="AD3022" s="3"/>
      <c r="AG3022" s="3"/>
      <c r="AJ3022" s="3"/>
    </row>
    <row r="3023" spans="1:36" x14ac:dyDescent="0.25">
      <c r="A3023" s="1"/>
      <c r="B3023" s="2"/>
      <c r="AA3023" s="3"/>
      <c r="AD3023" s="3"/>
      <c r="AG3023" s="3"/>
      <c r="AJ3023" s="3"/>
    </row>
    <row r="3024" spans="1:36" x14ac:dyDescent="0.25">
      <c r="A3024" s="1"/>
      <c r="B3024" s="2"/>
      <c r="AA3024" s="3"/>
      <c r="AD3024" s="3"/>
      <c r="AG3024" s="3"/>
      <c r="AJ3024" s="3"/>
    </row>
    <row r="3025" spans="1:36" x14ac:dyDescent="0.25">
      <c r="A3025" s="1"/>
      <c r="B3025" s="2"/>
      <c r="AA3025" s="3"/>
      <c r="AD3025" s="3"/>
      <c r="AG3025" s="3"/>
      <c r="AJ3025" s="3"/>
    </row>
    <row r="3026" spans="1:36" x14ac:dyDescent="0.25">
      <c r="A3026" s="1"/>
      <c r="B3026" s="2"/>
      <c r="AA3026" s="3"/>
      <c r="AD3026" s="3"/>
      <c r="AG3026" s="3"/>
      <c r="AJ3026" s="3"/>
    </row>
    <row r="3027" spans="1:36" x14ac:dyDescent="0.25">
      <c r="A3027" s="1"/>
      <c r="B3027" s="2"/>
      <c r="AA3027" s="3"/>
      <c r="AD3027" s="3"/>
      <c r="AG3027" s="3"/>
      <c r="AJ3027" s="3"/>
    </row>
    <row r="3028" spans="1:36" x14ac:dyDescent="0.25">
      <c r="A3028" s="1"/>
      <c r="B3028" s="2"/>
      <c r="AA3028" s="3"/>
      <c r="AD3028" s="3"/>
      <c r="AG3028" s="3"/>
      <c r="AJ3028" s="3"/>
    </row>
    <row r="3029" spans="1:36" x14ac:dyDescent="0.25">
      <c r="A3029" s="1"/>
      <c r="B3029" s="2"/>
      <c r="AA3029" s="3"/>
      <c r="AD3029" s="3"/>
      <c r="AG3029" s="3"/>
      <c r="AJ3029" s="3"/>
    </row>
    <row r="3030" spans="1:36" x14ac:dyDescent="0.25">
      <c r="A3030" s="1"/>
      <c r="B3030" s="2"/>
      <c r="AA3030" s="3"/>
      <c r="AD3030" s="3"/>
      <c r="AG3030" s="3"/>
      <c r="AJ3030" s="3"/>
    </row>
    <row r="3031" spans="1:36" x14ac:dyDescent="0.25">
      <c r="A3031" s="1"/>
      <c r="B3031" s="2"/>
      <c r="AA3031" s="3"/>
      <c r="AD3031" s="3"/>
      <c r="AG3031" s="3"/>
      <c r="AJ3031" s="3"/>
    </row>
    <row r="3032" spans="1:36" x14ac:dyDescent="0.25">
      <c r="A3032" s="1"/>
      <c r="B3032" s="2"/>
      <c r="AA3032" s="3"/>
      <c r="AD3032" s="3"/>
      <c r="AG3032" s="3"/>
      <c r="AJ3032" s="3"/>
    </row>
    <row r="3033" spans="1:36" x14ac:dyDescent="0.25">
      <c r="A3033" s="1"/>
      <c r="B3033" s="2"/>
      <c r="AA3033" s="3"/>
      <c r="AD3033" s="3"/>
      <c r="AG3033" s="3"/>
      <c r="AJ3033" s="3"/>
    </row>
    <row r="3034" spans="1:36" x14ac:dyDescent="0.25">
      <c r="A3034" s="1"/>
      <c r="B3034" s="2"/>
      <c r="AA3034" s="3"/>
      <c r="AD3034" s="3"/>
      <c r="AG3034" s="3"/>
      <c r="AJ3034" s="3"/>
    </row>
    <row r="3035" spans="1:36" x14ac:dyDescent="0.25">
      <c r="A3035" s="1"/>
      <c r="B3035" s="2"/>
      <c r="AA3035" s="3"/>
      <c r="AD3035" s="3"/>
      <c r="AG3035" s="3"/>
      <c r="AJ3035" s="3"/>
    </row>
    <row r="3036" spans="1:36" x14ac:dyDescent="0.25">
      <c r="A3036" s="1"/>
      <c r="B3036" s="2"/>
      <c r="AA3036" s="3"/>
      <c r="AD3036" s="3"/>
      <c r="AG3036" s="3"/>
      <c r="AJ3036" s="3"/>
    </row>
    <row r="3037" spans="1:36" x14ac:dyDescent="0.25">
      <c r="A3037" s="1"/>
      <c r="B3037" s="2"/>
      <c r="AA3037" s="3"/>
      <c r="AD3037" s="3"/>
      <c r="AG3037" s="3"/>
      <c r="AJ3037" s="3"/>
    </row>
    <row r="3038" spans="1:36" x14ac:dyDescent="0.25">
      <c r="A3038" s="1"/>
      <c r="B3038" s="2"/>
      <c r="AA3038" s="3"/>
      <c r="AD3038" s="3"/>
      <c r="AG3038" s="3"/>
      <c r="AJ3038" s="3"/>
    </row>
    <row r="3039" spans="1:36" x14ac:dyDescent="0.25">
      <c r="A3039" s="1"/>
      <c r="B3039" s="2"/>
      <c r="AA3039" s="3"/>
      <c r="AD3039" s="3"/>
      <c r="AG3039" s="3"/>
      <c r="AJ3039" s="3"/>
    </row>
    <row r="3040" spans="1:36" x14ac:dyDescent="0.25">
      <c r="A3040" s="1"/>
      <c r="B3040" s="2"/>
      <c r="AA3040" s="3"/>
      <c r="AD3040" s="3"/>
      <c r="AG3040" s="3"/>
      <c r="AJ3040" s="3"/>
    </row>
    <row r="3041" spans="1:36" x14ac:dyDescent="0.25">
      <c r="A3041" s="1"/>
      <c r="B3041" s="2"/>
      <c r="AA3041" s="3"/>
      <c r="AD3041" s="3"/>
      <c r="AG3041" s="3"/>
      <c r="AJ3041" s="3"/>
    </row>
    <row r="3042" spans="1:36" x14ac:dyDescent="0.25">
      <c r="A3042" s="1"/>
      <c r="B3042" s="2"/>
      <c r="AA3042" s="3"/>
      <c r="AD3042" s="3"/>
      <c r="AG3042" s="3"/>
      <c r="AJ3042" s="3"/>
    </row>
    <row r="3043" spans="1:36" x14ac:dyDescent="0.25">
      <c r="A3043" s="1"/>
      <c r="B3043" s="2"/>
      <c r="AA3043" s="3"/>
      <c r="AD3043" s="3"/>
      <c r="AG3043" s="3"/>
      <c r="AJ3043" s="3"/>
    </row>
    <row r="3044" spans="1:36" x14ac:dyDescent="0.25">
      <c r="A3044" s="1"/>
      <c r="B3044" s="2"/>
      <c r="AA3044" s="3"/>
      <c r="AD3044" s="3"/>
      <c r="AG3044" s="3"/>
      <c r="AJ3044" s="3"/>
    </row>
    <row r="3045" spans="1:36" x14ac:dyDescent="0.25">
      <c r="A3045" s="1"/>
      <c r="B3045" s="2"/>
      <c r="AA3045" s="3"/>
      <c r="AD3045" s="3"/>
      <c r="AG3045" s="3"/>
      <c r="AJ3045" s="3"/>
    </row>
    <row r="3046" spans="1:36" x14ac:dyDescent="0.25">
      <c r="A3046" s="1"/>
      <c r="B3046" s="2"/>
      <c r="AA3046" s="3"/>
      <c r="AD3046" s="3"/>
      <c r="AG3046" s="3"/>
      <c r="AJ3046" s="3"/>
    </row>
    <row r="3047" spans="1:36" x14ac:dyDescent="0.25">
      <c r="A3047" s="1"/>
      <c r="B3047" s="2"/>
      <c r="AA3047" s="3"/>
      <c r="AD3047" s="3"/>
      <c r="AG3047" s="3"/>
      <c r="AJ3047" s="3"/>
    </row>
    <row r="3048" spans="1:36" x14ac:dyDescent="0.25">
      <c r="A3048" s="1"/>
      <c r="B3048" s="2"/>
      <c r="AA3048" s="3"/>
      <c r="AD3048" s="3"/>
      <c r="AG3048" s="3"/>
      <c r="AJ3048" s="3"/>
    </row>
    <row r="3049" spans="1:36" x14ac:dyDescent="0.25">
      <c r="A3049" s="1"/>
      <c r="B3049" s="2"/>
      <c r="AA3049" s="3"/>
      <c r="AD3049" s="3"/>
      <c r="AG3049" s="3"/>
      <c r="AJ3049" s="3"/>
    </row>
    <row r="3050" spans="1:36" x14ac:dyDescent="0.25">
      <c r="A3050" s="1"/>
      <c r="B3050" s="2"/>
      <c r="AA3050" s="3"/>
      <c r="AD3050" s="3"/>
      <c r="AG3050" s="3"/>
      <c r="AJ3050" s="3"/>
    </row>
    <row r="3051" spans="1:36" x14ac:dyDescent="0.25">
      <c r="A3051" s="1"/>
      <c r="B3051" s="2"/>
      <c r="AA3051" s="3"/>
      <c r="AD3051" s="3"/>
      <c r="AG3051" s="3"/>
      <c r="AJ3051" s="3"/>
    </row>
    <row r="3052" spans="1:36" x14ac:dyDescent="0.25">
      <c r="A3052" s="1"/>
      <c r="B3052" s="2"/>
      <c r="AA3052" s="3"/>
      <c r="AD3052" s="3"/>
      <c r="AG3052" s="3"/>
      <c r="AJ3052" s="3"/>
    </row>
    <row r="3053" spans="1:36" x14ac:dyDescent="0.25">
      <c r="A3053" s="1"/>
      <c r="B3053" s="2"/>
      <c r="AA3053" s="3"/>
      <c r="AD3053" s="3"/>
      <c r="AG3053" s="3"/>
      <c r="AJ3053" s="3"/>
    </row>
    <row r="3054" spans="1:36" x14ac:dyDescent="0.25">
      <c r="A3054" s="1"/>
      <c r="B3054" s="2"/>
      <c r="AA3054" s="3"/>
      <c r="AD3054" s="3"/>
      <c r="AG3054" s="3"/>
      <c r="AJ3054" s="3"/>
    </row>
    <row r="3055" spans="1:36" x14ac:dyDescent="0.25">
      <c r="A3055" s="1"/>
      <c r="B3055" s="2"/>
      <c r="AA3055" s="3"/>
      <c r="AD3055" s="3"/>
      <c r="AG3055" s="3"/>
      <c r="AJ3055" s="3"/>
    </row>
    <row r="3056" spans="1:36" x14ac:dyDescent="0.25">
      <c r="A3056" s="1"/>
      <c r="B3056" s="2"/>
      <c r="AA3056" s="3"/>
      <c r="AD3056" s="3"/>
      <c r="AG3056" s="3"/>
      <c r="AJ3056" s="3"/>
    </row>
    <row r="3057" spans="1:36" x14ac:dyDescent="0.25">
      <c r="A3057" s="1"/>
      <c r="B3057" s="2"/>
      <c r="AA3057" s="3"/>
      <c r="AD3057" s="3"/>
      <c r="AG3057" s="3"/>
      <c r="AJ3057" s="3"/>
    </row>
    <row r="3058" spans="1:36" x14ac:dyDescent="0.25">
      <c r="A3058" s="1"/>
      <c r="B3058" s="2"/>
      <c r="AA3058" s="3"/>
      <c r="AD3058" s="3"/>
      <c r="AG3058" s="3"/>
      <c r="AJ3058" s="3"/>
    </row>
    <row r="3059" spans="1:36" x14ac:dyDescent="0.25">
      <c r="A3059" s="1"/>
      <c r="B3059" s="2"/>
      <c r="AA3059" s="3"/>
      <c r="AD3059" s="3"/>
      <c r="AG3059" s="3"/>
      <c r="AJ3059" s="3"/>
    </row>
    <row r="3060" spans="1:36" x14ac:dyDescent="0.25">
      <c r="A3060" s="1"/>
      <c r="B3060" s="2"/>
      <c r="AA3060" s="3"/>
      <c r="AD3060" s="3"/>
      <c r="AG3060" s="3"/>
      <c r="AJ3060" s="3"/>
    </row>
    <row r="3061" spans="1:36" x14ac:dyDescent="0.25">
      <c r="A3061" s="1"/>
      <c r="B3061" s="2"/>
      <c r="AA3061" s="3"/>
      <c r="AD3061" s="3"/>
      <c r="AG3061" s="3"/>
      <c r="AJ3061" s="3"/>
    </row>
    <row r="3062" spans="1:36" x14ac:dyDescent="0.25">
      <c r="A3062" s="1"/>
      <c r="B3062" s="2"/>
      <c r="AA3062" s="3"/>
      <c r="AD3062" s="3"/>
      <c r="AG3062" s="3"/>
      <c r="AJ3062" s="3"/>
    </row>
    <row r="3063" spans="1:36" x14ac:dyDescent="0.25">
      <c r="A3063" s="1"/>
      <c r="B3063" s="2"/>
      <c r="AA3063" s="3"/>
      <c r="AD3063" s="3"/>
      <c r="AG3063" s="3"/>
      <c r="AJ3063" s="3"/>
    </row>
    <row r="3064" spans="1:36" x14ac:dyDescent="0.25">
      <c r="A3064" s="1"/>
      <c r="B3064" s="2"/>
      <c r="AA3064" s="3"/>
      <c r="AD3064" s="3"/>
      <c r="AG3064" s="3"/>
      <c r="AJ3064" s="3"/>
    </row>
    <row r="3065" spans="1:36" x14ac:dyDescent="0.25">
      <c r="A3065" s="1"/>
      <c r="B3065" s="2"/>
      <c r="AA3065" s="3"/>
      <c r="AD3065" s="3"/>
      <c r="AG3065" s="3"/>
      <c r="AJ3065" s="3"/>
    </row>
    <row r="3066" spans="1:36" x14ac:dyDescent="0.25">
      <c r="A3066" s="1"/>
      <c r="B3066" s="2"/>
      <c r="AA3066" s="3"/>
      <c r="AD3066" s="3"/>
      <c r="AG3066" s="3"/>
      <c r="AJ3066" s="3"/>
    </row>
    <row r="3067" spans="1:36" x14ac:dyDescent="0.25">
      <c r="A3067" s="1"/>
      <c r="B3067" s="2"/>
      <c r="AA3067" s="3"/>
      <c r="AD3067" s="3"/>
      <c r="AG3067" s="3"/>
      <c r="AJ3067" s="3"/>
    </row>
    <row r="3068" spans="1:36" x14ac:dyDescent="0.25">
      <c r="A3068" s="1"/>
      <c r="B3068" s="2"/>
      <c r="AA3068" s="3"/>
      <c r="AD3068" s="3"/>
      <c r="AG3068" s="3"/>
      <c r="AJ3068" s="3"/>
    </row>
    <row r="3069" spans="1:36" x14ac:dyDescent="0.25">
      <c r="A3069" s="1"/>
      <c r="B3069" s="2"/>
      <c r="AA3069" s="3"/>
      <c r="AD3069" s="3"/>
      <c r="AG3069" s="3"/>
      <c r="AJ3069" s="3"/>
    </row>
    <row r="3070" spans="1:36" x14ac:dyDescent="0.25">
      <c r="A3070" s="1"/>
      <c r="B3070" s="2"/>
      <c r="AA3070" s="3"/>
      <c r="AD3070" s="3"/>
      <c r="AG3070" s="3"/>
      <c r="AJ3070" s="3"/>
    </row>
    <row r="3071" spans="1:36" x14ac:dyDescent="0.25">
      <c r="A3071" s="1"/>
      <c r="B3071" s="2"/>
      <c r="AA3071" s="3"/>
      <c r="AD3071" s="3"/>
      <c r="AG3071" s="3"/>
      <c r="AJ3071" s="3"/>
    </row>
    <row r="3072" spans="1:36" x14ac:dyDescent="0.25">
      <c r="A3072" s="1"/>
      <c r="B3072" s="2"/>
      <c r="AA3072" s="3"/>
      <c r="AD3072" s="3"/>
      <c r="AG3072" s="3"/>
      <c r="AJ3072" s="3"/>
    </row>
    <row r="3073" spans="1:36" x14ac:dyDescent="0.25">
      <c r="A3073" s="1"/>
      <c r="B3073" s="2"/>
      <c r="AA3073" s="3"/>
      <c r="AD3073" s="3"/>
      <c r="AG3073" s="3"/>
      <c r="AJ3073" s="3"/>
    </row>
    <row r="3074" spans="1:36" x14ac:dyDescent="0.25">
      <c r="A3074" s="1"/>
      <c r="B3074" s="2"/>
      <c r="AA3074" s="3"/>
      <c r="AD3074" s="3"/>
      <c r="AG3074" s="3"/>
      <c r="AJ3074" s="3"/>
    </row>
    <row r="3075" spans="1:36" x14ac:dyDescent="0.25">
      <c r="A3075" s="1"/>
      <c r="B3075" s="2"/>
      <c r="AA3075" s="3"/>
      <c r="AD3075" s="3"/>
      <c r="AG3075" s="3"/>
      <c r="AJ3075" s="3"/>
    </row>
    <row r="3076" spans="1:36" x14ac:dyDescent="0.25">
      <c r="A3076" s="1"/>
      <c r="B3076" s="2"/>
      <c r="AA3076" s="3"/>
      <c r="AD3076" s="3"/>
      <c r="AG3076" s="3"/>
      <c r="AJ3076" s="3"/>
    </row>
    <row r="3077" spans="1:36" x14ac:dyDescent="0.25">
      <c r="A3077" s="1"/>
      <c r="B3077" s="2"/>
      <c r="AA3077" s="3"/>
      <c r="AD3077" s="3"/>
      <c r="AG3077" s="3"/>
      <c r="AJ3077" s="3"/>
    </row>
    <row r="3078" spans="1:36" x14ac:dyDescent="0.25">
      <c r="A3078" s="1"/>
      <c r="B3078" s="2"/>
      <c r="AA3078" s="3"/>
      <c r="AD3078" s="3"/>
      <c r="AG3078" s="3"/>
      <c r="AJ3078" s="3"/>
    </row>
    <row r="3079" spans="1:36" x14ac:dyDescent="0.25">
      <c r="A3079" s="1"/>
      <c r="B3079" s="2"/>
      <c r="AA3079" s="3"/>
      <c r="AD3079" s="3"/>
      <c r="AG3079" s="3"/>
      <c r="AJ3079" s="3"/>
    </row>
    <row r="3080" spans="1:36" x14ac:dyDescent="0.25">
      <c r="A3080" s="1"/>
      <c r="B3080" s="2"/>
      <c r="AA3080" s="3"/>
      <c r="AD3080" s="3"/>
      <c r="AG3080" s="3"/>
      <c r="AJ3080" s="3"/>
    </row>
    <row r="3081" spans="1:36" x14ac:dyDescent="0.25">
      <c r="A3081" s="1"/>
      <c r="B3081" s="2"/>
      <c r="AA3081" s="3"/>
      <c r="AD3081" s="3"/>
      <c r="AG3081" s="3"/>
      <c r="AJ3081" s="3"/>
    </row>
    <row r="3082" spans="1:36" x14ac:dyDescent="0.25">
      <c r="A3082" s="1"/>
      <c r="B3082" s="2"/>
      <c r="AA3082" s="3"/>
      <c r="AD3082" s="3"/>
      <c r="AG3082" s="3"/>
      <c r="AJ3082" s="3"/>
    </row>
    <row r="3083" spans="1:36" x14ac:dyDescent="0.25">
      <c r="A3083" s="1"/>
      <c r="B3083" s="2"/>
      <c r="AA3083" s="3"/>
      <c r="AD3083" s="3"/>
      <c r="AG3083" s="3"/>
      <c r="AJ3083" s="3"/>
    </row>
    <row r="3084" spans="1:36" x14ac:dyDescent="0.25">
      <c r="A3084" s="1"/>
      <c r="B3084" s="2"/>
      <c r="AA3084" s="3"/>
      <c r="AD3084" s="3"/>
      <c r="AG3084" s="3"/>
      <c r="AJ3084" s="3"/>
    </row>
    <row r="3085" spans="1:36" x14ac:dyDescent="0.25">
      <c r="A3085" s="1"/>
      <c r="B3085" s="2"/>
      <c r="AA3085" s="3"/>
      <c r="AD3085" s="3"/>
      <c r="AG3085" s="3"/>
      <c r="AJ3085" s="3"/>
    </row>
    <row r="3086" spans="1:36" x14ac:dyDescent="0.25">
      <c r="A3086" s="1"/>
      <c r="B3086" s="2"/>
      <c r="AA3086" s="3"/>
      <c r="AD3086" s="3"/>
      <c r="AG3086" s="3"/>
      <c r="AJ3086" s="3"/>
    </row>
    <row r="3087" spans="1:36" x14ac:dyDescent="0.25">
      <c r="A3087" s="1"/>
      <c r="B3087" s="2"/>
      <c r="AA3087" s="3"/>
      <c r="AD3087" s="3"/>
      <c r="AG3087" s="3"/>
      <c r="AJ3087" s="3"/>
    </row>
    <row r="3088" spans="1:36" x14ac:dyDescent="0.25">
      <c r="A3088" s="1"/>
      <c r="B3088" s="2"/>
      <c r="AA3088" s="3"/>
      <c r="AD3088" s="3"/>
      <c r="AG3088" s="3"/>
      <c r="AJ3088" s="3"/>
    </row>
    <row r="3089" spans="1:36" x14ac:dyDescent="0.25">
      <c r="A3089" s="1"/>
      <c r="B3089" s="2"/>
      <c r="AA3089" s="3"/>
      <c r="AD3089" s="3"/>
      <c r="AG3089" s="3"/>
      <c r="AJ3089" s="3"/>
    </row>
    <row r="3090" spans="1:36" x14ac:dyDescent="0.25">
      <c r="A3090" s="1"/>
      <c r="B3090" s="2"/>
      <c r="AA3090" s="3"/>
      <c r="AD3090" s="3"/>
      <c r="AG3090" s="3"/>
      <c r="AJ3090" s="3"/>
    </row>
    <row r="3091" spans="1:36" x14ac:dyDescent="0.25">
      <c r="A3091" s="1"/>
      <c r="B3091" s="2"/>
      <c r="AA3091" s="3"/>
      <c r="AD3091" s="3"/>
      <c r="AG3091" s="3"/>
      <c r="AJ3091" s="3"/>
    </row>
    <row r="3092" spans="1:36" x14ac:dyDescent="0.25">
      <c r="A3092" s="1"/>
      <c r="B3092" s="2"/>
      <c r="AA3092" s="3"/>
      <c r="AD3092" s="3"/>
      <c r="AG3092" s="3"/>
      <c r="AJ3092" s="3"/>
    </row>
    <row r="3093" spans="1:36" x14ac:dyDescent="0.25">
      <c r="A3093" s="1"/>
      <c r="B3093" s="2"/>
      <c r="AA3093" s="3"/>
      <c r="AD3093" s="3"/>
      <c r="AG3093" s="3"/>
      <c r="AJ3093" s="3"/>
    </row>
    <row r="3094" spans="1:36" x14ac:dyDescent="0.25">
      <c r="A3094" s="1"/>
      <c r="B3094" s="2"/>
      <c r="AA3094" s="3"/>
      <c r="AD3094" s="3"/>
      <c r="AG3094" s="3"/>
      <c r="AJ3094" s="3"/>
    </row>
    <row r="3095" spans="1:36" x14ac:dyDescent="0.25">
      <c r="A3095" s="1"/>
      <c r="B3095" s="2"/>
      <c r="AA3095" s="3"/>
      <c r="AD3095" s="3"/>
      <c r="AG3095" s="3"/>
      <c r="AJ3095" s="3"/>
    </row>
    <row r="3096" spans="1:36" x14ac:dyDescent="0.25">
      <c r="A3096" s="1"/>
      <c r="B3096" s="2"/>
      <c r="AA3096" s="3"/>
      <c r="AD3096" s="3"/>
      <c r="AG3096" s="3"/>
      <c r="AJ3096" s="3"/>
    </row>
    <row r="3097" spans="1:36" x14ac:dyDescent="0.25">
      <c r="A3097" s="1"/>
      <c r="B3097" s="2"/>
      <c r="AA3097" s="3"/>
      <c r="AD3097" s="3"/>
      <c r="AG3097" s="3"/>
      <c r="AJ3097" s="3"/>
    </row>
    <row r="3098" spans="1:36" x14ac:dyDescent="0.25">
      <c r="A3098" s="1"/>
      <c r="B3098" s="2"/>
      <c r="AA3098" s="3"/>
      <c r="AD3098" s="3"/>
      <c r="AG3098" s="3"/>
      <c r="AJ3098" s="3"/>
    </row>
    <row r="3099" spans="1:36" x14ac:dyDescent="0.25">
      <c r="A3099" s="1"/>
      <c r="B3099" s="2"/>
      <c r="AA3099" s="3"/>
      <c r="AD3099" s="3"/>
      <c r="AG3099" s="3"/>
      <c r="AJ3099" s="3"/>
    </row>
    <row r="3100" spans="1:36" x14ac:dyDescent="0.25">
      <c r="A3100" s="1"/>
      <c r="B3100" s="2"/>
      <c r="AA3100" s="3"/>
      <c r="AD3100" s="3"/>
      <c r="AG3100" s="3"/>
      <c r="AJ3100" s="3"/>
    </row>
    <row r="3101" spans="1:36" x14ac:dyDescent="0.25">
      <c r="A3101" s="1"/>
      <c r="B3101" s="2"/>
      <c r="AA3101" s="3"/>
      <c r="AD3101" s="3"/>
      <c r="AG3101" s="3"/>
      <c r="AJ3101" s="3"/>
    </row>
    <row r="3102" spans="1:36" x14ac:dyDescent="0.25">
      <c r="A3102" s="1"/>
      <c r="B3102" s="2"/>
      <c r="AA3102" s="3"/>
      <c r="AD3102" s="3"/>
      <c r="AG3102" s="3"/>
      <c r="AJ3102" s="3"/>
    </row>
    <row r="3103" spans="1:36" x14ac:dyDescent="0.25">
      <c r="A3103" s="1"/>
      <c r="B3103" s="2"/>
      <c r="AA3103" s="3"/>
      <c r="AD3103" s="3"/>
      <c r="AG3103" s="3"/>
      <c r="AJ3103" s="3"/>
    </row>
    <row r="3104" spans="1:36" x14ac:dyDescent="0.25">
      <c r="A3104" s="1"/>
      <c r="B3104" s="2"/>
      <c r="AA3104" s="3"/>
      <c r="AD3104" s="3"/>
      <c r="AG3104" s="3"/>
      <c r="AJ3104" s="3"/>
    </row>
    <row r="3105" spans="1:36" x14ac:dyDescent="0.25">
      <c r="A3105" s="1"/>
      <c r="B3105" s="2"/>
      <c r="AA3105" s="3"/>
      <c r="AD3105" s="3"/>
      <c r="AG3105" s="3"/>
      <c r="AJ3105" s="3"/>
    </row>
    <row r="3106" spans="1:36" x14ac:dyDescent="0.25">
      <c r="A3106" s="1"/>
      <c r="B3106" s="2"/>
      <c r="AA3106" s="3"/>
      <c r="AD3106" s="3"/>
      <c r="AG3106" s="3"/>
      <c r="AJ3106" s="3"/>
    </row>
    <row r="3107" spans="1:36" x14ac:dyDescent="0.25">
      <c r="A3107" s="1"/>
      <c r="B3107" s="2"/>
      <c r="AA3107" s="3"/>
      <c r="AD3107" s="3"/>
      <c r="AG3107" s="3"/>
      <c r="AJ3107" s="3"/>
    </row>
    <row r="3108" spans="1:36" x14ac:dyDescent="0.25">
      <c r="A3108" s="1"/>
      <c r="B3108" s="2"/>
      <c r="AA3108" s="3"/>
      <c r="AD3108" s="3"/>
      <c r="AG3108" s="3"/>
      <c r="AJ3108" s="3"/>
    </row>
    <row r="3109" spans="1:36" x14ac:dyDescent="0.25">
      <c r="A3109" s="1"/>
      <c r="B3109" s="2"/>
      <c r="AA3109" s="3"/>
      <c r="AD3109" s="3"/>
      <c r="AG3109" s="3"/>
      <c r="AJ3109" s="3"/>
    </row>
    <row r="3110" spans="1:36" x14ac:dyDescent="0.25">
      <c r="A3110" s="1"/>
      <c r="B3110" s="2"/>
      <c r="AA3110" s="3"/>
      <c r="AD3110" s="3"/>
      <c r="AG3110" s="3"/>
      <c r="AJ3110" s="3"/>
    </row>
    <row r="3111" spans="1:36" x14ac:dyDescent="0.25">
      <c r="A3111" s="1"/>
      <c r="B3111" s="2"/>
      <c r="AA3111" s="3"/>
      <c r="AD3111" s="3"/>
      <c r="AG3111" s="3"/>
      <c r="AJ3111" s="3"/>
    </row>
    <row r="3112" spans="1:36" x14ac:dyDescent="0.25">
      <c r="A3112" s="1"/>
      <c r="B3112" s="2"/>
      <c r="AA3112" s="3"/>
      <c r="AD3112" s="3"/>
      <c r="AG3112" s="3"/>
      <c r="AJ3112" s="3"/>
    </row>
    <row r="3113" spans="1:36" x14ac:dyDescent="0.25">
      <c r="A3113" s="1"/>
      <c r="B3113" s="2"/>
      <c r="AA3113" s="3"/>
      <c r="AD3113" s="3"/>
      <c r="AG3113" s="3"/>
      <c r="AJ3113" s="3"/>
    </row>
    <row r="3114" spans="1:36" x14ac:dyDescent="0.25">
      <c r="A3114" s="1"/>
      <c r="B3114" s="2"/>
      <c r="AA3114" s="3"/>
      <c r="AD3114" s="3"/>
      <c r="AG3114" s="3"/>
      <c r="AJ3114" s="3"/>
    </row>
    <row r="3115" spans="1:36" x14ac:dyDescent="0.25">
      <c r="A3115" s="1"/>
      <c r="B3115" s="2"/>
      <c r="AA3115" s="3"/>
      <c r="AD3115" s="3"/>
      <c r="AG3115" s="3"/>
      <c r="AJ3115" s="3"/>
    </row>
    <row r="3116" spans="1:36" x14ac:dyDescent="0.25">
      <c r="A3116" s="1"/>
      <c r="B3116" s="2"/>
      <c r="AA3116" s="3"/>
      <c r="AD3116" s="3"/>
      <c r="AG3116" s="3"/>
      <c r="AJ3116" s="3"/>
    </row>
    <row r="3117" spans="1:36" x14ac:dyDescent="0.25">
      <c r="A3117" s="1"/>
      <c r="B3117" s="2"/>
      <c r="AA3117" s="3"/>
      <c r="AD3117" s="3"/>
      <c r="AG3117" s="3"/>
      <c r="AJ3117" s="3"/>
    </row>
    <row r="3118" spans="1:36" x14ac:dyDescent="0.25">
      <c r="A3118" s="1"/>
      <c r="B3118" s="2"/>
      <c r="AA3118" s="3"/>
      <c r="AD3118" s="3"/>
      <c r="AG3118" s="3"/>
      <c r="AJ3118" s="3"/>
    </row>
    <row r="3119" spans="1:36" x14ac:dyDescent="0.25">
      <c r="A3119" s="1"/>
      <c r="B3119" s="2"/>
      <c r="AA3119" s="3"/>
      <c r="AD3119" s="3"/>
      <c r="AG3119" s="3"/>
      <c r="AJ3119" s="3"/>
    </row>
    <row r="3120" spans="1:36" x14ac:dyDescent="0.25">
      <c r="A3120" s="1"/>
      <c r="B3120" s="2"/>
      <c r="AA3120" s="3"/>
      <c r="AD3120" s="3"/>
      <c r="AG3120" s="3"/>
      <c r="AJ3120" s="3"/>
    </row>
    <row r="3121" spans="1:36" x14ac:dyDescent="0.25">
      <c r="A3121" s="1"/>
      <c r="B3121" s="2"/>
      <c r="AA3121" s="3"/>
      <c r="AD3121" s="3"/>
      <c r="AG3121" s="3"/>
      <c r="AJ3121" s="3"/>
    </row>
    <row r="3122" spans="1:36" x14ac:dyDescent="0.25">
      <c r="A3122" s="1"/>
      <c r="B3122" s="2"/>
      <c r="AA3122" s="3"/>
      <c r="AD3122" s="3"/>
      <c r="AG3122" s="3"/>
      <c r="AJ3122" s="3"/>
    </row>
    <row r="3123" spans="1:36" x14ac:dyDescent="0.25">
      <c r="A3123" s="1"/>
      <c r="B3123" s="2"/>
      <c r="AA3123" s="3"/>
      <c r="AD3123" s="3"/>
      <c r="AG3123" s="3"/>
      <c r="AJ3123" s="3"/>
    </row>
    <row r="3124" spans="1:36" x14ac:dyDescent="0.25">
      <c r="A3124" s="1"/>
      <c r="B3124" s="2"/>
      <c r="AA3124" s="3"/>
      <c r="AD3124" s="3"/>
      <c r="AG3124" s="3"/>
      <c r="AJ3124" s="3"/>
    </row>
    <row r="3125" spans="1:36" x14ac:dyDescent="0.25">
      <c r="A3125" s="1"/>
      <c r="B3125" s="2"/>
      <c r="AA3125" s="3"/>
      <c r="AD3125" s="3"/>
      <c r="AG3125" s="3"/>
      <c r="AJ3125" s="3"/>
    </row>
    <row r="3126" spans="1:36" x14ac:dyDescent="0.25">
      <c r="A3126" s="1"/>
      <c r="B3126" s="2"/>
      <c r="AA3126" s="3"/>
      <c r="AD3126" s="3"/>
      <c r="AG3126" s="3"/>
      <c r="AJ3126" s="3"/>
    </row>
    <row r="3127" spans="1:36" x14ac:dyDescent="0.25">
      <c r="A3127" s="1"/>
      <c r="B3127" s="2"/>
      <c r="AA3127" s="3"/>
      <c r="AD3127" s="3"/>
      <c r="AG3127" s="3"/>
      <c r="AJ3127" s="3"/>
    </row>
    <row r="3128" spans="1:36" x14ac:dyDescent="0.25">
      <c r="A3128" s="1"/>
      <c r="B3128" s="2"/>
      <c r="AA3128" s="3"/>
      <c r="AD3128" s="3"/>
      <c r="AG3128" s="3"/>
      <c r="AJ3128" s="3"/>
    </row>
    <row r="3129" spans="1:36" x14ac:dyDescent="0.25">
      <c r="A3129" s="1"/>
      <c r="B3129" s="2"/>
      <c r="AA3129" s="3"/>
      <c r="AD3129" s="3"/>
      <c r="AG3129" s="3"/>
      <c r="AJ3129" s="3"/>
    </row>
    <row r="3130" spans="1:36" x14ac:dyDescent="0.25">
      <c r="A3130" s="1"/>
      <c r="B3130" s="2"/>
      <c r="AA3130" s="3"/>
      <c r="AD3130" s="3"/>
      <c r="AG3130" s="3"/>
      <c r="AJ3130" s="3"/>
    </row>
    <row r="3131" spans="1:36" x14ac:dyDescent="0.25">
      <c r="A3131" s="1"/>
      <c r="B3131" s="2"/>
      <c r="AA3131" s="3"/>
      <c r="AD3131" s="3"/>
      <c r="AG3131" s="3"/>
      <c r="AJ3131" s="3"/>
    </row>
    <row r="3132" spans="1:36" x14ac:dyDescent="0.25">
      <c r="A3132" s="1"/>
      <c r="B3132" s="2"/>
      <c r="AA3132" s="3"/>
      <c r="AD3132" s="3"/>
      <c r="AG3132" s="3"/>
      <c r="AJ3132" s="3"/>
    </row>
    <row r="3133" spans="1:36" x14ac:dyDescent="0.25">
      <c r="A3133" s="1"/>
      <c r="B3133" s="2"/>
      <c r="AA3133" s="3"/>
      <c r="AD3133" s="3"/>
      <c r="AG3133" s="3"/>
      <c r="AJ3133" s="3"/>
    </row>
    <row r="3134" spans="1:36" x14ac:dyDescent="0.25">
      <c r="A3134" s="1"/>
      <c r="B3134" s="2"/>
      <c r="AA3134" s="3"/>
      <c r="AD3134" s="3"/>
      <c r="AG3134" s="3"/>
      <c r="AJ3134" s="3"/>
    </row>
    <row r="3135" spans="1:36" x14ac:dyDescent="0.25">
      <c r="A3135" s="1"/>
      <c r="B3135" s="2"/>
      <c r="AA3135" s="3"/>
      <c r="AD3135" s="3"/>
      <c r="AG3135" s="3"/>
      <c r="AJ3135" s="3"/>
    </row>
    <row r="3136" spans="1:36" x14ac:dyDescent="0.25">
      <c r="A3136" s="1"/>
      <c r="B3136" s="2"/>
      <c r="AA3136" s="3"/>
      <c r="AD3136" s="3"/>
      <c r="AG3136" s="3"/>
      <c r="AJ3136" s="3"/>
    </row>
    <row r="3137" spans="1:36" x14ac:dyDescent="0.25">
      <c r="A3137" s="1"/>
      <c r="B3137" s="2"/>
      <c r="AA3137" s="3"/>
      <c r="AD3137" s="3"/>
      <c r="AG3137" s="3"/>
      <c r="AJ3137" s="3"/>
    </row>
    <row r="3138" spans="1:36" x14ac:dyDescent="0.25">
      <c r="A3138" s="1"/>
      <c r="B3138" s="2"/>
      <c r="AA3138" s="3"/>
      <c r="AD3138" s="3"/>
      <c r="AG3138" s="3"/>
      <c r="AJ3138" s="3"/>
    </row>
    <row r="3139" spans="1:36" x14ac:dyDescent="0.25">
      <c r="A3139" s="1"/>
      <c r="B3139" s="2"/>
      <c r="AA3139" s="3"/>
      <c r="AD3139" s="3"/>
      <c r="AG3139" s="3"/>
      <c r="AJ3139" s="3"/>
    </row>
    <row r="3140" spans="1:36" x14ac:dyDescent="0.25">
      <c r="A3140" s="1"/>
      <c r="B3140" s="2"/>
      <c r="AA3140" s="3"/>
      <c r="AD3140" s="3"/>
      <c r="AG3140" s="3"/>
      <c r="AJ3140" s="3"/>
    </row>
    <row r="3141" spans="1:36" x14ac:dyDescent="0.25">
      <c r="A3141" s="1"/>
      <c r="B3141" s="2"/>
      <c r="AA3141" s="3"/>
      <c r="AD3141" s="3"/>
      <c r="AG3141" s="3"/>
      <c r="AJ3141" s="3"/>
    </row>
    <row r="3142" spans="1:36" x14ac:dyDescent="0.25">
      <c r="A3142" s="1"/>
      <c r="B3142" s="2"/>
      <c r="AA3142" s="3"/>
      <c r="AD3142" s="3"/>
      <c r="AG3142" s="3"/>
      <c r="AJ3142" s="3"/>
    </row>
    <row r="3143" spans="1:36" x14ac:dyDescent="0.25">
      <c r="A3143" s="1"/>
      <c r="B3143" s="2"/>
      <c r="AA3143" s="3"/>
      <c r="AD3143" s="3"/>
      <c r="AG3143" s="3"/>
      <c r="AJ3143" s="3"/>
    </row>
    <row r="3144" spans="1:36" x14ac:dyDescent="0.25">
      <c r="A3144" s="1"/>
      <c r="B3144" s="2"/>
      <c r="AA3144" s="3"/>
      <c r="AD3144" s="3"/>
      <c r="AG3144" s="3"/>
      <c r="AJ3144" s="3"/>
    </row>
    <row r="3145" spans="1:36" x14ac:dyDescent="0.25">
      <c r="A3145" s="1"/>
      <c r="B3145" s="2"/>
      <c r="AA3145" s="3"/>
      <c r="AD3145" s="3"/>
      <c r="AG3145" s="3"/>
      <c r="AJ3145" s="3"/>
    </row>
    <row r="3146" spans="1:36" x14ac:dyDescent="0.25">
      <c r="A3146" s="1"/>
      <c r="B3146" s="2"/>
      <c r="AA3146" s="3"/>
      <c r="AD3146" s="3"/>
      <c r="AG3146" s="3"/>
      <c r="AJ3146" s="3"/>
    </row>
    <row r="3147" spans="1:36" x14ac:dyDescent="0.25">
      <c r="A3147" s="1"/>
      <c r="B3147" s="2"/>
      <c r="AA3147" s="3"/>
      <c r="AD3147" s="3"/>
      <c r="AG3147" s="3"/>
      <c r="AJ3147" s="3"/>
    </row>
    <row r="3148" spans="1:36" x14ac:dyDescent="0.25">
      <c r="A3148" s="1"/>
      <c r="B3148" s="2"/>
      <c r="AA3148" s="3"/>
      <c r="AD3148" s="3"/>
      <c r="AG3148" s="3"/>
      <c r="AJ3148" s="3"/>
    </row>
    <row r="3149" spans="1:36" x14ac:dyDescent="0.25">
      <c r="A3149" s="1"/>
      <c r="B3149" s="2"/>
      <c r="AA3149" s="3"/>
      <c r="AD3149" s="3"/>
      <c r="AG3149" s="3"/>
      <c r="AJ3149" s="3"/>
    </row>
    <row r="3150" spans="1:36" x14ac:dyDescent="0.25">
      <c r="A3150" s="1"/>
      <c r="B3150" s="2"/>
      <c r="AA3150" s="3"/>
      <c r="AD3150" s="3"/>
      <c r="AG3150" s="3"/>
      <c r="AJ3150" s="3"/>
    </row>
    <row r="3151" spans="1:36" x14ac:dyDescent="0.25">
      <c r="A3151" s="1"/>
      <c r="B3151" s="2"/>
      <c r="AA3151" s="3"/>
      <c r="AD3151" s="3"/>
      <c r="AG3151" s="3"/>
      <c r="AJ3151" s="3"/>
    </row>
    <row r="3152" spans="1:36" x14ac:dyDescent="0.25">
      <c r="A3152" s="1"/>
      <c r="B3152" s="2"/>
      <c r="AA3152" s="3"/>
      <c r="AD3152" s="3"/>
      <c r="AG3152" s="3"/>
      <c r="AJ3152" s="3"/>
    </row>
    <row r="3153" spans="1:36" x14ac:dyDescent="0.25">
      <c r="A3153" s="1"/>
      <c r="B3153" s="2"/>
      <c r="AA3153" s="3"/>
      <c r="AD3153" s="3"/>
      <c r="AG3153" s="3"/>
      <c r="AJ3153" s="3"/>
    </row>
    <row r="3154" spans="1:36" x14ac:dyDescent="0.25">
      <c r="A3154" s="1"/>
      <c r="B3154" s="2"/>
      <c r="AA3154" s="3"/>
      <c r="AD3154" s="3"/>
      <c r="AG3154" s="3"/>
      <c r="AJ3154" s="3"/>
    </row>
    <row r="3155" spans="1:36" x14ac:dyDescent="0.25">
      <c r="A3155" s="1"/>
      <c r="B3155" s="2"/>
      <c r="AA3155" s="3"/>
      <c r="AD3155" s="3"/>
      <c r="AG3155" s="3"/>
      <c r="AJ3155" s="3"/>
    </row>
    <row r="3156" spans="1:36" x14ac:dyDescent="0.25">
      <c r="A3156" s="1"/>
      <c r="B3156" s="2"/>
      <c r="AA3156" s="3"/>
      <c r="AD3156" s="3"/>
      <c r="AG3156" s="3"/>
      <c r="AJ3156" s="3"/>
    </row>
    <row r="3157" spans="1:36" x14ac:dyDescent="0.25">
      <c r="A3157" s="1"/>
      <c r="B3157" s="2"/>
      <c r="AA3157" s="3"/>
      <c r="AD3157" s="3"/>
      <c r="AG3157" s="3"/>
      <c r="AJ3157" s="3"/>
    </row>
    <row r="3158" spans="1:36" x14ac:dyDescent="0.25">
      <c r="A3158" s="1"/>
      <c r="B3158" s="2"/>
      <c r="AA3158" s="3"/>
      <c r="AD3158" s="3"/>
      <c r="AG3158" s="3"/>
      <c r="AJ3158" s="3"/>
    </row>
    <row r="3159" spans="1:36" x14ac:dyDescent="0.25">
      <c r="A3159" s="1"/>
      <c r="B3159" s="2"/>
      <c r="AA3159" s="3"/>
      <c r="AD3159" s="3"/>
      <c r="AG3159" s="3"/>
      <c r="AJ3159" s="3"/>
    </row>
    <row r="3160" spans="1:36" x14ac:dyDescent="0.25">
      <c r="A3160" s="1"/>
      <c r="B3160" s="2"/>
      <c r="AA3160" s="3"/>
      <c r="AD3160" s="3"/>
      <c r="AG3160" s="3"/>
      <c r="AJ3160" s="3"/>
    </row>
    <row r="3161" spans="1:36" x14ac:dyDescent="0.25">
      <c r="A3161" s="1"/>
      <c r="B3161" s="2"/>
      <c r="AA3161" s="3"/>
      <c r="AD3161" s="3"/>
      <c r="AG3161" s="3"/>
      <c r="AJ3161" s="3"/>
    </row>
    <row r="3162" spans="1:36" x14ac:dyDescent="0.25">
      <c r="A3162" s="1"/>
      <c r="B3162" s="2"/>
      <c r="AA3162" s="3"/>
      <c r="AD3162" s="3"/>
      <c r="AG3162" s="3"/>
      <c r="AJ3162" s="3"/>
    </row>
    <row r="3163" spans="1:36" x14ac:dyDescent="0.25">
      <c r="A3163" s="1"/>
      <c r="B3163" s="2"/>
      <c r="AA3163" s="3"/>
      <c r="AD3163" s="3"/>
      <c r="AG3163" s="3"/>
      <c r="AJ3163" s="3"/>
    </row>
    <row r="3164" spans="1:36" x14ac:dyDescent="0.25">
      <c r="A3164" s="1"/>
      <c r="B3164" s="2"/>
      <c r="AA3164" s="3"/>
      <c r="AD3164" s="3"/>
      <c r="AG3164" s="3"/>
      <c r="AJ3164" s="3"/>
    </row>
    <row r="3165" spans="1:36" x14ac:dyDescent="0.25">
      <c r="A3165" s="1"/>
      <c r="B3165" s="2"/>
      <c r="AA3165" s="3"/>
      <c r="AD3165" s="3"/>
      <c r="AG3165" s="3"/>
      <c r="AJ3165" s="3"/>
    </row>
    <row r="3166" spans="1:36" x14ac:dyDescent="0.25">
      <c r="A3166" s="1"/>
      <c r="B3166" s="2"/>
      <c r="AA3166" s="3"/>
      <c r="AD3166" s="3"/>
      <c r="AG3166" s="3"/>
      <c r="AJ3166" s="3"/>
    </row>
    <row r="3167" spans="1:36" x14ac:dyDescent="0.25">
      <c r="A3167" s="1"/>
      <c r="B3167" s="2"/>
      <c r="AA3167" s="3"/>
      <c r="AD3167" s="3"/>
      <c r="AG3167" s="3"/>
      <c r="AJ3167" s="3"/>
    </row>
    <row r="3168" spans="1:36" x14ac:dyDescent="0.25">
      <c r="A3168" s="1"/>
      <c r="B3168" s="2"/>
      <c r="AA3168" s="3"/>
      <c r="AD3168" s="3"/>
      <c r="AG3168" s="3"/>
      <c r="AJ3168" s="3"/>
    </row>
    <row r="3169" spans="1:36" x14ac:dyDescent="0.25">
      <c r="A3169" s="1"/>
      <c r="B3169" s="2"/>
      <c r="AA3169" s="3"/>
      <c r="AD3169" s="3"/>
      <c r="AG3169" s="3"/>
      <c r="AJ3169" s="3"/>
    </row>
    <row r="3170" spans="1:36" x14ac:dyDescent="0.25">
      <c r="A3170" s="1"/>
      <c r="B3170" s="2"/>
      <c r="AA3170" s="3"/>
      <c r="AD3170" s="3"/>
      <c r="AG3170" s="3"/>
      <c r="AJ3170" s="3"/>
    </row>
    <row r="3171" spans="1:36" x14ac:dyDescent="0.25">
      <c r="A3171" s="1"/>
      <c r="B3171" s="2"/>
      <c r="AA3171" s="3"/>
      <c r="AD3171" s="3"/>
      <c r="AG3171" s="3"/>
      <c r="AJ3171" s="3"/>
    </row>
    <row r="3172" spans="1:36" x14ac:dyDescent="0.25">
      <c r="A3172" s="1"/>
      <c r="B3172" s="2"/>
      <c r="AA3172" s="3"/>
      <c r="AD3172" s="3"/>
      <c r="AG3172" s="3"/>
      <c r="AJ3172" s="3"/>
    </row>
    <row r="3173" spans="1:36" x14ac:dyDescent="0.25">
      <c r="A3173" s="1"/>
      <c r="B3173" s="2"/>
      <c r="AA3173" s="3"/>
      <c r="AD3173" s="3"/>
      <c r="AG3173" s="3"/>
      <c r="AJ3173" s="3"/>
    </row>
    <row r="3174" spans="1:36" x14ac:dyDescent="0.25">
      <c r="A3174" s="1"/>
      <c r="B3174" s="2"/>
      <c r="AA3174" s="3"/>
      <c r="AD3174" s="3"/>
      <c r="AG3174" s="3"/>
      <c r="AJ3174" s="3"/>
    </row>
    <row r="3175" spans="1:36" x14ac:dyDescent="0.25">
      <c r="A3175" s="1"/>
      <c r="B3175" s="2"/>
      <c r="AA3175" s="3"/>
      <c r="AD3175" s="3"/>
      <c r="AG3175" s="3"/>
      <c r="AJ3175" s="3"/>
    </row>
    <row r="3176" spans="1:36" x14ac:dyDescent="0.25">
      <c r="A3176" s="1"/>
      <c r="B3176" s="2"/>
      <c r="AA3176" s="3"/>
      <c r="AD3176" s="3"/>
      <c r="AG3176" s="3"/>
      <c r="AJ3176" s="3"/>
    </row>
    <row r="3177" spans="1:36" x14ac:dyDescent="0.25">
      <c r="A3177" s="1"/>
      <c r="B3177" s="2"/>
      <c r="AA3177" s="3"/>
      <c r="AD3177" s="3"/>
      <c r="AG3177" s="3"/>
      <c r="AJ3177" s="3"/>
    </row>
    <row r="3178" spans="1:36" x14ac:dyDescent="0.25">
      <c r="A3178" s="1"/>
      <c r="B3178" s="2"/>
      <c r="AA3178" s="3"/>
      <c r="AD3178" s="3"/>
      <c r="AG3178" s="3"/>
      <c r="AJ3178" s="3"/>
    </row>
    <row r="3179" spans="1:36" x14ac:dyDescent="0.25">
      <c r="A3179" s="1"/>
      <c r="B3179" s="2"/>
      <c r="AA3179" s="3"/>
      <c r="AD3179" s="3"/>
      <c r="AG3179" s="3"/>
      <c r="AJ3179" s="3"/>
    </row>
    <row r="3180" spans="1:36" x14ac:dyDescent="0.25">
      <c r="A3180" s="1"/>
      <c r="B3180" s="2"/>
      <c r="AA3180" s="3"/>
      <c r="AD3180" s="3"/>
      <c r="AG3180" s="3"/>
      <c r="AJ3180" s="3"/>
    </row>
    <row r="3181" spans="1:36" x14ac:dyDescent="0.25">
      <c r="A3181" s="1"/>
      <c r="B3181" s="2"/>
      <c r="AA3181" s="3"/>
      <c r="AD3181" s="3"/>
      <c r="AG3181" s="3"/>
      <c r="AJ3181" s="3"/>
    </row>
    <row r="3182" spans="1:36" x14ac:dyDescent="0.25">
      <c r="A3182" s="1"/>
      <c r="B3182" s="2"/>
      <c r="AA3182" s="3"/>
      <c r="AD3182" s="3"/>
      <c r="AG3182" s="3"/>
      <c r="AJ3182" s="3"/>
    </row>
    <row r="3183" spans="1:36" x14ac:dyDescent="0.25">
      <c r="A3183" s="1"/>
      <c r="B3183" s="2"/>
      <c r="AA3183" s="3"/>
      <c r="AD3183" s="3"/>
      <c r="AG3183" s="3"/>
      <c r="AJ3183" s="3"/>
    </row>
    <row r="3184" spans="1:36" x14ac:dyDescent="0.25">
      <c r="A3184" s="1"/>
      <c r="B3184" s="2"/>
      <c r="AA3184" s="3"/>
      <c r="AD3184" s="3"/>
      <c r="AG3184" s="3"/>
      <c r="AJ3184" s="3"/>
    </row>
    <row r="3185" spans="1:36" x14ac:dyDescent="0.25">
      <c r="A3185" s="1"/>
      <c r="B3185" s="2"/>
      <c r="AA3185" s="3"/>
      <c r="AD3185" s="3"/>
      <c r="AG3185" s="3"/>
      <c r="AJ3185" s="3"/>
    </row>
    <row r="3186" spans="1:36" x14ac:dyDescent="0.25">
      <c r="A3186" s="1"/>
      <c r="B3186" s="2"/>
      <c r="AA3186" s="3"/>
      <c r="AD3186" s="3"/>
      <c r="AG3186" s="3"/>
      <c r="AJ3186" s="3"/>
    </row>
    <row r="3187" spans="1:36" x14ac:dyDescent="0.25">
      <c r="A3187" s="1"/>
      <c r="B3187" s="2"/>
      <c r="AA3187" s="3"/>
      <c r="AD3187" s="3"/>
      <c r="AG3187" s="3"/>
      <c r="AJ3187" s="3"/>
    </row>
    <row r="3188" spans="1:36" x14ac:dyDescent="0.25">
      <c r="A3188" s="1"/>
      <c r="B3188" s="2"/>
      <c r="AA3188" s="3"/>
      <c r="AD3188" s="3"/>
      <c r="AG3188" s="3"/>
      <c r="AJ3188" s="3"/>
    </row>
    <row r="3189" spans="1:36" x14ac:dyDescent="0.25">
      <c r="A3189" s="1"/>
      <c r="B3189" s="2"/>
      <c r="AA3189" s="3"/>
      <c r="AD3189" s="3"/>
      <c r="AG3189" s="3"/>
      <c r="AJ3189" s="3"/>
    </row>
    <row r="3190" spans="1:36" x14ac:dyDescent="0.25">
      <c r="A3190" s="1"/>
      <c r="B3190" s="2"/>
      <c r="AA3190" s="3"/>
      <c r="AD3190" s="3"/>
      <c r="AG3190" s="3"/>
      <c r="AJ3190" s="3"/>
    </row>
    <row r="3191" spans="1:36" x14ac:dyDescent="0.25">
      <c r="A3191" s="1"/>
      <c r="B3191" s="2"/>
      <c r="AA3191" s="3"/>
      <c r="AD3191" s="3"/>
      <c r="AG3191" s="3"/>
      <c r="AJ3191" s="3"/>
    </row>
    <row r="3192" spans="1:36" x14ac:dyDescent="0.25">
      <c r="A3192" s="1"/>
      <c r="B3192" s="2"/>
      <c r="AA3192" s="3"/>
      <c r="AD3192" s="3"/>
      <c r="AG3192" s="3"/>
      <c r="AJ3192" s="3"/>
    </row>
    <row r="3193" spans="1:36" x14ac:dyDescent="0.25">
      <c r="A3193" s="1"/>
      <c r="B3193" s="2"/>
      <c r="AA3193" s="3"/>
      <c r="AD3193" s="3"/>
      <c r="AG3193" s="3"/>
      <c r="AJ3193" s="3"/>
    </row>
    <row r="3194" spans="1:36" x14ac:dyDescent="0.25">
      <c r="A3194" s="1"/>
      <c r="B3194" s="2"/>
      <c r="AA3194" s="3"/>
      <c r="AD3194" s="3"/>
      <c r="AG3194" s="3"/>
      <c r="AJ3194" s="3"/>
    </row>
    <row r="3195" spans="1:36" x14ac:dyDescent="0.25">
      <c r="A3195" s="1"/>
      <c r="B3195" s="2"/>
      <c r="AA3195" s="3"/>
      <c r="AD3195" s="3"/>
      <c r="AG3195" s="3"/>
      <c r="AJ3195" s="3"/>
    </row>
    <row r="3196" spans="1:36" x14ac:dyDescent="0.25">
      <c r="A3196" s="1"/>
      <c r="B3196" s="2"/>
      <c r="AA3196" s="3"/>
      <c r="AD3196" s="3"/>
      <c r="AG3196" s="3"/>
      <c r="AJ3196" s="3"/>
    </row>
    <row r="3197" spans="1:36" x14ac:dyDescent="0.25">
      <c r="A3197" s="1"/>
      <c r="B3197" s="2"/>
      <c r="AA3197" s="3"/>
      <c r="AD3197" s="3"/>
      <c r="AG3197" s="3"/>
      <c r="AJ3197" s="3"/>
    </row>
    <row r="3198" spans="1:36" x14ac:dyDescent="0.25">
      <c r="A3198" s="1"/>
      <c r="B3198" s="2"/>
      <c r="AA3198" s="3"/>
      <c r="AD3198" s="3"/>
      <c r="AG3198" s="3"/>
      <c r="AJ3198" s="3"/>
    </row>
    <row r="3199" spans="1:36" x14ac:dyDescent="0.25">
      <c r="A3199" s="1"/>
      <c r="B3199" s="2"/>
      <c r="AA3199" s="3"/>
      <c r="AD3199" s="3"/>
      <c r="AG3199" s="3"/>
      <c r="AJ3199" s="3"/>
    </row>
    <row r="3200" spans="1:36" x14ac:dyDescent="0.25">
      <c r="A3200" s="1"/>
      <c r="B3200" s="2"/>
      <c r="AA3200" s="3"/>
      <c r="AD3200" s="3"/>
      <c r="AG3200" s="3"/>
      <c r="AJ3200" s="3"/>
    </row>
    <row r="3201" spans="1:36" x14ac:dyDescent="0.25">
      <c r="A3201" s="1"/>
      <c r="B3201" s="2"/>
      <c r="AA3201" s="3"/>
      <c r="AD3201" s="3"/>
      <c r="AG3201" s="3"/>
      <c r="AJ3201" s="3"/>
    </row>
    <row r="3202" spans="1:36" x14ac:dyDescent="0.25">
      <c r="A3202" s="1"/>
      <c r="B3202" s="2"/>
      <c r="AA3202" s="3"/>
      <c r="AD3202" s="3"/>
      <c r="AG3202" s="3"/>
      <c r="AJ3202" s="3"/>
    </row>
    <row r="3203" spans="1:36" x14ac:dyDescent="0.25">
      <c r="A3203" s="1"/>
      <c r="B3203" s="2"/>
      <c r="AA3203" s="3"/>
      <c r="AD3203" s="3"/>
      <c r="AG3203" s="3"/>
      <c r="AJ3203" s="3"/>
    </row>
    <row r="3204" spans="1:36" x14ac:dyDescent="0.25">
      <c r="A3204" s="1"/>
      <c r="B3204" s="2"/>
      <c r="AA3204" s="3"/>
      <c r="AD3204" s="3"/>
      <c r="AG3204" s="3"/>
      <c r="AJ3204" s="3"/>
    </row>
    <row r="3205" spans="1:36" x14ac:dyDescent="0.25">
      <c r="A3205" s="1"/>
      <c r="B3205" s="2"/>
      <c r="AA3205" s="3"/>
      <c r="AD3205" s="3"/>
      <c r="AG3205" s="3"/>
      <c r="AJ3205" s="3"/>
    </row>
    <row r="3206" spans="1:36" x14ac:dyDescent="0.25">
      <c r="A3206" s="1"/>
      <c r="B3206" s="2"/>
      <c r="AA3206" s="3"/>
      <c r="AD3206" s="3"/>
      <c r="AG3206" s="3"/>
      <c r="AJ3206" s="3"/>
    </row>
    <row r="3207" spans="1:36" x14ac:dyDescent="0.25">
      <c r="A3207" s="1"/>
      <c r="B3207" s="2"/>
      <c r="AA3207" s="3"/>
      <c r="AD3207" s="3"/>
      <c r="AG3207" s="3"/>
      <c r="AJ3207" s="3"/>
    </row>
    <row r="3208" spans="1:36" x14ac:dyDescent="0.25">
      <c r="A3208" s="1"/>
      <c r="B3208" s="2"/>
      <c r="AA3208" s="3"/>
      <c r="AD3208" s="3"/>
      <c r="AG3208" s="3"/>
      <c r="AJ3208" s="3"/>
    </row>
    <row r="3209" spans="1:36" x14ac:dyDescent="0.25">
      <c r="A3209" s="1"/>
      <c r="B3209" s="2"/>
      <c r="AA3209" s="3"/>
      <c r="AD3209" s="3"/>
      <c r="AG3209" s="3"/>
      <c r="AJ3209" s="3"/>
    </row>
    <row r="3210" spans="1:36" x14ac:dyDescent="0.25">
      <c r="A3210" s="1"/>
      <c r="B3210" s="2"/>
      <c r="AA3210" s="3"/>
      <c r="AD3210" s="3"/>
      <c r="AG3210" s="3"/>
      <c r="AJ3210" s="3"/>
    </row>
    <row r="3211" spans="1:36" x14ac:dyDescent="0.25">
      <c r="A3211" s="1"/>
      <c r="B3211" s="2"/>
      <c r="AA3211" s="3"/>
      <c r="AD3211" s="3"/>
      <c r="AG3211" s="3"/>
      <c r="AJ3211" s="3"/>
    </row>
    <row r="3212" spans="1:36" x14ac:dyDescent="0.25">
      <c r="A3212" s="1"/>
      <c r="B3212" s="2"/>
      <c r="AA3212" s="3"/>
      <c r="AD3212" s="3"/>
      <c r="AG3212" s="3"/>
      <c r="AJ3212" s="3"/>
    </row>
    <row r="3213" spans="1:36" x14ac:dyDescent="0.25">
      <c r="A3213" s="1"/>
      <c r="B3213" s="2"/>
      <c r="AA3213" s="3"/>
      <c r="AD3213" s="3"/>
      <c r="AG3213" s="3"/>
      <c r="AJ3213" s="3"/>
    </row>
    <row r="3214" spans="1:36" x14ac:dyDescent="0.25">
      <c r="A3214" s="1"/>
      <c r="B3214" s="2"/>
      <c r="AA3214" s="3"/>
      <c r="AD3214" s="3"/>
      <c r="AG3214" s="3"/>
      <c r="AJ3214" s="3"/>
    </row>
    <row r="3215" spans="1:36" x14ac:dyDescent="0.25">
      <c r="A3215" s="1"/>
      <c r="B3215" s="2"/>
      <c r="AA3215" s="3"/>
      <c r="AD3215" s="3"/>
      <c r="AG3215" s="3"/>
      <c r="AJ3215" s="3"/>
    </row>
    <row r="3216" spans="1:36" x14ac:dyDescent="0.25">
      <c r="A3216" s="1"/>
      <c r="B3216" s="2"/>
      <c r="AA3216" s="3"/>
      <c r="AD3216" s="3"/>
      <c r="AG3216" s="3"/>
      <c r="AJ3216" s="3"/>
    </row>
    <row r="3217" spans="1:36" x14ac:dyDescent="0.25">
      <c r="A3217" s="1"/>
      <c r="B3217" s="2"/>
      <c r="AA3217" s="3"/>
      <c r="AD3217" s="3"/>
      <c r="AG3217" s="3"/>
      <c r="AJ3217" s="3"/>
    </row>
    <row r="3218" spans="1:36" x14ac:dyDescent="0.25">
      <c r="A3218" s="1"/>
      <c r="B3218" s="2"/>
      <c r="AA3218" s="3"/>
      <c r="AD3218" s="3"/>
      <c r="AG3218" s="3"/>
      <c r="AJ3218" s="3"/>
    </row>
    <row r="3219" spans="1:36" x14ac:dyDescent="0.25">
      <c r="A3219" s="1"/>
      <c r="B3219" s="2"/>
      <c r="AA3219" s="3"/>
      <c r="AD3219" s="3"/>
      <c r="AG3219" s="3"/>
      <c r="AJ3219" s="3"/>
    </row>
    <row r="3220" spans="1:36" x14ac:dyDescent="0.25">
      <c r="A3220" s="1"/>
      <c r="B3220" s="2"/>
      <c r="AA3220" s="3"/>
      <c r="AD3220" s="3"/>
      <c r="AG3220" s="3"/>
      <c r="AJ3220" s="3"/>
    </row>
    <row r="3221" spans="1:36" x14ac:dyDescent="0.25">
      <c r="A3221" s="1"/>
      <c r="B3221" s="2"/>
      <c r="AA3221" s="3"/>
      <c r="AD3221" s="3"/>
      <c r="AG3221" s="3"/>
      <c r="AJ3221" s="3"/>
    </row>
    <row r="3222" spans="1:36" x14ac:dyDescent="0.25">
      <c r="A3222" s="1"/>
      <c r="B3222" s="2"/>
      <c r="AA3222" s="3"/>
      <c r="AD3222" s="3"/>
      <c r="AG3222" s="3"/>
      <c r="AJ3222" s="3"/>
    </row>
    <row r="3223" spans="1:36" x14ac:dyDescent="0.25">
      <c r="A3223" s="1"/>
      <c r="B3223" s="2"/>
      <c r="AA3223" s="3"/>
      <c r="AD3223" s="3"/>
      <c r="AG3223" s="3"/>
      <c r="AJ3223" s="3"/>
    </row>
    <row r="3224" spans="1:36" x14ac:dyDescent="0.25">
      <c r="A3224" s="1"/>
      <c r="B3224" s="2"/>
      <c r="AA3224" s="3"/>
      <c r="AD3224" s="3"/>
      <c r="AG3224" s="3"/>
      <c r="AJ3224" s="3"/>
    </row>
    <row r="3225" spans="1:36" x14ac:dyDescent="0.25">
      <c r="A3225" s="1"/>
      <c r="B3225" s="2"/>
      <c r="AA3225" s="3"/>
      <c r="AD3225" s="3"/>
      <c r="AG3225" s="3"/>
      <c r="AJ3225" s="3"/>
    </row>
    <row r="3226" spans="1:36" x14ac:dyDescent="0.25">
      <c r="A3226" s="1"/>
      <c r="B3226" s="2"/>
      <c r="AA3226" s="3"/>
      <c r="AD3226" s="3"/>
      <c r="AG3226" s="3"/>
      <c r="AJ3226" s="3"/>
    </row>
    <row r="3227" spans="1:36" x14ac:dyDescent="0.25">
      <c r="A3227" s="1"/>
      <c r="B3227" s="2"/>
      <c r="AA3227" s="3"/>
      <c r="AD3227" s="3"/>
      <c r="AG3227" s="3"/>
      <c r="AJ3227" s="3"/>
    </row>
    <row r="3228" spans="1:36" x14ac:dyDescent="0.25">
      <c r="A3228" s="1"/>
      <c r="B3228" s="2"/>
      <c r="AA3228" s="3"/>
      <c r="AD3228" s="3"/>
      <c r="AG3228" s="3"/>
      <c r="AJ3228" s="3"/>
    </row>
    <row r="3229" spans="1:36" x14ac:dyDescent="0.25">
      <c r="A3229" s="1"/>
      <c r="B3229" s="2"/>
      <c r="AA3229" s="3"/>
      <c r="AD3229" s="3"/>
      <c r="AG3229" s="3"/>
      <c r="AJ3229" s="3"/>
    </row>
    <row r="3230" spans="1:36" x14ac:dyDescent="0.25">
      <c r="A3230" s="1"/>
      <c r="B3230" s="2"/>
      <c r="AA3230" s="3"/>
      <c r="AD3230" s="3"/>
      <c r="AG3230" s="3"/>
      <c r="AJ3230" s="3"/>
    </row>
    <row r="3231" spans="1:36" x14ac:dyDescent="0.25">
      <c r="A3231" s="1"/>
      <c r="B3231" s="2"/>
      <c r="AA3231" s="3"/>
      <c r="AD3231" s="3"/>
      <c r="AG3231" s="3"/>
      <c r="AJ3231" s="3"/>
    </row>
    <row r="3232" spans="1:36" x14ac:dyDescent="0.25">
      <c r="A3232" s="1"/>
      <c r="B3232" s="2"/>
      <c r="AA3232" s="3"/>
      <c r="AD3232" s="3"/>
      <c r="AG3232" s="3"/>
      <c r="AJ3232" s="3"/>
    </row>
    <row r="3233" spans="1:36" x14ac:dyDescent="0.25">
      <c r="A3233" s="1"/>
      <c r="B3233" s="2"/>
      <c r="AA3233" s="3"/>
      <c r="AD3233" s="3"/>
      <c r="AG3233" s="3"/>
      <c r="AJ3233" s="3"/>
    </row>
    <row r="3234" spans="1:36" x14ac:dyDescent="0.25">
      <c r="A3234" s="1"/>
      <c r="B3234" s="2"/>
      <c r="AA3234" s="3"/>
      <c r="AD3234" s="3"/>
      <c r="AG3234" s="3"/>
      <c r="AJ3234" s="3"/>
    </row>
    <row r="3235" spans="1:36" x14ac:dyDescent="0.25">
      <c r="A3235" s="1"/>
      <c r="B3235" s="2"/>
      <c r="AA3235" s="3"/>
      <c r="AD3235" s="3"/>
      <c r="AG3235" s="3"/>
      <c r="AJ3235" s="3"/>
    </row>
    <row r="3236" spans="1:36" x14ac:dyDescent="0.25">
      <c r="A3236" s="1"/>
      <c r="B3236" s="2"/>
      <c r="AA3236" s="3"/>
      <c r="AD3236" s="3"/>
      <c r="AG3236" s="3"/>
      <c r="AJ3236" s="3"/>
    </row>
    <row r="3237" spans="1:36" x14ac:dyDescent="0.25">
      <c r="A3237" s="1"/>
      <c r="B3237" s="2"/>
      <c r="AA3237" s="3"/>
      <c r="AD3237" s="3"/>
      <c r="AG3237" s="3"/>
      <c r="AJ3237" s="3"/>
    </row>
    <row r="3238" spans="1:36" x14ac:dyDescent="0.25">
      <c r="A3238" s="1"/>
      <c r="B3238" s="2"/>
      <c r="AA3238" s="3"/>
      <c r="AD3238" s="3"/>
      <c r="AG3238" s="3"/>
      <c r="AJ3238" s="3"/>
    </row>
    <row r="3239" spans="1:36" x14ac:dyDescent="0.25">
      <c r="A3239" s="1"/>
      <c r="B3239" s="2"/>
      <c r="AA3239" s="3"/>
      <c r="AD3239" s="3"/>
      <c r="AG3239" s="3"/>
      <c r="AJ3239" s="3"/>
    </row>
    <row r="3240" spans="1:36" x14ac:dyDescent="0.25">
      <c r="A3240" s="1"/>
      <c r="B3240" s="2"/>
      <c r="AA3240" s="3"/>
      <c r="AD3240" s="3"/>
      <c r="AG3240" s="3"/>
      <c r="AJ3240" s="3"/>
    </row>
    <row r="3241" spans="1:36" x14ac:dyDescent="0.25">
      <c r="A3241" s="1"/>
      <c r="B3241" s="2"/>
      <c r="AA3241" s="3"/>
      <c r="AD3241" s="3"/>
      <c r="AG3241" s="3"/>
      <c r="AJ3241" s="3"/>
    </row>
    <row r="3242" spans="1:36" x14ac:dyDescent="0.25">
      <c r="A3242" s="1"/>
      <c r="B3242" s="2"/>
      <c r="AA3242" s="3"/>
      <c r="AD3242" s="3"/>
      <c r="AG3242" s="3"/>
      <c r="AJ3242" s="3"/>
    </row>
    <row r="3243" spans="1:36" x14ac:dyDescent="0.25">
      <c r="A3243" s="1"/>
      <c r="B3243" s="2"/>
      <c r="AA3243" s="3"/>
      <c r="AD3243" s="3"/>
      <c r="AG3243" s="3"/>
      <c r="AJ3243" s="3"/>
    </row>
    <row r="3244" spans="1:36" x14ac:dyDescent="0.25">
      <c r="A3244" s="1"/>
      <c r="B3244" s="2"/>
      <c r="AA3244" s="3"/>
      <c r="AD3244" s="3"/>
      <c r="AG3244" s="3"/>
      <c r="AJ3244" s="3"/>
    </row>
    <row r="3245" spans="1:36" x14ac:dyDescent="0.25">
      <c r="A3245" s="1"/>
      <c r="B3245" s="2"/>
      <c r="AA3245" s="3"/>
      <c r="AD3245" s="3"/>
      <c r="AG3245" s="3"/>
      <c r="AJ3245" s="3"/>
    </row>
    <row r="3246" spans="1:36" x14ac:dyDescent="0.25">
      <c r="A3246" s="1"/>
      <c r="B3246" s="2"/>
      <c r="AA3246" s="3"/>
      <c r="AD3246" s="3"/>
      <c r="AG3246" s="3"/>
      <c r="AJ3246" s="3"/>
    </row>
    <row r="3247" spans="1:36" x14ac:dyDescent="0.25">
      <c r="A3247" s="1"/>
      <c r="B3247" s="2"/>
      <c r="AA3247" s="3"/>
      <c r="AD3247" s="3"/>
      <c r="AG3247" s="3"/>
      <c r="AJ3247" s="3"/>
    </row>
    <row r="3248" spans="1:36" x14ac:dyDescent="0.25">
      <c r="A3248" s="1"/>
      <c r="B3248" s="2"/>
      <c r="AA3248" s="3"/>
      <c r="AD3248" s="3"/>
      <c r="AG3248" s="3"/>
      <c r="AJ3248" s="3"/>
    </row>
    <row r="3249" spans="1:36" x14ac:dyDescent="0.25">
      <c r="A3249" s="1"/>
      <c r="B3249" s="2"/>
      <c r="AA3249" s="3"/>
      <c r="AD3249" s="3"/>
      <c r="AG3249" s="3"/>
      <c r="AJ3249" s="3"/>
    </row>
    <row r="3250" spans="1:36" x14ac:dyDescent="0.25">
      <c r="A3250" s="1"/>
      <c r="B3250" s="2"/>
      <c r="AA3250" s="3"/>
      <c r="AD3250" s="3"/>
      <c r="AG3250" s="3"/>
      <c r="AJ3250" s="3"/>
    </row>
    <row r="3251" spans="1:36" x14ac:dyDescent="0.25">
      <c r="A3251" s="1"/>
      <c r="B3251" s="2"/>
      <c r="AA3251" s="3"/>
      <c r="AD3251" s="3"/>
      <c r="AG3251" s="3"/>
      <c r="AJ3251" s="3"/>
    </row>
    <row r="3252" spans="1:36" x14ac:dyDescent="0.25">
      <c r="A3252" s="1"/>
      <c r="B3252" s="2"/>
      <c r="AA3252" s="3"/>
      <c r="AD3252" s="3"/>
      <c r="AG3252" s="3"/>
      <c r="AJ3252" s="3"/>
    </row>
    <row r="3253" spans="1:36" x14ac:dyDescent="0.25">
      <c r="A3253" s="1"/>
      <c r="B3253" s="2"/>
      <c r="AA3253" s="3"/>
      <c r="AD3253" s="3"/>
      <c r="AG3253" s="3"/>
      <c r="AJ3253" s="3"/>
    </row>
    <row r="3254" spans="1:36" x14ac:dyDescent="0.25">
      <c r="A3254" s="1"/>
      <c r="B3254" s="2"/>
      <c r="AA3254" s="3"/>
      <c r="AD3254" s="3"/>
      <c r="AG3254" s="3"/>
      <c r="AJ3254" s="3"/>
    </row>
    <row r="3255" spans="1:36" x14ac:dyDescent="0.25">
      <c r="A3255" s="1"/>
      <c r="B3255" s="2"/>
      <c r="AA3255" s="3"/>
      <c r="AD3255" s="3"/>
      <c r="AG3255" s="3"/>
      <c r="AJ3255" s="3"/>
    </row>
    <row r="3256" spans="1:36" x14ac:dyDescent="0.25">
      <c r="A3256" s="1"/>
      <c r="B3256" s="2"/>
      <c r="AA3256" s="3"/>
      <c r="AD3256" s="3"/>
      <c r="AG3256" s="3"/>
      <c r="AJ3256" s="3"/>
    </row>
    <row r="3257" spans="1:36" x14ac:dyDescent="0.25">
      <c r="A3257" s="1"/>
      <c r="B3257" s="2"/>
      <c r="AA3257" s="3"/>
      <c r="AD3257" s="3"/>
      <c r="AG3257" s="3"/>
      <c r="AJ3257" s="3"/>
    </row>
    <row r="3258" spans="1:36" x14ac:dyDescent="0.25">
      <c r="A3258" s="1"/>
      <c r="B3258" s="2"/>
      <c r="AA3258" s="3"/>
      <c r="AD3258" s="3"/>
      <c r="AG3258" s="3"/>
      <c r="AJ3258" s="3"/>
    </row>
    <row r="3259" spans="1:36" x14ac:dyDescent="0.25">
      <c r="A3259" s="1"/>
      <c r="B3259" s="2"/>
      <c r="AA3259" s="3"/>
      <c r="AD3259" s="3"/>
      <c r="AG3259" s="3"/>
      <c r="AJ3259" s="3"/>
    </row>
    <row r="3260" spans="1:36" x14ac:dyDescent="0.25">
      <c r="A3260" s="1"/>
      <c r="B3260" s="2"/>
      <c r="AA3260" s="3"/>
      <c r="AD3260" s="3"/>
      <c r="AG3260" s="3"/>
      <c r="AJ3260" s="3"/>
    </row>
    <row r="3261" spans="1:36" x14ac:dyDescent="0.25">
      <c r="A3261" s="1"/>
      <c r="B3261" s="2"/>
      <c r="AA3261" s="3"/>
      <c r="AD3261" s="3"/>
      <c r="AG3261" s="3"/>
      <c r="AJ3261" s="3"/>
    </row>
    <row r="3262" spans="1:36" x14ac:dyDescent="0.25">
      <c r="A3262" s="1"/>
      <c r="B3262" s="2"/>
      <c r="AA3262" s="3"/>
      <c r="AD3262" s="3"/>
      <c r="AG3262" s="3"/>
      <c r="AJ3262" s="3"/>
    </row>
    <row r="3263" spans="1:36" x14ac:dyDescent="0.25">
      <c r="A3263" s="1"/>
      <c r="B3263" s="2"/>
      <c r="AA3263" s="3"/>
      <c r="AD3263" s="3"/>
      <c r="AG3263" s="3"/>
      <c r="AJ3263" s="3"/>
    </row>
    <row r="3264" spans="1:36" x14ac:dyDescent="0.25">
      <c r="A3264" s="1"/>
      <c r="B3264" s="2"/>
      <c r="AA3264" s="3"/>
      <c r="AD3264" s="3"/>
      <c r="AG3264" s="3"/>
      <c r="AJ3264" s="3"/>
    </row>
    <row r="3265" spans="1:36" x14ac:dyDescent="0.25">
      <c r="A3265" s="1"/>
      <c r="B3265" s="2"/>
      <c r="AA3265" s="3"/>
      <c r="AD3265" s="3"/>
      <c r="AG3265" s="3"/>
      <c r="AJ3265" s="3"/>
    </row>
    <row r="3266" spans="1:36" x14ac:dyDescent="0.25">
      <c r="A3266" s="1"/>
      <c r="B3266" s="2"/>
      <c r="AA3266" s="3"/>
      <c r="AD3266" s="3"/>
      <c r="AG3266" s="3"/>
      <c r="AJ3266" s="3"/>
    </row>
    <row r="3267" spans="1:36" x14ac:dyDescent="0.25">
      <c r="A3267" s="1"/>
      <c r="B3267" s="2"/>
      <c r="AA3267" s="3"/>
      <c r="AD3267" s="3"/>
      <c r="AG3267" s="3"/>
      <c r="AJ3267" s="3"/>
    </row>
    <row r="3268" spans="1:36" x14ac:dyDescent="0.25">
      <c r="A3268" s="1"/>
      <c r="B3268" s="2"/>
      <c r="AA3268" s="3"/>
      <c r="AD3268" s="3"/>
      <c r="AG3268" s="3"/>
      <c r="AJ3268" s="3"/>
    </row>
    <row r="3269" spans="1:36" x14ac:dyDescent="0.25">
      <c r="A3269" s="1"/>
      <c r="B3269" s="2"/>
      <c r="AA3269" s="3"/>
      <c r="AD3269" s="3"/>
      <c r="AG3269" s="3"/>
      <c r="AJ3269" s="3"/>
    </row>
    <row r="3270" spans="1:36" x14ac:dyDescent="0.25">
      <c r="A3270" s="1"/>
      <c r="B3270" s="2"/>
      <c r="AA3270" s="3"/>
      <c r="AD3270" s="3"/>
      <c r="AG3270" s="3"/>
      <c r="AJ3270" s="3"/>
    </row>
    <row r="3271" spans="1:36" x14ac:dyDescent="0.25">
      <c r="A3271" s="1"/>
      <c r="B3271" s="2"/>
      <c r="AA3271" s="3"/>
      <c r="AD3271" s="3"/>
      <c r="AG3271" s="3"/>
      <c r="AJ3271" s="3"/>
    </row>
    <row r="3272" spans="1:36" x14ac:dyDescent="0.25">
      <c r="A3272" s="1"/>
      <c r="B3272" s="2"/>
      <c r="AA3272" s="3"/>
      <c r="AD3272" s="3"/>
      <c r="AG3272" s="3"/>
      <c r="AJ3272" s="3"/>
    </row>
    <row r="3273" spans="1:36" x14ac:dyDescent="0.25">
      <c r="A3273" s="1"/>
      <c r="B3273" s="2"/>
      <c r="AA3273" s="3"/>
      <c r="AD3273" s="3"/>
      <c r="AG3273" s="3"/>
      <c r="AJ3273" s="3"/>
    </row>
    <row r="3274" spans="1:36" x14ac:dyDescent="0.25">
      <c r="A3274" s="1"/>
      <c r="B3274" s="2"/>
      <c r="AA3274" s="3"/>
      <c r="AD3274" s="3"/>
      <c r="AG3274" s="3"/>
      <c r="AJ3274" s="3"/>
    </row>
    <row r="3275" spans="1:36" x14ac:dyDescent="0.25">
      <c r="A3275" s="1"/>
      <c r="B3275" s="2"/>
      <c r="AA3275" s="3"/>
      <c r="AD3275" s="3"/>
      <c r="AG3275" s="3"/>
      <c r="AJ3275" s="3"/>
    </row>
    <row r="3276" spans="1:36" x14ac:dyDescent="0.25">
      <c r="A3276" s="1"/>
      <c r="B3276" s="2"/>
      <c r="AA3276" s="3"/>
      <c r="AD3276" s="3"/>
      <c r="AG3276" s="3"/>
      <c r="AJ3276" s="3"/>
    </row>
    <row r="3277" spans="1:36" x14ac:dyDescent="0.25">
      <c r="A3277" s="1"/>
      <c r="B3277" s="2"/>
      <c r="AA3277" s="3"/>
      <c r="AD3277" s="3"/>
      <c r="AG3277" s="3"/>
      <c r="AJ3277" s="3"/>
    </row>
    <row r="3278" spans="1:36" x14ac:dyDescent="0.25">
      <c r="A3278" s="1"/>
      <c r="B3278" s="2"/>
      <c r="AA3278" s="3"/>
      <c r="AD3278" s="3"/>
      <c r="AG3278" s="3"/>
      <c r="AJ3278" s="3"/>
    </row>
    <row r="3279" spans="1:36" x14ac:dyDescent="0.25">
      <c r="A3279" s="1"/>
      <c r="B3279" s="2"/>
      <c r="AA3279" s="3"/>
      <c r="AD3279" s="3"/>
      <c r="AG3279" s="3"/>
      <c r="AJ3279" s="3"/>
    </row>
    <row r="3280" spans="1:36" x14ac:dyDescent="0.25">
      <c r="A3280" s="1"/>
      <c r="B3280" s="2"/>
      <c r="AA3280" s="3"/>
      <c r="AD3280" s="3"/>
      <c r="AG3280" s="3"/>
      <c r="AJ3280" s="3"/>
    </row>
    <row r="3281" spans="1:36" x14ac:dyDescent="0.25">
      <c r="A3281" s="1"/>
      <c r="B3281" s="2"/>
      <c r="AA3281" s="3"/>
      <c r="AD3281" s="3"/>
      <c r="AG3281" s="3"/>
      <c r="AJ3281" s="3"/>
    </row>
    <row r="3282" spans="1:36" x14ac:dyDescent="0.25">
      <c r="A3282" s="1"/>
      <c r="B3282" s="2"/>
      <c r="AA3282" s="3"/>
      <c r="AD3282" s="3"/>
      <c r="AG3282" s="3"/>
      <c r="AJ3282" s="3"/>
    </row>
    <row r="3283" spans="1:36" x14ac:dyDescent="0.25">
      <c r="A3283" s="1"/>
      <c r="B3283" s="2"/>
      <c r="AA3283" s="3"/>
      <c r="AD3283" s="3"/>
      <c r="AG3283" s="3"/>
      <c r="AJ3283" s="3"/>
    </row>
    <row r="3284" spans="1:36" x14ac:dyDescent="0.25">
      <c r="A3284" s="1"/>
      <c r="B3284" s="2"/>
      <c r="AA3284" s="3"/>
      <c r="AD3284" s="3"/>
      <c r="AG3284" s="3"/>
      <c r="AJ3284" s="3"/>
    </row>
    <row r="3285" spans="1:36" x14ac:dyDescent="0.25">
      <c r="A3285" s="1"/>
      <c r="B3285" s="2"/>
      <c r="AA3285" s="3"/>
      <c r="AD3285" s="3"/>
      <c r="AG3285" s="3"/>
      <c r="AJ3285" s="3"/>
    </row>
    <row r="3286" spans="1:36" x14ac:dyDescent="0.25">
      <c r="A3286" s="1"/>
      <c r="B3286" s="2"/>
      <c r="AA3286" s="3"/>
      <c r="AD3286" s="3"/>
      <c r="AG3286" s="3"/>
      <c r="AJ3286" s="3"/>
    </row>
    <row r="3287" spans="1:36" x14ac:dyDescent="0.25">
      <c r="A3287" s="1"/>
      <c r="B3287" s="2"/>
      <c r="AA3287" s="3"/>
      <c r="AD3287" s="3"/>
      <c r="AG3287" s="3"/>
      <c r="AJ3287" s="3"/>
    </row>
    <row r="3288" spans="1:36" x14ac:dyDescent="0.25">
      <c r="A3288" s="1"/>
      <c r="B3288" s="2"/>
      <c r="AA3288" s="3"/>
      <c r="AD3288" s="3"/>
      <c r="AG3288" s="3"/>
      <c r="AJ3288" s="3"/>
    </row>
    <row r="3289" spans="1:36" x14ac:dyDescent="0.25">
      <c r="A3289" s="1"/>
      <c r="B3289" s="2"/>
      <c r="AA3289" s="3"/>
      <c r="AD3289" s="3"/>
      <c r="AG3289" s="3"/>
      <c r="AJ3289" s="3"/>
    </row>
    <row r="3290" spans="1:36" x14ac:dyDescent="0.25">
      <c r="A3290" s="1"/>
      <c r="B3290" s="2"/>
      <c r="AA3290" s="3"/>
      <c r="AD3290" s="3"/>
      <c r="AG3290" s="3"/>
      <c r="AJ3290" s="3"/>
    </row>
    <row r="3291" spans="1:36" x14ac:dyDescent="0.25">
      <c r="A3291" s="1"/>
      <c r="B3291" s="2"/>
      <c r="AA3291" s="3"/>
      <c r="AD3291" s="3"/>
      <c r="AG3291" s="3"/>
      <c r="AJ3291" s="3"/>
    </row>
    <row r="3292" spans="1:36" x14ac:dyDescent="0.25">
      <c r="A3292" s="1"/>
      <c r="B3292" s="2"/>
      <c r="AA3292" s="3"/>
      <c r="AD3292" s="3"/>
      <c r="AG3292" s="3"/>
      <c r="AJ3292" s="3"/>
    </row>
    <row r="3293" spans="1:36" x14ac:dyDescent="0.25">
      <c r="A3293" s="1"/>
      <c r="B3293" s="2"/>
      <c r="AA3293" s="3"/>
      <c r="AD3293" s="3"/>
      <c r="AG3293" s="3"/>
      <c r="AJ3293" s="3"/>
    </row>
    <row r="3294" spans="1:36" x14ac:dyDescent="0.25">
      <c r="A3294" s="1"/>
      <c r="B3294" s="2"/>
      <c r="AA3294" s="3"/>
      <c r="AD3294" s="3"/>
      <c r="AG3294" s="3"/>
      <c r="AJ3294" s="3"/>
    </row>
    <row r="3295" spans="1:36" x14ac:dyDescent="0.25">
      <c r="A3295" s="1"/>
      <c r="B3295" s="2"/>
      <c r="AA3295" s="3"/>
      <c r="AD3295" s="3"/>
      <c r="AG3295" s="3"/>
      <c r="AJ3295" s="3"/>
    </row>
    <row r="3296" spans="1:36" x14ac:dyDescent="0.25">
      <c r="A3296" s="1"/>
      <c r="B3296" s="2"/>
      <c r="AA3296" s="3"/>
      <c r="AD3296" s="3"/>
      <c r="AG3296" s="3"/>
      <c r="AJ3296" s="3"/>
    </row>
    <row r="3297" spans="1:36" x14ac:dyDescent="0.25">
      <c r="A3297" s="1"/>
      <c r="B3297" s="2"/>
      <c r="AA3297" s="3"/>
      <c r="AD3297" s="3"/>
      <c r="AG3297" s="3"/>
      <c r="AJ3297" s="3"/>
    </row>
    <row r="3298" spans="1:36" x14ac:dyDescent="0.25">
      <c r="A3298" s="1"/>
      <c r="B3298" s="2"/>
      <c r="AA3298" s="3"/>
      <c r="AD3298" s="3"/>
      <c r="AG3298" s="3"/>
      <c r="AJ3298" s="3"/>
    </row>
    <row r="3299" spans="1:36" x14ac:dyDescent="0.25">
      <c r="A3299" s="1"/>
      <c r="B3299" s="2"/>
      <c r="AA3299" s="3"/>
      <c r="AD3299" s="3"/>
      <c r="AG3299" s="3"/>
      <c r="AJ3299" s="3"/>
    </row>
    <row r="3300" spans="1:36" x14ac:dyDescent="0.25">
      <c r="A3300" s="1"/>
      <c r="B3300" s="2"/>
      <c r="AA3300" s="3"/>
      <c r="AD3300" s="3"/>
      <c r="AG3300" s="3"/>
      <c r="AJ3300" s="3"/>
    </row>
    <row r="3301" spans="1:36" x14ac:dyDescent="0.25">
      <c r="A3301" s="1"/>
      <c r="B3301" s="2"/>
      <c r="AA3301" s="3"/>
      <c r="AD3301" s="3"/>
      <c r="AG3301" s="3"/>
      <c r="AJ3301" s="3"/>
    </row>
    <row r="3302" spans="1:36" x14ac:dyDescent="0.25">
      <c r="A3302" s="1"/>
      <c r="B3302" s="2"/>
      <c r="AA3302" s="3"/>
      <c r="AD3302" s="3"/>
      <c r="AG3302" s="3"/>
      <c r="AJ3302" s="3"/>
    </row>
    <row r="3303" spans="1:36" x14ac:dyDescent="0.25">
      <c r="A3303" s="1"/>
      <c r="B3303" s="2"/>
      <c r="AA3303" s="3"/>
      <c r="AD3303" s="3"/>
      <c r="AG3303" s="3"/>
      <c r="AJ3303" s="3"/>
    </row>
    <row r="3304" spans="1:36" x14ac:dyDescent="0.25">
      <c r="A3304" s="1"/>
      <c r="B3304" s="2"/>
      <c r="AA3304" s="3"/>
      <c r="AD3304" s="3"/>
      <c r="AG3304" s="3"/>
      <c r="AJ3304" s="3"/>
    </row>
    <row r="3305" spans="1:36" x14ac:dyDescent="0.25">
      <c r="A3305" s="1"/>
      <c r="B3305" s="2"/>
      <c r="AA3305" s="3"/>
      <c r="AD3305" s="3"/>
      <c r="AG3305" s="3"/>
      <c r="AJ3305" s="3"/>
    </row>
    <row r="3306" spans="1:36" x14ac:dyDescent="0.25">
      <c r="A3306" s="1"/>
      <c r="B3306" s="2"/>
      <c r="AA3306" s="3"/>
      <c r="AD3306" s="3"/>
      <c r="AG3306" s="3"/>
      <c r="AJ3306" s="3"/>
    </row>
    <row r="3307" spans="1:36" x14ac:dyDescent="0.25">
      <c r="A3307" s="1"/>
      <c r="B3307" s="2"/>
      <c r="AA3307" s="3"/>
      <c r="AD3307" s="3"/>
      <c r="AG3307" s="3"/>
      <c r="AJ3307" s="3"/>
    </row>
    <row r="3308" spans="1:36" x14ac:dyDescent="0.25">
      <c r="A3308" s="1"/>
      <c r="B3308" s="2"/>
      <c r="AA3308" s="3"/>
      <c r="AD3308" s="3"/>
      <c r="AG3308" s="3"/>
      <c r="AJ3308" s="3"/>
    </row>
    <row r="3309" spans="1:36" x14ac:dyDescent="0.25">
      <c r="A3309" s="1"/>
      <c r="B3309" s="2"/>
      <c r="AA3309" s="3"/>
      <c r="AD3309" s="3"/>
      <c r="AG3309" s="3"/>
      <c r="AJ3309" s="3"/>
    </row>
    <row r="3310" spans="1:36" x14ac:dyDescent="0.25">
      <c r="A3310" s="1"/>
      <c r="B3310" s="2"/>
      <c r="AA3310" s="3"/>
      <c r="AD3310" s="3"/>
      <c r="AG3310" s="3"/>
      <c r="AJ3310" s="3"/>
    </row>
    <row r="3311" spans="1:36" x14ac:dyDescent="0.25">
      <c r="A3311" s="1"/>
      <c r="B3311" s="2"/>
      <c r="AA3311" s="3"/>
      <c r="AD3311" s="3"/>
      <c r="AG3311" s="3"/>
      <c r="AJ3311" s="3"/>
    </row>
    <row r="3312" spans="1:36" x14ac:dyDescent="0.25">
      <c r="A3312" s="1"/>
      <c r="B3312" s="2"/>
      <c r="AA3312" s="3"/>
      <c r="AD3312" s="3"/>
      <c r="AG3312" s="3"/>
      <c r="AJ3312" s="3"/>
    </row>
    <row r="3313" spans="1:36" x14ac:dyDescent="0.25">
      <c r="A3313" s="1"/>
      <c r="B3313" s="2"/>
      <c r="AA3313" s="3"/>
      <c r="AD3313" s="3"/>
      <c r="AG3313" s="3"/>
      <c r="AJ3313" s="3"/>
    </row>
    <row r="3314" spans="1:36" x14ac:dyDescent="0.25">
      <c r="A3314" s="1"/>
      <c r="B3314" s="2"/>
      <c r="AA3314" s="3"/>
      <c r="AD3314" s="3"/>
      <c r="AG3314" s="3"/>
      <c r="AJ3314" s="3"/>
    </row>
    <row r="3315" spans="1:36" x14ac:dyDescent="0.25">
      <c r="A3315" s="1"/>
      <c r="B3315" s="2"/>
      <c r="AA3315" s="3"/>
      <c r="AD3315" s="3"/>
      <c r="AG3315" s="3"/>
      <c r="AJ3315" s="3"/>
    </row>
    <row r="3316" spans="1:36" x14ac:dyDescent="0.25">
      <c r="A3316" s="1"/>
      <c r="B3316" s="2"/>
      <c r="AA3316" s="3"/>
      <c r="AD3316" s="3"/>
      <c r="AG3316" s="3"/>
      <c r="AJ3316" s="3"/>
    </row>
    <row r="3317" spans="1:36" x14ac:dyDescent="0.25">
      <c r="A3317" s="1"/>
      <c r="B3317" s="2"/>
      <c r="AA3317" s="3"/>
      <c r="AD3317" s="3"/>
      <c r="AG3317" s="3"/>
      <c r="AJ3317" s="3"/>
    </row>
    <row r="3318" spans="1:36" x14ac:dyDescent="0.25">
      <c r="A3318" s="1"/>
      <c r="B3318" s="2"/>
      <c r="AA3318" s="3"/>
      <c r="AD3318" s="3"/>
      <c r="AG3318" s="3"/>
      <c r="AJ3318" s="3"/>
    </row>
    <row r="3319" spans="1:36" x14ac:dyDescent="0.25">
      <c r="A3319" s="1"/>
      <c r="B3319" s="2"/>
      <c r="AA3319" s="3"/>
      <c r="AD3319" s="3"/>
      <c r="AG3319" s="3"/>
      <c r="AJ3319" s="3"/>
    </row>
    <row r="3320" spans="1:36" x14ac:dyDescent="0.25">
      <c r="A3320" s="1"/>
      <c r="B3320" s="2"/>
      <c r="AA3320" s="3"/>
      <c r="AD3320" s="3"/>
      <c r="AG3320" s="3"/>
      <c r="AJ3320" s="3"/>
    </row>
    <row r="3321" spans="1:36" x14ac:dyDescent="0.25">
      <c r="A3321" s="1"/>
      <c r="B3321" s="2"/>
      <c r="AA3321" s="3"/>
      <c r="AD3321" s="3"/>
      <c r="AG3321" s="3"/>
      <c r="AJ3321" s="3"/>
    </row>
    <row r="3322" spans="1:36" x14ac:dyDescent="0.25">
      <c r="A3322" s="1"/>
      <c r="B3322" s="2"/>
      <c r="AA3322" s="3"/>
      <c r="AD3322" s="3"/>
      <c r="AG3322" s="3"/>
      <c r="AJ3322" s="3"/>
    </row>
    <row r="3323" spans="1:36" x14ac:dyDescent="0.25">
      <c r="A3323" s="1"/>
      <c r="B3323" s="2"/>
      <c r="AA3323" s="3"/>
      <c r="AD3323" s="3"/>
      <c r="AG3323" s="3"/>
      <c r="AJ3323" s="3"/>
    </row>
    <row r="3324" spans="1:36" x14ac:dyDescent="0.25">
      <c r="A3324" s="1"/>
      <c r="B3324" s="2"/>
      <c r="AA3324" s="3"/>
      <c r="AD3324" s="3"/>
      <c r="AG3324" s="3"/>
      <c r="AJ3324" s="3"/>
    </row>
    <row r="3325" spans="1:36" x14ac:dyDescent="0.25">
      <c r="A3325" s="1"/>
      <c r="B3325" s="2"/>
      <c r="AA3325" s="3"/>
      <c r="AD3325" s="3"/>
      <c r="AG3325" s="3"/>
      <c r="AJ3325" s="3"/>
    </row>
    <row r="3326" spans="1:36" x14ac:dyDescent="0.25">
      <c r="A3326" s="1"/>
      <c r="B3326" s="2"/>
      <c r="AA3326" s="3"/>
      <c r="AD3326" s="3"/>
      <c r="AG3326" s="3"/>
      <c r="AJ3326" s="3"/>
    </row>
    <row r="3327" spans="1:36" x14ac:dyDescent="0.25">
      <c r="A3327" s="1"/>
      <c r="B3327" s="2"/>
      <c r="AA3327" s="3"/>
      <c r="AD3327" s="3"/>
      <c r="AG3327" s="3"/>
      <c r="AJ3327" s="3"/>
    </row>
    <row r="3328" spans="1:36" x14ac:dyDescent="0.25">
      <c r="A3328" s="1"/>
      <c r="B3328" s="2"/>
      <c r="AA3328" s="3"/>
      <c r="AD3328" s="3"/>
      <c r="AG3328" s="3"/>
      <c r="AJ3328" s="3"/>
    </row>
    <row r="3329" spans="1:36" x14ac:dyDescent="0.25">
      <c r="A3329" s="1"/>
      <c r="B3329" s="2"/>
      <c r="AA3329" s="3"/>
      <c r="AD3329" s="3"/>
      <c r="AG3329" s="3"/>
      <c r="AJ3329" s="3"/>
    </row>
    <row r="3330" spans="1:36" x14ac:dyDescent="0.25">
      <c r="A3330" s="1"/>
      <c r="B3330" s="2"/>
      <c r="AA3330" s="3"/>
      <c r="AD3330" s="3"/>
      <c r="AG3330" s="3"/>
      <c r="AJ3330" s="3"/>
    </row>
    <row r="3331" spans="1:36" x14ac:dyDescent="0.25">
      <c r="A3331" s="1"/>
      <c r="B3331" s="2"/>
      <c r="AA3331" s="3"/>
      <c r="AD3331" s="3"/>
      <c r="AG3331" s="3"/>
      <c r="AJ3331" s="3"/>
    </row>
    <row r="3332" spans="1:36" x14ac:dyDescent="0.25">
      <c r="A3332" s="1"/>
      <c r="B3332" s="2"/>
      <c r="AA3332" s="3"/>
      <c r="AD3332" s="3"/>
      <c r="AG3332" s="3"/>
      <c r="AJ3332" s="3"/>
    </row>
    <row r="3333" spans="1:36" x14ac:dyDescent="0.25">
      <c r="A3333" s="1"/>
      <c r="B3333" s="2"/>
      <c r="AA3333" s="3"/>
      <c r="AD3333" s="3"/>
      <c r="AG3333" s="3"/>
      <c r="AJ3333" s="3"/>
    </row>
    <row r="3334" spans="1:36" x14ac:dyDescent="0.25">
      <c r="A3334" s="1"/>
      <c r="B3334" s="2"/>
      <c r="AA3334" s="3"/>
      <c r="AD3334" s="3"/>
      <c r="AG3334" s="3"/>
      <c r="AJ3334" s="3"/>
    </row>
    <row r="3335" spans="1:36" x14ac:dyDescent="0.25">
      <c r="A3335" s="1"/>
      <c r="B3335" s="2"/>
      <c r="AA3335" s="3"/>
      <c r="AD3335" s="3"/>
      <c r="AG3335" s="3"/>
      <c r="AJ3335" s="3"/>
    </row>
    <row r="3336" spans="1:36" x14ac:dyDescent="0.25">
      <c r="A3336" s="1"/>
      <c r="B3336" s="2"/>
      <c r="AA3336" s="3"/>
      <c r="AD3336" s="3"/>
      <c r="AG3336" s="3"/>
      <c r="AJ3336" s="3"/>
    </row>
    <row r="3337" spans="1:36" x14ac:dyDescent="0.25">
      <c r="A3337" s="1"/>
      <c r="B3337" s="2"/>
      <c r="AA3337" s="3"/>
      <c r="AD3337" s="3"/>
      <c r="AG3337" s="3"/>
      <c r="AJ3337" s="3"/>
    </row>
    <row r="3338" spans="1:36" x14ac:dyDescent="0.25">
      <c r="A3338" s="1"/>
      <c r="B3338" s="2"/>
      <c r="AA3338" s="3"/>
      <c r="AD3338" s="3"/>
      <c r="AG3338" s="3"/>
      <c r="AJ3338" s="3"/>
    </row>
    <row r="3339" spans="1:36" x14ac:dyDescent="0.25">
      <c r="A3339" s="1"/>
      <c r="B3339" s="2"/>
      <c r="AA3339" s="3"/>
      <c r="AD3339" s="3"/>
      <c r="AG3339" s="3"/>
      <c r="AJ3339" s="3"/>
    </row>
    <row r="3340" spans="1:36" x14ac:dyDescent="0.25">
      <c r="A3340" s="1"/>
      <c r="B3340" s="2"/>
      <c r="AA3340" s="3"/>
      <c r="AD3340" s="3"/>
      <c r="AG3340" s="3"/>
      <c r="AJ3340" s="3"/>
    </row>
    <row r="3341" spans="1:36" x14ac:dyDescent="0.25">
      <c r="A3341" s="1"/>
      <c r="B3341" s="2"/>
      <c r="AA3341" s="3"/>
      <c r="AD3341" s="3"/>
      <c r="AG3341" s="3"/>
      <c r="AJ3341" s="3"/>
    </row>
    <row r="3342" spans="1:36" x14ac:dyDescent="0.25">
      <c r="A3342" s="1"/>
      <c r="B3342" s="2"/>
      <c r="AA3342" s="3"/>
      <c r="AD3342" s="3"/>
      <c r="AG3342" s="3"/>
      <c r="AJ3342" s="3"/>
    </row>
    <row r="3343" spans="1:36" x14ac:dyDescent="0.25">
      <c r="A3343" s="1"/>
      <c r="B3343" s="2"/>
      <c r="AA3343" s="3"/>
      <c r="AD3343" s="3"/>
      <c r="AG3343" s="3"/>
      <c r="AJ3343" s="3"/>
    </row>
    <row r="3344" spans="1:36" x14ac:dyDescent="0.25">
      <c r="A3344" s="1"/>
      <c r="B3344" s="2"/>
      <c r="AA3344" s="3"/>
      <c r="AD3344" s="3"/>
      <c r="AG3344" s="3"/>
      <c r="AJ3344" s="3"/>
    </row>
    <row r="3345" spans="1:36" x14ac:dyDescent="0.25">
      <c r="A3345" s="1"/>
      <c r="B3345" s="2"/>
      <c r="AA3345" s="3"/>
      <c r="AD3345" s="3"/>
      <c r="AG3345" s="3"/>
      <c r="AJ3345" s="3"/>
    </row>
    <row r="3346" spans="1:36" x14ac:dyDescent="0.25">
      <c r="A3346" s="1"/>
      <c r="B3346" s="2"/>
      <c r="AA3346" s="3"/>
      <c r="AD3346" s="3"/>
      <c r="AG3346" s="3"/>
      <c r="AJ3346" s="3"/>
    </row>
    <row r="3347" spans="1:36" x14ac:dyDescent="0.25">
      <c r="A3347" s="1"/>
      <c r="B3347" s="2"/>
      <c r="AA3347" s="3"/>
      <c r="AD3347" s="3"/>
      <c r="AG3347" s="3"/>
      <c r="AJ3347" s="3"/>
    </row>
    <row r="3348" spans="1:36" x14ac:dyDescent="0.25">
      <c r="A3348" s="1"/>
      <c r="B3348" s="2"/>
      <c r="AA3348" s="3"/>
      <c r="AD3348" s="3"/>
      <c r="AG3348" s="3"/>
      <c r="AJ3348" s="3"/>
    </row>
    <row r="3349" spans="1:36" x14ac:dyDescent="0.25">
      <c r="A3349" s="1"/>
      <c r="B3349" s="2"/>
      <c r="AA3349" s="3"/>
      <c r="AD3349" s="3"/>
      <c r="AG3349" s="3"/>
      <c r="AJ3349" s="3"/>
    </row>
    <row r="3350" spans="1:36" x14ac:dyDescent="0.25">
      <c r="A3350" s="1"/>
      <c r="B3350" s="2"/>
      <c r="AA3350" s="3"/>
      <c r="AD3350" s="3"/>
      <c r="AG3350" s="3"/>
      <c r="AJ3350" s="3"/>
    </row>
    <row r="3351" spans="1:36" x14ac:dyDescent="0.25">
      <c r="A3351" s="1"/>
      <c r="B3351" s="2"/>
      <c r="AA3351" s="3"/>
      <c r="AD3351" s="3"/>
      <c r="AG3351" s="3"/>
      <c r="AJ3351" s="3"/>
    </row>
    <row r="3352" spans="1:36" x14ac:dyDescent="0.25">
      <c r="A3352" s="1"/>
      <c r="B3352" s="2"/>
      <c r="AA3352" s="3"/>
      <c r="AD3352" s="3"/>
      <c r="AG3352" s="3"/>
      <c r="AJ3352" s="3"/>
    </row>
    <row r="3353" spans="1:36" x14ac:dyDescent="0.25">
      <c r="A3353" s="1"/>
      <c r="B3353" s="2"/>
      <c r="AA3353" s="3"/>
      <c r="AD3353" s="3"/>
      <c r="AG3353" s="3"/>
      <c r="AJ3353" s="3"/>
    </row>
    <row r="3354" spans="1:36" x14ac:dyDescent="0.25">
      <c r="A3354" s="1"/>
      <c r="B3354" s="2"/>
      <c r="AA3354" s="3"/>
      <c r="AD3354" s="3"/>
      <c r="AG3354" s="3"/>
      <c r="AJ3354" s="3"/>
    </row>
    <row r="3355" spans="1:36" x14ac:dyDescent="0.25">
      <c r="A3355" s="1"/>
      <c r="B3355" s="2"/>
      <c r="AA3355" s="3"/>
      <c r="AD3355" s="3"/>
      <c r="AG3355" s="3"/>
      <c r="AJ3355" s="3"/>
    </row>
    <row r="3356" spans="1:36" x14ac:dyDescent="0.25">
      <c r="A3356" s="1"/>
      <c r="B3356" s="2"/>
      <c r="AA3356" s="3"/>
      <c r="AD3356" s="3"/>
      <c r="AG3356" s="3"/>
      <c r="AJ3356" s="3"/>
    </row>
    <row r="3357" spans="1:36" x14ac:dyDescent="0.25">
      <c r="A3357" s="1"/>
      <c r="B3357" s="2"/>
      <c r="AA3357" s="3"/>
      <c r="AD3357" s="3"/>
      <c r="AG3357" s="3"/>
      <c r="AJ3357" s="3"/>
    </row>
    <row r="3358" spans="1:36" x14ac:dyDescent="0.25">
      <c r="A3358" s="1"/>
      <c r="B3358" s="2"/>
      <c r="AA3358" s="3"/>
      <c r="AD3358" s="3"/>
      <c r="AG3358" s="3"/>
      <c r="AJ3358" s="3"/>
    </row>
    <row r="3359" spans="1:36" x14ac:dyDescent="0.25">
      <c r="A3359" s="1"/>
      <c r="B3359" s="2"/>
      <c r="AA3359" s="3"/>
      <c r="AD3359" s="3"/>
      <c r="AG3359" s="3"/>
      <c r="AJ3359" s="3"/>
    </row>
    <row r="3360" spans="1:36" x14ac:dyDescent="0.25">
      <c r="A3360" s="1"/>
      <c r="B3360" s="2"/>
      <c r="AA3360" s="3"/>
      <c r="AD3360" s="3"/>
      <c r="AG3360" s="3"/>
      <c r="AJ3360" s="3"/>
    </row>
    <row r="3361" spans="1:36" x14ac:dyDescent="0.25">
      <c r="A3361" s="1"/>
      <c r="B3361" s="2"/>
      <c r="AA3361" s="3"/>
      <c r="AD3361" s="3"/>
      <c r="AG3361" s="3"/>
      <c r="AJ3361" s="3"/>
    </row>
    <row r="3362" spans="1:36" x14ac:dyDescent="0.25">
      <c r="A3362" s="1"/>
      <c r="B3362" s="2"/>
      <c r="AA3362" s="3"/>
      <c r="AD3362" s="3"/>
      <c r="AG3362" s="3"/>
      <c r="AJ3362" s="3"/>
    </row>
    <row r="3363" spans="1:36" x14ac:dyDescent="0.25">
      <c r="A3363" s="1"/>
      <c r="B3363" s="2"/>
      <c r="AA3363" s="3"/>
      <c r="AD3363" s="3"/>
      <c r="AG3363" s="3"/>
      <c r="AJ3363" s="3"/>
    </row>
    <row r="3364" spans="1:36" x14ac:dyDescent="0.25">
      <c r="A3364" s="1"/>
      <c r="B3364" s="2"/>
      <c r="AA3364" s="3"/>
      <c r="AD3364" s="3"/>
      <c r="AG3364" s="3"/>
      <c r="AJ3364" s="3"/>
    </row>
    <row r="3365" spans="1:36" x14ac:dyDescent="0.25">
      <c r="A3365" s="1"/>
      <c r="B3365" s="2"/>
      <c r="AA3365" s="3"/>
      <c r="AD3365" s="3"/>
      <c r="AG3365" s="3"/>
      <c r="AJ3365" s="3"/>
    </row>
    <row r="3366" spans="1:36" x14ac:dyDescent="0.25">
      <c r="A3366" s="1"/>
      <c r="B3366" s="2"/>
      <c r="AA3366" s="3"/>
      <c r="AD3366" s="3"/>
      <c r="AG3366" s="3"/>
      <c r="AJ3366" s="3"/>
    </row>
    <row r="3367" spans="1:36" x14ac:dyDescent="0.25">
      <c r="A3367" s="1"/>
      <c r="B3367" s="2"/>
      <c r="AA3367" s="3"/>
      <c r="AD3367" s="3"/>
      <c r="AG3367" s="3"/>
      <c r="AJ3367" s="3"/>
    </row>
    <row r="3368" spans="1:36" x14ac:dyDescent="0.25">
      <c r="A3368" s="1"/>
      <c r="B3368" s="2"/>
      <c r="AA3368" s="3"/>
      <c r="AD3368" s="3"/>
      <c r="AG3368" s="3"/>
      <c r="AJ3368" s="3"/>
    </row>
    <row r="3369" spans="1:36" x14ac:dyDescent="0.25">
      <c r="A3369" s="1"/>
      <c r="B3369" s="2"/>
      <c r="AA3369" s="3"/>
      <c r="AD3369" s="3"/>
      <c r="AG3369" s="3"/>
      <c r="AJ3369" s="3"/>
    </row>
    <row r="3370" spans="1:36" x14ac:dyDescent="0.25">
      <c r="A3370" s="1"/>
      <c r="B3370" s="2"/>
      <c r="AA3370" s="3"/>
      <c r="AD3370" s="3"/>
      <c r="AG3370" s="3"/>
      <c r="AJ3370" s="3"/>
    </row>
    <row r="3371" spans="1:36" x14ac:dyDescent="0.25">
      <c r="A3371" s="1"/>
      <c r="B3371" s="2"/>
      <c r="AA3371" s="3"/>
      <c r="AD3371" s="3"/>
      <c r="AG3371" s="3"/>
      <c r="AJ3371" s="3"/>
    </row>
    <row r="3372" spans="1:36" x14ac:dyDescent="0.25">
      <c r="A3372" s="1"/>
      <c r="B3372" s="2"/>
      <c r="AA3372" s="3"/>
      <c r="AD3372" s="3"/>
      <c r="AG3372" s="3"/>
      <c r="AJ3372" s="3"/>
    </row>
    <row r="3373" spans="1:36" x14ac:dyDescent="0.25">
      <c r="A3373" s="1"/>
      <c r="B3373" s="2"/>
      <c r="AA3373" s="3"/>
      <c r="AD3373" s="3"/>
      <c r="AG3373" s="3"/>
      <c r="AJ3373" s="3"/>
    </row>
    <row r="3374" spans="1:36" x14ac:dyDescent="0.25">
      <c r="A3374" s="1"/>
      <c r="B3374" s="2"/>
      <c r="AA3374" s="3"/>
      <c r="AD3374" s="3"/>
      <c r="AG3374" s="3"/>
      <c r="AJ3374" s="3"/>
    </row>
    <row r="3375" spans="1:36" x14ac:dyDescent="0.25">
      <c r="A3375" s="1"/>
      <c r="B3375" s="2"/>
      <c r="AA3375" s="3"/>
      <c r="AD3375" s="3"/>
      <c r="AG3375" s="3"/>
      <c r="AJ3375" s="3"/>
    </row>
    <row r="3376" spans="1:36" x14ac:dyDescent="0.25">
      <c r="A3376" s="1"/>
      <c r="B3376" s="2"/>
      <c r="AA3376" s="3"/>
      <c r="AD3376" s="3"/>
      <c r="AG3376" s="3"/>
      <c r="AJ3376" s="3"/>
    </row>
    <row r="3377" spans="1:36" x14ac:dyDescent="0.25">
      <c r="A3377" s="1"/>
      <c r="B3377" s="2"/>
      <c r="AA3377" s="3"/>
      <c r="AD3377" s="3"/>
      <c r="AG3377" s="3"/>
      <c r="AJ3377" s="3"/>
    </row>
    <row r="3378" spans="1:36" x14ac:dyDescent="0.25">
      <c r="A3378" s="1"/>
      <c r="B3378" s="2"/>
      <c r="AA3378" s="3"/>
      <c r="AD3378" s="3"/>
      <c r="AG3378" s="3"/>
      <c r="AJ3378" s="3"/>
    </row>
    <row r="3379" spans="1:36" x14ac:dyDescent="0.25">
      <c r="A3379" s="1"/>
      <c r="B3379" s="2"/>
      <c r="AA3379" s="3"/>
      <c r="AD3379" s="3"/>
      <c r="AG3379" s="3"/>
      <c r="AJ3379" s="3"/>
    </row>
    <row r="3380" spans="1:36" x14ac:dyDescent="0.25">
      <c r="A3380" s="1"/>
      <c r="B3380" s="2"/>
      <c r="AA3380" s="3"/>
      <c r="AD3380" s="3"/>
      <c r="AG3380" s="3"/>
      <c r="AJ3380" s="3"/>
    </row>
    <row r="3381" spans="1:36" x14ac:dyDescent="0.25">
      <c r="A3381" s="1"/>
      <c r="B3381" s="2"/>
      <c r="AA3381" s="3"/>
      <c r="AD3381" s="3"/>
      <c r="AG3381" s="3"/>
      <c r="AJ3381" s="3"/>
    </row>
    <row r="3382" spans="1:36" x14ac:dyDescent="0.25">
      <c r="A3382" s="1"/>
      <c r="B3382" s="2"/>
      <c r="AA3382" s="3"/>
      <c r="AD3382" s="3"/>
      <c r="AG3382" s="3"/>
      <c r="AJ3382" s="3"/>
    </row>
    <row r="3383" spans="1:36" x14ac:dyDescent="0.25">
      <c r="A3383" s="1"/>
      <c r="B3383" s="2"/>
      <c r="AA3383" s="3"/>
      <c r="AD3383" s="3"/>
      <c r="AG3383" s="3"/>
      <c r="AJ3383" s="3"/>
    </row>
    <row r="3384" spans="1:36" x14ac:dyDescent="0.25">
      <c r="A3384" s="1"/>
      <c r="B3384" s="2"/>
      <c r="AA3384" s="3"/>
      <c r="AD3384" s="3"/>
      <c r="AG3384" s="3"/>
      <c r="AJ3384" s="3"/>
    </row>
    <row r="3385" spans="1:36" x14ac:dyDescent="0.25">
      <c r="A3385" s="1"/>
      <c r="B3385" s="2"/>
      <c r="AA3385" s="3"/>
      <c r="AD3385" s="3"/>
      <c r="AG3385" s="3"/>
      <c r="AJ3385" s="3"/>
    </row>
    <row r="3386" spans="1:36" x14ac:dyDescent="0.25">
      <c r="A3386" s="1"/>
      <c r="B3386" s="2"/>
      <c r="AA3386" s="3"/>
      <c r="AD3386" s="3"/>
      <c r="AG3386" s="3"/>
      <c r="AJ3386" s="3"/>
    </row>
    <row r="3387" spans="1:36" x14ac:dyDescent="0.25">
      <c r="A3387" s="1"/>
      <c r="B3387" s="2"/>
      <c r="AA3387" s="3"/>
      <c r="AD3387" s="3"/>
      <c r="AG3387" s="3"/>
      <c r="AJ3387" s="3"/>
    </row>
    <row r="3388" spans="1:36" x14ac:dyDescent="0.25">
      <c r="A3388" s="1"/>
      <c r="B3388" s="2"/>
      <c r="AA3388" s="3"/>
      <c r="AD3388" s="3"/>
      <c r="AG3388" s="3"/>
      <c r="AJ3388" s="3"/>
    </row>
    <row r="3389" spans="1:36" x14ac:dyDescent="0.25">
      <c r="A3389" s="1"/>
      <c r="B3389" s="2"/>
      <c r="AA3389" s="3"/>
      <c r="AD3389" s="3"/>
      <c r="AG3389" s="3"/>
      <c r="AJ3389" s="3"/>
    </row>
    <row r="3390" spans="1:36" x14ac:dyDescent="0.25">
      <c r="A3390" s="1"/>
      <c r="B3390" s="2"/>
      <c r="AA3390" s="3"/>
      <c r="AD3390" s="3"/>
      <c r="AG3390" s="3"/>
      <c r="AJ3390" s="3"/>
    </row>
    <row r="3391" spans="1:36" x14ac:dyDescent="0.25">
      <c r="A3391" s="1"/>
      <c r="B3391" s="2"/>
      <c r="AA3391" s="3"/>
      <c r="AD3391" s="3"/>
      <c r="AG3391" s="3"/>
      <c r="AJ3391" s="3"/>
    </row>
    <row r="3392" spans="1:36" x14ac:dyDescent="0.25">
      <c r="A3392" s="1"/>
      <c r="B3392" s="2"/>
      <c r="AA3392" s="3"/>
      <c r="AD3392" s="3"/>
      <c r="AG3392" s="3"/>
      <c r="AJ3392" s="3"/>
    </row>
    <row r="3393" spans="1:36" x14ac:dyDescent="0.25">
      <c r="A3393" s="1"/>
      <c r="B3393" s="2"/>
      <c r="AA3393" s="3"/>
      <c r="AD3393" s="3"/>
      <c r="AG3393" s="3"/>
      <c r="AJ3393" s="3"/>
    </row>
    <row r="3394" spans="1:36" x14ac:dyDescent="0.25">
      <c r="A3394" s="1"/>
      <c r="B3394" s="2"/>
      <c r="AA3394" s="3"/>
      <c r="AD3394" s="3"/>
      <c r="AG3394" s="3"/>
      <c r="AJ3394" s="3"/>
    </row>
    <row r="3395" spans="1:36" x14ac:dyDescent="0.25">
      <c r="A3395" s="1"/>
      <c r="B3395" s="2"/>
      <c r="AA3395" s="3"/>
      <c r="AD3395" s="3"/>
      <c r="AG3395" s="3"/>
      <c r="AJ3395" s="3"/>
    </row>
    <row r="3396" spans="1:36" x14ac:dyDescent="0.25">
      <c r="A3396" s="1"/>
      <c r="B3396" s="2"/>
      <c r="AA3396" s="3"/>
      <c r="AD3396" s="3"/>
      <c r="AG3396" s="3"/>
      <c r="AJ3396" s="3"/>
    </row>
    <row r="3397" spans="1:36" x14ac:dyDescent="0.25">
      <c r="A3397" s="1"/>
      <c r="B3397" s="2"/>
      <c r="AA3397" s="3"/>
      <c r="AD3397" s="3"/>
      <c r="AG3397" s="3"/>
      <c r="AJ3397" s="3"/>
    </row>
    <row r="3398" spans="1:36" x14ac:dyDescent="0.25">
      <c r="A3398" s="1"/>
      <c r="B3398" s="2"/>
      <c r="AA3398" s="3"/>
      <c r="AD3398" s="3"/>
      <c r="AG3398" s="3"/>
      <c r="AJ3398" s="3"/>
    </row>
    <row r="3399" spans="1:36" x14ac:dyDescent="0.25">
      <c r="A3399" s="1"/>
      <c r="B3399" s="2"/>
      <c r="AA3399" s="3"/>
      <c r="AD3399" s="3"/>
      <c r="AG3399" s="3"/>
      <c r="AJ3399" s="3"/>
    </row>
    <row r="3400" spans="1:36" x14ac:dyDescent="0.25">
      <c r="A3400" s="1"/>
      <c r="B3400" s="2"/>
      <c r="AA3400" s="3"/>
      <c r="AD3400" s="3"/>
      <c r="AG3400" s="3"/>
      <c r="AJ3400" s="3"/>
    </row>
    <row r="3401" spans="1:36" x14ac:dyDescent="0.25">
      <c r="A3401" s="1"/>
      <c r="B3401" s="2"/>
      <c r="AA3401" s="3"/>
      <c r="AD3401" s="3"/>
      <c r="AG3401" s="3"/>
      <c r="AJ3401" s="3"/>
    </row>
    <row r="3402" spans="1:36" x14ac:dyDescent="0.25">
      <c r="A3402" s="1"/>
      <c r="B3402" s="2"/>
      <c r="AA3402" s="3"/>
      <c r="AD3402" s="3"/>
      <c r="AG3402" s="3"/>
      <c r="AJ3402" s="3"/>
    </row>
    <row r="3403" spans="1:36" x14ac:dyDescent="0.25">
      <c r="A3403" s="1"/>
      <c r="B3403" s="2"/>
      <c r="AA3403" s="3"/>
      <c r="AD3403" s="3"/>
      <c r="AG3403" s="3"/>
      <c r="AJ3403" s="3"/>
    </row>
    <row r="3404" spans="1:36" x14ac:dyDescent="0.25">
      <c r="A3404" s="1"/>
      <c r="B3404" s="2"/>
      <c r="AA3404" s="3"/>
      <c r="AD3404" s="3"/>
      <c r="AG3404" s="3"/>
      <c r="AJ3404" s="3"/>
    </row>
    <row r="3405" spans="1:36" x14ac:dyDescent="0.25">
      <c r="A3405" s="1"/>
      <c r="B3405" s="2"/>
      <c r="AA3405" s="3"/>
      <c r="AD3405" s="3"/>
      <c r="AG3405" s="3"/>
      <c r="AJ3405" s="3"/>
    </row>
    <row r="3406" spans="1:36" x14ac:dyDescent="0.25">
      <c r="A3406" s="1"/>
      <c r="B3406" s="2"/>
      <c r="AA3406" s="3"/>
      <c r="AD3406" s="3"/>
      <c r="AG3406" s="3"/>
      <c r="AJ3406" s="3"/>
    </row>
    <row r="3407" spans="1:36" x14ac:dyDescent="0.25">
      <c r="A3407" s="1"/>
      <c r="B3407" s="2"/>
      <c r="AA3407" s="3"/>
      <c r="AD3407" s="3"/>
      <c r="AG3407" s="3"/>
      <c r="AJ3407" s="3"/>
    </row>
    <row r="3408" spans="1:36" x14ac:dyDescent="0.25">
      <c r="A3408" s="1"/>
      <c r="B3408" s="2"/>
      <c r="AA3408" s="3"/>
      <c r="AD3408" s="3"/>
      <c r="AG3408" s="3"/>
      <c r="AJ3408" s="3"/>
    </row>
    <row r="3409" spans="1:36" x14ac:dyDescent="0.25">
      <c r="A3409" s="1"/>
      <c r="B3409" s="2"/>
      <c r="AA3409" s="3"/>
      <c r="AD3409" s="3"/>
      <c r="AG3409" s="3"/>
      <c r="AJ3409" s="3"/>
    </row>
    <row r="3410" spans="1:36" x14ac:dyDescent="0.25">
      <c r="A3410" s="1"/>
      <c r="B3410" s="2"/>
      <c r="AA3410" s="3"/>
      <c r="AD3410" s="3"/>
      <c r="AG3410" s="3"/>
      <c r="AJ3410" s="3"/>
    </row>
    <row r="3411" spans="1:36" x14ac:dyDescent="0.25">
      <c r="A3411" s="1"/>
      <c r="B3411" s="2"/>
      <c r="AA3411" s="3"/>
      <c r="AD3411" s="3"/>
      <c r="AG3411" s="3"/>
      <c r="AJ3411" s="3"/>
    </row>
    <row r="3412" spans="1:36" x14ac:dyDescent="0.25">
      <c r="A3412" s="1"/>
      <c r="B3412" s="2"/>
      <c r="AA3412" s="3"/>
      <c r="AD3412" s="3"/>
      <c r="AG3412" s="3"/>
      <c r="AJ3412" s="3"/>
    </row>
    <row r="3413" spans="1:36" x14ac:dyDescent="0.25">
      <c r="A3413" s="1"/>
      <c r="B3413" s="2"/>
      <c r="AA3413" s="3"/>
      <c r="AD3413" s="3"/>
      <c r="AG3413" s="3"/>
      <c r="AJ3413" s="3"/>
    </row>
    <row r="3414" spans="1:36" x14ac:dyDescent="0.25">
      <c r="A3414" s="1"/>
      <c r="B3414" s="2"/>
      <c r="AA3414" s="3"/>
      <c r="AD3414" s="3"/>
      <c r="AG3414" s="3"/>
      <c r="AJ3414" s="3"/>
    </row>
    <row r="3415" spans="1:36" x14ac:dyDescent="0.25">
      <c r="A3415" s="1"/>
      <c r="B3415" s="2"/>
      <c r="AA3415" s="3"/>
      <c r="AD3415" s="3"/>
      <c r="AG3415" s="3"/>
      <c r="AJ3415" s="3"/>
    </row>
    <row r="3416" spans="1:36" x14ac:dyDescent="0.25">
      <c r="A3416" s="1"/>
      <c r="B3416" s="2"/>
      <c r="AA3416" s="3"/>
      <c r="AD3416" s="3"/>
      <c r="AG3416" s="3"/>
      <c r="AJ3416" s="3"/>
    </row>
    <row r="3417" spans="1:36" x14ac:dyDescent="0.25">
      <c r="A3417" s="1"/>
      <c r="B3417" s="2"/>
      <c r="AA3417" s="3"/>
      <c r="AD3417" s="3"/>
      <c r="AG3417" s="3"/>
      <c r="AJ3417" s="3"/>
    </row>
    <row r="3418" spans="1:36" x14ac:dyDescent="0.25">
      <c r="A3418" s="1"/>
      <c r="B3418" s="2"/>
      <c r="AA3418" s="3"/>
      <c r="AD3418" s="3"/>
      <c r="AG3418" s="3"/>
      <c r="AJ3418" s="3"/>
    </row>
    <row r="3419" spans="1:36" x14ac:dyDescent="0.25">
      <c r="A3419" s="1"/>
      <c r="B3419" s="2"/>
      <c r="AA3419" s="3"/>
      <c r="AD3419" s="3"/>
      <c r="AG3419" s="3"/>
      <c r="AJ3419" s="3"/>
    </row>
    <row r="3420" spans="1:36" x14ac:dyDescent="0.25">
      <c r="A3420" s="1"/>
      <c r="B3420" s="2"/>
      <c r="AA3420" s="3"/>
      <c r="AD3420" s="3"/>
      <c r="AG3420" s="3"/>
      <c r="AJ3420" s="3"/>
    </row>
    <row r="3421" spans="1:36" x14ac:dyDescent="0.25">
      <c r="A3421" s="1"/>
      <c r="B3421" s="2"/>
      <c r="AA3421" s="3"/>
      <c r="AD3421" s="3"/>
      <c r="AG3421" s="3"/>
      <c r="AJ3421" s="3"/>
    </row>
    <row r="3422" spans="1:36" x14ac:dyDescent="0.25">
      <c r="A3422" s="1"/>
      <c r="B3422" s="2"/>
      <c r="AA3422" s="3"/>
      <c r="AD3422" s="3"/>
      <c r="AG3422" s="3"/>
      <c r="AJ3422" s="3"/>
    </row>
    <row r="3423" spans="1:36" x14ac:dyDescent="0.25">
      <c r="A3423" s="1"/>
      <c r="B3423" s="2"/>
      <c r="AA3423" s="3"/>
      <c r="AD3423" s="3"/>
      <c r="AG3423" s="3"/>
      <c r="AJ3423" s="3"/>
    </row>
    <row r="3424" spans="1:36" x14ac:dyDescent="0.25">
      <c r="A3424" s="1"/>
      <c r="B3424" s="2"/>
      <c r="AA3424" s="3"/>
      <c r="AD3424" s="3"/>
      <c r="AG3424" s="3"/>
      <c r="AJ3424" s="3"/>
    </row>
    <row r="3425" spans="1:36" x14ac:dyDescent="0.25">
      <c r="A3425" s="1"/>
      <c r="B3425" s="2"/>
      <c r="AA3425" s="3"/>
      <c r="AD3425" s="3"/>
      <c r="AG3425" s="3"/>
      <c r="AJ3425" s="3"/>
    </row>
    <row r="3426" spans="1:36" x14ac:dyDescent="0.25">
      <c r="A3426" s="1"/>
      <c r="B3426" s="2"/>
      <c r="AA3426" s="3"/>
      <c r="AD3426" s="3"/>
      <c r="AG3426" s="3"/>
      <c r="AJ3426" s="3"/>
    </row>
    <row r="3427" spans="1:36" x14ac:dyDescent="0.25">
      <c r="A3427" s="1"/>
      <c r="B3427" s="2"/>
      <c r="AA3427" s="3"/>
      <c r="AD3427" s="3"/>
      <c r="AG3427" s="3"/>
      <c r="AJ3427" s="3"/>
    </row>
    <row r="3428" spans="1:36" x14ac:dyDescent="0.25">
      <c r="A3428" s="1"/>
      <c r="B3428" s="2"/>
      <c r="AA3428" s="3"/>
      <c r="AD3428" s="3"/>
      <c r="AG3428" s="3"/>
      <c r="AJ3428" s="3"/>
    </row>
    <row r="3429" spans="1:36" x14ac:dyDescent="0.25">
      <c r="A3429" s="1"/>
      <c r="B3429" s="2"/>
      <c r="AA3429" s="3"/>
      <c r="AD3429" s="3"/>
      <c r="AG3429" s="3"/>
      <c r="AJ3429" s="3"/>
    </row>
    <row r="3430" spans="1:36" x14ac:dyDescent="0.25">
      <c r="A3430" s="1"/>
      <c r="B3430" s="2"/>
      <c r="AA3430" s="3"/>
      <c r="AD3430" s="3"/>
      <c r="AG3430" s="3"/>
      <c r="AJ3430" s="3"/>
    </row>
    <row r="3431" spans="1:36" x14ac:dyDescent="0.25">
      <c r="A3431" s="1"/>
      <c r="B3431" s="2"/>
      <c r="AA3431" s="3"/>
      <c r="AD3431" s="3"/>
      <c r="AG3431" s="3"/>
      <c r="AJ3431" s="3"/>
    </row>
    <row r="3432" spans="1:36" x14ac:dyDescent="0.25">
      <c r="A3432" s="1"/>
      <c r="B3432" s="2"/>
      <c r="AA3432" s="3"/>
      <c r="AD3432" s="3"/>
      <c r="AG3432" s="3"/>
      <c r="AJ3432" s="3"/>
    </row>
    <row r="3433" spans="1:36" x14ac:dyDescent="0.25">
      <c r="A3433" s="1"/>
      <c r="B3433" s="2"/>
      <c r="AA3433" s="3"/>
      <c r="AD3433" s="3"/>
      <c r="AG3433" s="3"/>
      <c r="AJ3433" s="3"/>
    </row>
    <row r="3434" spans="1:36" x14ac:dyDescent="0.25">
      <c r="A3434" s="1"/>
      <c r="B3434" s="2"/>
      <c r="AA3434" s="3"/>
      <c r="AD3434" s="3"/>
      <c r="AG3434" s="3"/>
      <c r="AJ3434" s="3"/>
    </row>
    <row r="3435" spans="1:36" x14ac:dyDescent="0.25">
      <c r="A3435" s="1"/>
      <c r="B3435" s="2"/>
      <c r="AA3435" s="3"/>
      <c r="AD3435" s="3"/>
      <c r="AG3435" s="3"/>
      <c r="AJ3435" s="3"/>
    </row>
    <row r="3436" spans="1:36" x14ac:dyDescent="0.25">
      <c r="A3436" s="1"/>
      <c r="B3436" s="2"/>
      <c r="AA3436" s="3"/>
      <c r="AD3436" s="3"/>
      <c r="AG3436" s="3"/>
      <c r="AJ3436" s="3"/>
    </row>
    <row r="3437" spans="1:36" x14ac:dyDescent="0.25">
      <c r="A3437" s="1"/>
      <c r="B3437" s="2"/>
      <c r="AA3437" s="3"/>
      <c r="AD3437" s="3"/>
      <c r="AG3437" s="3"/>
      <c r="AJ3437" s="3"/>
    </row>
    <row r="3438" spans="1:36" x14ac:dyDescent="0.25">
      <c r="A3438" s="1"/>
      <c r="B3438" s="2"/>
      <c r="AA3438" s="3"/>
      <c r="AD3438" s="3"/>
      <c r="AG3438" s="3"/>
      <c r="AJ3438" s="3"/>
    </row>
    <row r="3439" spans="1:36" x14ac:dyDescent="0.25">
      <c r="A3439" s="1"/>
      <c r="B3439" s="2"/>
      <c r="AA3439" s="3"/>
      <c r="AD3439" s="3"/>
      <c r="AG3439" s="3"/>
      <c r="AJ3439" s="3"/>
    </row>
    <row r="3440" spans="1:36" x14ac:dyDescent="0.25">
      <c r="A3440" s="1"/>
      <c r="B3440" s="2"/>
      <c r="AA3440" s="3"/>
      <c r="AD3440" s="3"/>
      <c r="AG3440" s="3"/>
      <c r="AJ3440" s="3"/>
    </row>
    <row r="3441" spans="1:36" x14ac:dyDescent="0.25">
      <c r="A3441" s="1"/>
      <c r="B3441" s="2"/>
      <c r="AA3441" s="3"/>
      <c r="AD3441" s="3"/>
      <c r="AG3441" s="3"/>
      <c r="AJ3441" s="3"/>
    </row>
    <row r="3442" spans="1:36" x14ac:dyDescent="0.25">
      <c r="A3442" s="1"/>
      <c r="B3442" s="2"/>
      <c r="AA3442" s="3"/>
      <c r="AD3442" s="3"/>
      <c r="AG3442" s="3"/>
      <c r="AJ3442" s="3"/>
    </row>
    <row r="3443" spans="1:36" x14ac:dyDescent="0.25">
      <c r="A3443" s="1"/>
      <c r="B3443" s="2"/>
      <c r="AA3443" s="3"/>
      <c r="AD3443" s="3"/>
      <c r="AG3443" s="3"/>
      <c r="AJ3443" s="3"/>
    </row>
    <row r="3444" spans="1:36" x14ac:dyDescent="0.25">
      <c r="A3444" s="1"/>
      <c r="B3444" s="2"/>
      <c r="AA3444" s="3"/>
      <c r="AD3444" s="3"/>
      <c r="AG3444" s="3"/>
      <c r="AJ3444" s="3"/>
    </row>
    <row r="3445" spans="1:36" x14ac:dyDescent="0.25">
      <c r="A3445" s="1"/>
      <c r="B3445" s="2"/>
      <c r="AA3445" s="3"/>
      <c r="AD3445" s="3"/>
      <c r="AG3445" s="3"/>
      <c r="AJ3445" s="3"/>
    </row>
    <row r="3446" spans="1:36" x14ac:dyDescent="0.25">
      <c r="A3446" s="1"/>
      <c r="B3446" s="2"/>
      <c r="AA3446" s="3"/>
      <c r="AD3446" s="3"/>
      <c r="AG3446" s="3"/>
      <c r="AJ3446" s="3"/>
    </row>
    <row r="3447" spans="1:36" x14ac:dyDescent="0.25">
      <c r="A3447" s="1"/>
      <c r="B3447" s="2"/>
      <c r="AA3447" s="3"/>
      <c r="AD3447" s="3"/>
      <c r="AG3447" s="3"/>
      <c r="AJ3447" s="3"/>
    </row>
    <row r="3448" spans="1:36" x14ac:dyDescent="0.25">
      <c r="A3448" s="1"/>
      <c r="B3448" s="2"/>
      <c r="AA3448" s="3"/>
      <c r="AD3448" s="3"/>
      <c r="AG3448" s="3"/>
      <c r="AJ3448" s="3"/>
    </row>
    <row r="3449" spans="1:36" x14ac:dyDescent="0.25">
      <c r="A3449" s="1"/>
      <c r="B3449" s="2"/>
      <c r="AA3449" s="3"/>
      <c r="AD3449" s="3"/>
      <c r="AG3449" s="3"/>
      <c r="AJ3449" s="3"/>
    </row>
    <row r="3450" spans="1:36" x14ac:dyDescent="0.25">
      <c r="A3450" s="1"/>
      <c r="B3450" s="2"/>
      <c r="AA3450" s="3"/>
      <c r="AD3450" s="3"/>
      <c r="AG3450" s="3"/>
      <c r="AJ3450" s="3"/>
    </row>
    <row r="3451" spans="1:36" x14ac:dyDescent="0.25">
      <c r="A3451" s="1"/>
      <c r="B3451" s="2"/>
      <c r="AA3451" s="3"/>
      <c r="AD3451" s="3"/>
      <c r="AG3451" s="3"/>
      <c r="AJ3451" s="3"/>
    </row>
    <row r="3452" spans="1:36" x14ac:dyDescent="0.25">
      <c r="A3452" s="1"/>
      <c r="B3452" s="2"/>
      <c r="AA3452" s="3"/>
      <c r="AD3452" s="3"/>
      <c r="AG3452" s="3"/>
      <c r="AJ3452" s="3"/>
    </row>
    <row r="3453" spans="1:36" x14ac:dyDescent="0.25">
      <c r="A3453" s="1"/>
      <c r="B3453" s="2"/>
      <c r="AA3453" s="3"/>
      <c r="AD3453" s="3"/>
      <c r="AG3453" s="3"/>
      <c r="AJ3453" s="3"/>
    </row>
    <row r="3454" spans="1:36" x14ac:dyDescent="0.25">
      <c r="A3454" s="1"/>
      <c r="B3454" s="2"/>
      <c r="AA3454" s="3"/>
      <c r="AD3454" s="3"/>
      <c r="AG3454" s="3"/>
      <c r="AJ3454" s="3"/>
    </row>
    <row r="3455" spans="1:36" x14ac:dyDescent="0.25">
      <c r="A3455" s="1"/>
      <c r="B3455" s="2"/>
      <c r="AA3455" s="3"/>
      <c r="AD3455" s="3"/>
      <c r="AG3455" s="3"/>
      <c r="AJ3455" s="3"/>
    </row>
    <row r="3456" spans="1:36" x14ac:dyDescent="0.25">
      <c r="A3456" s="1"/>
      <c r="B3456" s="2"/>
      <c r="AA3456" s="3"/>
      <c r="AD3456" s="3"/>
      <c r="AG3456" s="3"/>
      <c r="AJ3456" s="3"/>
    </row>
    <row r="3457" spans="1:36" x14ac:dyDescent="0.25">
      <c r="A3457" s="1"/>
      <c r="B3457" s="2"/>
      <c r="AA3457" s="3"/>
      <c r="AD3457" s="3"/>
      <c r="AG3457" s="3"/>
      <c r="AJ3457" s="3"/>
    </row>
    <row r="3458" spans="1:36" x14ac:dyDescent="0.25">
      <c r="A3458" s="1"/>
      <c r="B3458" s="2"/>
      <c r="AA3458" s="3"/>
      <c r="AD3458" s="3"/>
      <c r="AG3458" s="3"/>
      <c r="AJ3458" s="3"/>
    </row>
    <row r="3459" spans="1:36" x14ac:dyDescent="0.25">
      <c r="A3459" s="1"/>
      <c r="B3459" s="2"/>
      <c r="AA3459" s="3"/>
      <c r="AD3459" s="3"/>
      <c r="AG3459" s="3"/>
      <c r="AJ3459" s="3"/>
    </row>
    <row r="3460" spans="1:36" x14ac:dyDescent="0.25">
      <c r="A3460" s="1"/>
      <c r="B3460" s="2"/>
      <c r="AA3460" s="3"/>
      <c r="AD3460" s="3"/>
      <c r="AG3460" s="3"/>
      <c r="AJ3460" s="3"/>
    </row>
    <row r="3461" spans="1:36" x14ac:dyDescent="0.25">
      <c r="A3461" s="1"/>
      <c r="B3461" s="2"/>
      <c r="AA3461" s="3"/>
      <c r="AD3461" s="3"/>
      <c r="AG3461" s="3"/>
      <c r="AJ3461" s="3"/>
    </row>
    <row r="3462" spans="1:36" x14ac:dyDescent="0.25">
      <c r="A3462" s="1"/>
      <c r="B3462" s="2"/>
      <c r="AA3462" s="3"/>
      <c r="AD3462" s="3"/>
      <c r="AG3462" s="3"/>
      <c r="AJ3462" s="3"/>
    </row>
    <row r="3463" spans="1:36" x14ac:dyDescent="0.25">
      <c r="A3463" s="1"/>
      <c r="B3463" s="2"/>
      <c r="AA3463" s="3"/>
      <c r="AD3463" s="3"/>
      <c r="AG3463" s="3"/>
      <c r="AJ3463" s="3"/>
    </row>
    <row r="3464" spans="1:36" x14ac:dyDescent="0.25">
      <c r="A3464" s="1"/>
      <c r="B3464" s="2"/>
      <c r="AA3464" s="3"/>
      <c r="AD3464" s="3"/>
      <c r="AG3464" s="3"/>
      <c r="AJ3464" s="3"/>
    </row>
    <row r="3465" spans="1:36" x14ac:dyDescent="0.25">
      <c r="A3465" s="1"/>
      <c r="B3465" s="2"/>
      <c r="AA3465" s="3"/>
      <c r="AD3465" s="3"/>
      <c r="AG3465" s="3"/>
      <c r="AJ3465" s="3"/>
    </row>
    <row r="3466" spans="1:36" x14ac:dyDescent="0.25">
      <c r="A3466" s="1"/>
      <c r="B3466" s="2"/>
      <c r="AA3466" s="3"/>
      <c r="AD3466" s="3"/>
      <c r="AG3466" s="3"/>
      <c r="AJ3466" s="3"/>
    </row>
    <row r="3467" spans="1:36" x14ac:dyDescent="0.25">
      <c r="A3467" s="1"/>
      <c r="B3467" s="2"/>
      <c r="AA3467" s="3"/>
      <c r="AD3467" s="3"/>
      <c r="AG3467" s="3"/>
      <c r="AJ3467" s="3"/>
    </row>
    <row r="3468" spans="1:36" x14ac:dyDescent="0.25">
      <c r="A3468" s="1"/>
      <c r="B3468" s="2"/>
      <c r="AA3468" s="3"/>
      <c r="AD3468" s="3"/>
      <c r="AG3468" s="3"/>
      <c r="AJ3468" s="3"/>
    </row>
    <row r="3469" spans="1:36" x14ac:dyDescent="0.25">
      <c r="A3469" s="1"/>
      <c r="B3469" s="2"/>
      <c r="AA3469" s="3"/>
      <c r="AD3469" s="3"/>
      <c r="AG3469" s="3"/>
      <c r="AJ3469" s="3"/>
    </row>
    <row r="3470" spans="1:36" x14ac:dyDescent="0.25">
      <c r="A3470" s="1"/>
      <c r="B3470" s="2"/>
      <c r="AA3470" s="3"/>
      <c r="AD3470" s="3"/>
      <c r="AG3470" s="3"/>
      <c r="AJ3470" s="3"/>
    </row>
    <row r="3471" spans="1:36" x14ac:dyDescent="0.25">
      <c r="A3471" s="1"/>
      <c r="B3471" s="2"/>
      <c r="AA3471" s="3"/>
      <c r="AD3471" s="3"/>
      <c r="AG3471" s="3"/>
      <c r="AJ3471" s="3"/>
    </row>
    <row r="3472" spans="1:36" x14ac:dyDescent="0.25">
      <c r="A3472" s="1"/>
      <c r="B3472" s="2"/>
      <c r="AA3472" s="3"/>
      <c r="AD3472" s="3"/>
      <c r="AG3472" s="3"/>
      <c r="AJ3472" s="3"/>
    </row>
    <row r="3473" spans="1:36" x14ac:dyDescent="0.25">
      <c r="A3473" s="1"/>
      <c r="B3473" s="2"/>
      <c r="AA3473" s="3"/>
      <c r="AD3473" s="3"/>
      <c r="AG3473" s="3"/>
      <c r="AJ3473" s="3"/>
    </row>
    <row r="3474" spans="1:36" x14ac:dyDescent="0.25">
      <c r="A3474" s="1"/>
      <c r="B3474" s="2"/>
      <c r="AA3474" s="3"/>
      <c r="AD3474" s="3"/>
      <c r="AG3474" s="3"/>
      <c r="AJ3474" s="3"/>
    </row>
    <row r="3475" spans="1:36" x14ac:dyDescent="0.25">
      <c r="A3475" s="1"/>
      <c r="B3475" s="2"/>
      <c r="AA3475" s="3"/>
      <c r="AD3475" s="3"/>
      <c r="AG3475" s="3"/>
      <c r="AJ3475" s="3"/>
    </row>
    <row r="3476" spans="1:36" x14ac:dyDescent="0.25">
      <c r="A3476" s="1"/>
      <c r="B3476" s="2"/>
      <c r="AA3476" s="3"/>
      <c r="AD3476" s="3"/>
      <c r="AG3476" s="3"/>
      <c r="AJ3476" s="3"/>
    </row>
    <row r="3477" spans="1:36" x14ac:dyDescent="0.25">
      <c r="A3477" s="1"/>
      <c r="B3477" s="2"/>
      <c r="AA3477" s="3"/>
      <c r="AD3477" s="3"/>
      <c r="AG3477" s="3"/>
      <c r="AJ3477" s="3"/>
    </row>
    <row r="3478" spans="1:36" x14ac:dyDescent="0.25">
      <c r="A3478" s="1"/>
      <c r="B3478" s="2"/>
      <c r="AA3478" s="3"/>
      <c r="AD3478" s="3"/>
      <c r="AG3478" s="3"/>
      <c r="AJ3478" s="3"/>
    </row>
    <row r="3479" spans="1:36" x14ac:dyDescent="0.25">
      <c r="A3479" s="1"/>
      <c r="B3479" s="2"/>
      <c r="AA3479" s="3"/>
      <c r="AD3479" s="3"/>
      <c r="AG3479" s="3"/>
      <c r="AJ3479" s="3"/>
    </row>
    <row r="3480" spans="1:36" x14ac:dyDescent="0.25">
      <c r="A3480" s="1"/>
      <c r="B3480" s="2"/>
      <c r="AA3480" s="3"/>
      <c r="AD3480" s="3"/>
      <c r="AG3480" s="3"/>
      <c r="AJ3480" s="3"/>
    </row>
    <row r="3481" spans="1:36" x14ac:dyDescent="0.25">
      <c r="A3481" s="1"/>
      <c r="B3481" s="2"/>
      <c r="AA3481" s="3"/>
      <c r="AD3481" s="3"/>
      <c r="AG3481" s="3"/>
      <c r="AJ3481" s="3"/>
    </row>
    <row r="3482" spans="1:36" x14ac:dyDescent="0.25">
      <c r="A3482" s="1"/>
      <c r="B3482" s="2"/>
      <c r="AA3482" s="3"/>
      <c r="AD3482" s="3"/>
      <c r="AG3482" s="3"/>
      <c r="AJ3482" s="3"/>
    </row>
    <row r="3483" spans="1:36" x14ac:dyDescent="0.25">
      <c r="A3483" s="1"/>
      <c r="B3483" s="2"/>
      <c r="AA3483" s="3"/>
      <c r="AD3483" s="3"/>
      <c r="AG3483" s="3"/>
      <c r="AJ3483" s="3"/>
    </row>
    <row r="3484" spans="1:36" x14ac:dyDescent="0.25">
      <c r="A3484" s="1"/>
      <c r="B3484" s="2"/>
      <c r="AA3484" s="3"/>
      <c r="AD3484" s="3"/>
      <c r="AG3484" s="3"/>
      <c r="AJ3484" s="3"/>
    </row>
    <row r="3485" spans="1:36" x14ac:dyDescent="0.25">
      <c r="A3485" s="1"/>
      <c r="B3485" s="2"/>
      <c r="AA3485" s="3"/>
      <c r="AD3485" s="3"/>
      <c r="AG3485" s="3"/>
      <c r="AJ3485" s="3"/>
    </row>
    <row r="3486" spans="1:36" x14ac:dyDescent="0.25">
      <c r="A3486" s="1"/>
      <c r="B3486" s="2"/>
      <c r="AA3486" s="3"/>
      <c r="AD3486" s="3"/>
      <c r="AG3486" s="3"/>
      <c r="AJ3486" s="3"/>
    </row>
    <row r="3487" spans="1:36" x14ac:dyDescent="0.25">
      <c r="A3487" s="1"/>
      <c r="B3487" s="2"/>
      <c r="AA3487" s="3"/>
      <c r="AD3487" s="3"/>
      <c r="AG3487" s="3"/>
      <c r="AJ3487" s="3"/>
    </row>
    <row r="3488" spans="1:36" x14ac:dyDescent="0.25">
      <c r="A3488" s="1"/>
      <c r="B3488" s="2"/>
      <c r="AA3488" s="3"/>
      <c r="AD3488" s="3"/>
      <c r="AG3488" s="3"/>
      <c r="AJ3488" s="3"/>
    </row>
    <row r="3489" spans="1:36" x14ac:dyDescent="0.25">
      <c r="A3489" s="1"/>
      <c r="B3489" s="2"/>
      <c r="AA3489" s="3"/>
      <c r="AD3489" s="3"/>
      <c r="AG3489" s="3"/>
      <c r="AJ3489" s="3"/>
    </row>
    <row r="3490" spans="1:36" x14ac:dyDescent="0.25">
      <c r="A3490" s="1"/>
      <c r="B3490" s="2"/>
      <c r="AA3490" s="3"/>
      <c r="AD3490" s="3"/>
      <c r="AG3490" s="3"/>
      <c r="AJ3490" s="3"/>
    </row>
    <row r="3491" spans="1:36" x14ac:dyDescent="0.25">
      <c r="A3491" s="1"/>
      <c r="B3491" s="2"/>
      <c r="AA3491" s="3"/>
      <c r="AD3491" s="3"/>
      <c r="AG3491" s="3"/>
      <c r="AJ3491" s="3"/>
    </row>
    <row r="3492" spans="1:36" x14ac:dyDescent="0.25">
      <c r="A3492" s="1"/>
      <c r="B3492" s="2"/>
      <c r="AA3492" s="3"/>
      <c r="AD3492" s="3"/>
      <c r="AG3492" s="3"/>
      <c r="AJ3492" s="3"/>
    </row>
    <row r="3493" spans="1:36" x14ac:dyDescent="0.25">
      <c r="A3493" s="1"/>
      <c r="B3493" s="2"/>
      <c r="AA3493" s="3"/>
      <c r="AD3493" s="3"/>
      <c r="AG3493" s="3"/>
      <c r="AJ3493" s="3"/>
    </row>
    <row r="3494" spans="1:36" x14ac:dyDescent="0.25">
      <c r="A3494" s="1"/>
      <c r="B3494" s="2"/>
      <c r="AA3494" s="3"/>
      <c r="AD3494" s="3"/>
      <c r="AG3494" s="3"/>
      <c r="AJ3494" s="3"/>
    </row>
    <row r="3495" spans="1:36" x14ac:dyDescent="0.25">
      <c r="A3495" s="1"/>
      <c r="B3495" s="2"/>
      <c r="AA3495" s="3"/>
      <c r="AD3495" s="3"/>
      <c r="AG3495" s="3"/>
      <c r="AJ3495" s="3"/>
    </row>
    <row r="3496" spans="1:36" x14ac:dyDescent="0.25">
      <c r="A3496" s="1"/>
      <c r="B3496" s="2"/>
      <c r="AA3496" s="3"/>
      <c r="AD3496" s="3"/>
      <c r="AG3496" s="3"/>
      <c r="AJ3496" s="3"/>
    </row>
    <row r="3497" spans="1:36" x14ac:dyDescent="0.25">
      <c r="A3497" s="1"/>
      <c r="B3497" s="2"/>
      <c r="AA3497" s="3"/>
      <c r="AD3497" s="3"/>
      <c r="AG3497" s="3"/>
      <c r="AJ3497" s="3"/>
    </row>
    <row r="3498" spans="1:36" x14ac:dyDescent="0.25">
      <c r="A3498" s="1"/>
      <c r="B3498" s="2"/>
      <c r="AA3498" s="3"/>
      <c r="AD3498" s="3"/>
      <c r="AG3498" s="3"/>
      <c r="AJ3498" s="3"/>
    </row>
    <row r="3499" spans="1:36" x14ac:dyDescent="0.25">
      <c r="A3499" s="1"/>
      <c r="B3499" s="2"/>
      <c r="AA3499" s="3"/>
      <c r="AD3499" s="3"/>
      <c r="AG3499" s="3"/>
      <c r="AJ3499" s="3"/>
    </row>
    <row r="3500" spans="1:36" x14ac:dyDescent="0.25">
      <c r="A3500" s="1"/>
      <c r="B3500" s="2"/>
      <c r="AA3500" s="3"/>
      <c r="AD3500" s="3"/>
      <c r="AG3500" s="3"/>
      <c r="AJ3500" s="3"/>
    </row>
    <row r="3501" spans="1:36" x14ac:dyDescent="0.25">
      <c r="A3501" s="1"/>
      <c r="B3501" s="2"/>
      <c r="AA3501" s="3"/>
      <c r="AD3501" s="3"/>
      <c r="AG3501" s="3"/>
      <c r="AJ3501" s="3"/>
    </row>
    <row r="3502" spans="1:36" x14ac:dyDescent="0.25">
      <c r="A3502" s="1"/>
      <c r="B3502" s="2"/>
      <c r="AA3502" s="3"/>
      <c r="AD3502" s="3"/>
      <c r="AG3502" s="3"/>
      <c r="AJ3502" s="3"/>
    </row>
    <row r="3503" spans="1:36" x14ac:dyDescent="0.25">
      <c r="A3503" s="1"/>
      <c r="B3503" s="2"/>
      <c r="AA3503" s="3"/>
      <c r="AD3503" s="3"/>
      <c r="AG3503" s="3"/>
      <c r="AJ3503" s="3"/>
    </row>
    <row r="3504" spans="1:36" x14ac:dyDescent="0.25">
      <c r="A3504" s="1"/>
      <c r="B3504" s="2"/>
      <c r="AA3504" s="3"/>
      <c r="AD3504" s="3"/>
      <c r="AG3504" s="3"/>
      <c r="AJ3504" s="3"/>
    </row>
    <row r="3505" spans="1:36" x14ac:dyDescent="0.25">
      <c r="A3505" s="1"/>
      <c r="B3505" s="2"/>
      <c r="AA3505" s="3"/>
      <c r="AD3505" s="3"/>
      <c r="AG3505" s="3"/>
      <c r="AJ3505" s="3"/>
    </row>
    <row r="3506" spans="1:36" x14ac:dyDescent="0.25">
      <c r="A3506" s="1"/>
      <c r="B3506" s="2"/>
      <c r="AA3506" s="3"/>
      <c r="AD3506" s="3"/>
      <c r="AG3506" s="3"/>
      <c r="AJ3506" s="3"/>
    </row>
    <row r="3507" spans="1:36" x14ac:dyDescent="0.25">
      <c r="A3507" s="1"/>
      <c r="B3507" s="2"/>
      <c r="AA3507" s="3"/>
      <c r="AD3507" s="3"/>
      <c r="AG3507" s="3"/>
      <c r="AJ3507" s="3"/>
    </row>
    <row r="3508" spans="1:36" x14ac:dyDescent="0.25">
      <c r="A3508" s="1"/>
      <c r="B3508" s="2"/>
      <c r="AA3508" s="3"/>
      <c r="AD3508" s="3"/>
      <c r="AG3508" s="3"/>
      <c r="AJ3508" s="3"/>
    </row>
    <row r="3509" spans="1:36" x14ac:dyDescent="0.25">
      <c r="A3509" s="1"/>
      <c r="B3509" s="2"/>
      <c r="AA3509" s="3"/>
      <c r="AD3509" s="3"/>
      <c r="AG3509" s="3"/>
      <c r="AJ3509" s="3"/>
    </row>
    <row r="3510" spans="1:36" x14ac:dyDescent="0.25">
      <c r="A3510" s="1"/>
      <c r="B3510" s="2"/>
      <c r="AA3510" s="3"/>
      <c r="AD3510" s="3"/>
      <c r="AG3510" s="3"/>
      <c r="AJ3510" s="3"/>
    </row>
    <row r="3511" spans="1:36" x14ac:dyDescent="0.25">
      <c r="A3511" s="1"/>
      <c r="B3511" s="2"/>
      <c r="AA3511" s="3"/>
      <c r="AD3511" s="3"/>
      <c r="AG3511" s="3"/>
      <c r="AJ3511" s="3"/>
    </row>
    <row r="3512" spans="1:36" x14ac:dyDescent="0.25">
      <c r="A3512" s="1"/>
      <c r="B3512" s="2"/>
      <c r="AA3512" s="3"/>
      <c r="AD3512" s="3"/>
      <c r="AG3512" s="3"/>
      <c r="AJ3512" s="3"/>
    </row>
    <row r="3513" spans="1:36" x14ac:dyDescent="0.25">
      <c r="A3513" s="1"/>
      <c r="B3513" s="2"/>
      <c r="AA3513" s="3"/>
      <c r="AD3513" s="3"/>
      <c r="AG3513" s="3"/>
      <c r="AJ3513" s="3"/>
    </row>
    <row r="3514" spans="1:36" x14ac:dyDescent="0.25">
      <c r="A3514" s="1"/>
      <c r="B3514" s="2"/>
      <c r="AA3514" s="3"/>
      <c r="AD3514" s="3"/>
      <c r="AG3514" s="3"/>
      <c r="AJ3514" s="3"/>
    </row>
    <row r="3515" spans="1:36" x14ac:dyDescent="0.25">
      <c r="A3515" s="1"/>
      <c r="B3515" s="2"/>
      <c r="AA3515" s="3"/>
      <c r="AD3515" s="3"/>
      <c r="AG3515" s="3"/>
      <c r="AJ3515" s="3"/>
    </row>
    <row r="3516" spans="1:36" x14ac:dyDescent="0.25">
      <c r="A3516" s="1"/>
      <c r="B3516" s="2"/>
      <c r="AA3516" s="3"/>
      <c r="AD3516" s="3"/>
      <c r="AG3516" s="3"/>
      <c r="AJ3516" s="3"/>
    </row>
    <row r="3517" spans="1:36" x14ac:dyDescent="0.25">
      <c r="A3517" s="1"/>
      <c r="B3517" s="2"/>
      <c r="AA3517" s="3"/>
      <c r="AD3517" s="3"/>
      <c r="AG3517" s="3"/>
      <c r="AJ3517" s="3"/>
    </row>
    <row r="3518" spans="1:36" x14ac:dyDescent="0.25">
      <c r="A3518" s="1"/>
      <c r="B3518" s="2"/>
      <c r="AA3518" s="3"/>
      <c r="AD3518" s="3"/>
      <c r="AG3518" s="3"/>
      <c r="AJ3518" s="3"/>
    </row>
    <row r="3519" spans="1:36" x14ac:dyDescent="0.25">
      <c r="A3519" s="1"/>
      <c r="B3519" s="2"/>
      <c r="AA3519" s="3"/>
      <c r="AD3519" s="3"/>
      <c r="AG3519" s="3"/>
      <c r="AJ3519" s="3"/>
    </row>
    <row r="3520" spans="1:36" x14ac:dyDescent="0.25">
      <c r="A3520" s="1"/>
      <c r="B3520" s="2"/>
      <c r="AA3520" s="3"/>
      <c r="AD3520" s="3"/>
      <c r="AG3520" s="3"/>
      <c r="AJ3520" s="3"/>
    </row>
    <row r="3521" spans="1:36" x14ac:dyDescent="0.25">
      <c r="A3521" s="1"/>
      <c r="B3521" s="2"/>
      <c r="AA3521" s="3"/>
      <c r="AD3521" s="3"/>
      <c r="AG3521" s="3"/>
      <c r="AJ3521" s="3"/>
    </row>
    <row r="3522" spans="1:36" x14ac:dyDescent="0.25">
      <c r="A3522" s="1"/>
      <c r="B3522" s="2"/>
      <c r="AA3522" s="3"/>
      <c r="AD3522" s="3"/>
      <c r="AG3522" s="3"/>
      <c r="AJ3522" s="3"/>
    </row>
    <row r="3523" spans="1:36" x14ac:dyDescent="0.25">
      <c r="A3523" s="1"/>
      <c r="B3523" s="2"/>
      <c r="AA3523" s="3"/>
      <c r="AD3523" s="3"/>
      <c r="AG3523" s="3"/>
      <c r="AJ3523" s="3"/>
    </row>
    <row r="3524" spans="1:36" x14ac:dyDescent="0.25">
      <c r="A3524" s="1"/>
      <c r="B3524" s="2"/>
      <c r="AA3524" s="3"/>
      <c r="AD3524" s="3"/>
      <c r="AG3524" s="3"/>
      <c r="AJ3524" s="3"/>
    </row>
    <row r="3525" spans="1:36" x14ac:dyDescent="0.25">
      <c r="A3525" s="1"/>
      <c r="B3525" s="2"/>
      <c r="AA3525" s="3"/>
      <c r="AD3525" s="3"/>
      <c r="AG3525" s="3"/>
      <c r="AJ3525" s="3"/>
    </row>
    <row r="3526" spans="1:36" x14ac:dyDescent="0.25">
      <c r="A3526" s="1"/>
      <c r="B3526" s="2"/>
      <c r="AA3526" s="3"/>
      <c r="AD3526" s="3"/>
      <c r="AG3526" s="3"/>
      <c r="AJ3526" s="3"/>
    </row>
    <row r="3527" spans="1:36" x14ac:dyDescent="0.25">
      <c r="A3527" s="1"/>
      <c r="B3527" s="2"/>
      <c r="AA3527" s="3"/>
      <c r="AD3527" s="3"/>
      <c r="AG3527" s="3"/>
      <c r="AJ3527" s="3"/>
    </row>
    <row r="3528" spans="1:36" x14ac:dyDescent="0.25">
      <c r="A3528" s="1"/>
      <c r="B3528" s="2"/>
      <c r="AA3528" s="3"/>
      <c r="AD3528" s="3"/>
      <c r="AG3528" s="3"/>
      <c r="AJ3528" s="3"/>
    </row>
    <row r="3529" spans="1:36" x14ac:dyDescent="0.25">
      <c r="A3529" s="1"/>
      <c r="B3529" s="2"/>
      <c r="AA3529" s="3"/>
      <c r="AD3529" s="3"/>
      <c r="AG3529" s="3"/>
      <c r="AJ3529" s="3"/>
    </row>
    <row r="3530" spans="1:36" x14ac:dyDescent="0.25">
      <c r="A3530" s="1"/>
      <c r="B3530" s="2"/>
      <c r="AA3530" s="3"/>
      <c r="AD3530" s="3"/>
      <c r="AG3530" s="3"/>
      <c r="AJ3530" s="3"/>
    </row>
    <row r="3531" spans="1:36" x14ac:dyDescent="0.25">
      <c r="A3531" s="1"/>
      <c r="B3531" s="2"/>
      <c r="AA3531" s="3"/>
      <c r="AD3531" s="3"/>
      <c r="AG3531" s="3"/>
      <c r="AJ3531" s="3"/>
    </row>
    <row r="3532" spans="1:36" x14ac:dyDescent="0.25">
      <c r="A3532" s="1"/>
      <c r="B3532" s="2"/>
      <c r="AA3532" s="3"/>
      <c r="AD3532" s="3"/>
      <c r="AG3532" s="3"/>
      <c r="AJ3532" s="3"/>
    </row>
    <row r="3533" spans="1:36" x14ac:dyDescent="0.25">
      <c r="A3533" s="1"/>
      <c r="B3533" s="2"/>
      <c r="AA3533" s="3"/>
      <c r="AD3533" s="3"/>
      <c r="AG3533" s="3"/>
      <c r="AJ3533" s="3"/>
    </row>
    <row r="3534" spans="1:36" x14ac:dyDescent="0.25">
      <c r="A3534" s="1"/>
      <c r="B3534" s="2"/>
      <c r="AA3534" s="3"/>
      <c r="AD3534" s="3"/>
      <c r="AG3534" s="3"/>
      <c r="AJ3534" s="3"/>
    </row>
    <row r="3535" spans="1:36" x14ac:dyDescent="0.25">
      <c r="A3535" s="1"/>
      <c r="B3535" s="2"/>
      <c r="AA3535" s="3"/>
      <c r="AD3535" s="3"/>
      <c r="AG3535" s="3"/>
      <c r="AJ3535" s="3"/>
    </row>
    <row r="3536" spans="1:36" x14ac:dyDescent="0.25">
      <c r="A3536" s="1"/>
      <c r="B3536" s="2"/>
      <c r="AA3536" s="3"/>
      <c r="AD3536" s="3"/>
      <c r="AG3536" s="3"/>
      <c r="AJ3536" s="3"/>
    </row>
    <row r="3537" spans="1:36" x14ac:dyDescent="0.25">
      <c r="A3537" s="1"/>
      <c r="B3537" s="2"/>
      <c r="AA3537" s="3"/>
      <c r="AD3537" s="3"/>
      <c r="AG3537" s="3"/>
      <c r="AJ3537" s="3"/>
    </row>
    <row r="3538" spans="1:36" x14ac:dyDescent="0.25">
      <c r="A3538" s="1"/>
      <c r="B3538" s="2"/>
      <c r="AA3538" s="3"/>
      <c r="AD3538" s="3"/>
      <c r="AG3538" s="3"/>
      <c r="AJ3538" s="3"/>
    </row>
    <row r="3539" spans="1:36" x14ac:dyDescent="0.25">
      <c r="A3539" s="1"/>
      <c r="B3539" s="2"/>
      <c r="AA3539" s="3"/>
      <c r="AD3539" s="3"/>
      <c r="AG3539" s="3"/>
      <c r="AJ3539" s="3"/>
    </row>
    <row r="3540" spans="1:36" x14ac:dyDescent="0.25">
      <c r="A3540" s="1"/>
      <c r="B3540" s="2"/>
      <c r="AA3540" s="3"/>
      <c r="AD3540" s="3"/>
      <c r="AG3540" s="3"/>
      <c r="AJ3540" s="3"/>
    </row>
    <row r="3541" spans="1:36" x14ac:dyDescent="0.25">
      <c r="A3541" s="1"/>
      <c r="B3541" s="2"/>
      <c r="AA3541" s="3"/>
      <c r="AD3541" s="3"/>
      <c r="AG3541" s="3"/>
      <c r="AJ3541" s="3"/>
    </row>
    <row r="3542" spans="1:36" x14ac:dyDescent="0.25">
      <c r="A3542" s="1"/>
      <c r="B3542" s="2"/>
      <c r="AA3542" s="3"/>
      <c r="AD3542" s="3"/>
      <c r="AG3542" s="3"/>
      <c r="AJ3542" s="3"/>
    </row>
    <row r="3543" spans="1:36" x14ac:dyDescent="0.25">
      <c r="A3543" s="1"/>
      <c r="B3543" s="2"/>
      <c r="AA3543" s="3"/>
      <c r="AD3543" s="3"/>
      <c r="AG3543" s="3"/>
      <c r="AJ3543" s="3"/>
    </row>
    <row r="3544" spans="1:36" x14ac:dyDescent="0.25">
      <c r="A3544" s="1"/>
      <c r="B3544" s="2"/>
      <c r="AA3544" s="3"/>
      <c r="AD3544" s="3"/>
      <c r="AG3544" s="3"/>
      <c r="AJ3544" s="3"/>
    </row>
    <row r="3545" spans="1:36" x14ac:dyDescent="0.25">
      <c r="A3545" s="1"/>
      <c r="B3545" s="2"/>
      <c r="AA3545" s="3"/>
      <c r="AD3545" s="3"/>
      <c r="AG3545" s="3"/>
      <c r="AJ3545" s="3"/>
    </row>
    <row r="3546" spans="1:36" x14ac:dyDescent="0.25">
      <c r="A3546" s="1"/>
      <c r="B3546" s="2"/>
      <c r="AA3546" s="3"/>
      <c r="AD3546" s="3"/>
      <c r="AG3546" s="3"/>
      <c r="AJ3546" s="3"/>
    </row>
    <row r="3547" spans="1:36" x14ac:dyDescent="0.25">
      <c r="A3547" s="1"/>
      <c r="B3547" s="2"/>
      <c r="AA3547" s="3"/>
      <c r="AD3547" s="3"/>
      <c r="AG3547" s="3"/>
      <c r="AJ3547" s="3"/>
    </row>
    <row r="3548" spans="1:36" x14ac:dyDescent="0.25">
      <c r="A3548" s="1"/>
      <c r="B3548" s="2"/>
      <c r="AA3548" s="3"/>
      <c r="AD3548" s="3"/>
      <c r="AG3548" s="3"/>
      <c r="AJ3548" s="3"/>
    </row>
    <row r="3549" spans="1:36" x14ac:dyDescent="0.25">
      <c r="A3549" s="1"/>
      <c r="B3549" s="2"/>
      <c r="AA3549" s="3"/>
      <c r="AD3549" s="3"/>
      <c r="AG3549" s="3"/>
      <c r="AJ3549" s="3"/>
    </row>
    <row r="3550" spans="1:36" x14ac:dyDescent="0.25">
      <c r="A3550" s="1"/>
      <c r="B3550" s="2"/>
      <c r="AA3550" s="3"/>
      <c r="AD3550" s="3"/>
      <c r="AG3550" s="3"/>
      <c r="AJ3550" s="3"/>
    </row>
    <row r="3551" spans="1:36" x14ac:dyDescent="0.25">
      <c r="A3551" s="1"/>
      <c r="B3551" s="2"/>
      <c r="AA3551" s="3"/>
      <c r="AD3551" s="3"/>
      <c r="AG3551" s="3"/>
      <c r="AJ3551" s="3"/>
    </row>
    <row r="3552" spans="1:36" x14ac:dyDescent="0.25">
      <c r="A3552" s="1"/>
      <c r="B3552" s="2"/>
      <c r="AA3552" s="3"/>
      <c r="AD3552" s="3"/>
      <c r="AG3552" s="3"/>
      <c r="AJ3552" s="3"/>
    </row>
    <row r="3553" spans="1:36" x14ac:dyDescent="0.25">
      <c r="A3553" s="1"/>
      <c r="B3553" s="2"/>
      <c r="AA3553" s="3"/>
      <c r="AD3553" s="3"/>
      <c r="AG3553" s="3"/>
      <c r="AJ3553" s="3"/>
    </row>
    <row r="3554" spans="1:36" x14ac:dyDescent="0.25">
      <c r="A3554" s="1"/>
      <c r="B3554" s="2"/>
      <c r="AA3554" s="3"/>
      <c r="AD3554" s="3"/>
      <c r="AG3554" s="3"/>
      <c r="AJ3554" s="3"/>
    </row>
    <row r="3555" spans="1:36" x14ac:dyDescent="0.25">
      <c r="A3555" s="1"/>
      <c r="B3555" s="2"/>
      <c r="AA3555" s="3"/>
      <c r="AD3555" s="3"/>
      <c r="AG3555" s="3"/>
      <c r="AJ3555" s="3"/>
    </row>
    <row r="3556" spans="1:36" x14ac:dyDescent="0.25">
      <c r="A3556" s="1"/>
      <c r="B3556" s="2"/>
      <c r="AA3556" s="3"/>
      <c r="AD3556" s="3"/>
      <c r="AG3556" s="3"/>
      <c r="AJ3556" s="3"/>
    </row>
    <row r="3557" spans="1:36" x14ac:dyDescent="0.25">
      <c r="A3557" s="1"/>
      <c r="B3557" s="2"/>
      <c r="AA3557" s="3"/>
      <c r="AD3557" s="3"/>
      <c r="AG3557" s="3"/>
      <c r="AJ3557" s="3"/>
    </row>
    <row r="3558" spans="1:36" x14ac:dyDescent="0.25">
      <c r="A3558" s="1"/>
      <c r="B3558" s="2"/>
      <c r="AA3558" s="3"/>
      <c r="AD3558" s="3"/>
      <c r="AG3558" s="3"/>
      <c r="AJ3558" s="3"/>
    </row>
    <row r="3559" spans="1:36" x14ac:dyDescent="0.25">
      <c r="A3559" s="1"/>
      <c r="B3559" s="2"/>
      <c r="AA3559" s="3"/>
      <c r="AD3559" s="3"/>
      <c r="AG3559" s="3"/>
      <c r="AJ3559" s="3"/>
    </row>
    <row r="3560" spans="1:36" x14ac:dyDescent="0.25">
      <c r="A3560" s="1"/>
      <c r="B3560" s="2"/>
      <c r="AA3560" s="3"/>
      <c r="AD3560" s="3"/>
      <c r="AG3560" s="3"/>
      <c r="AJ3560" s="3"/>
    </row>
    <row r="3561" spans="1:36" x14ac:dyDescent="0.25">
      <c r="A3561" s="1"/>
      <c r="B3561" s="2"/>
      <c r="AA3561" s="3"/>
      <c r="AD3561" s="3"/>
      <c r="AG3561" s="3"/>
      <c r="AJ3561" s="3"/>
    </row>
    <row r="3562" spans="1:36" x14ac:dyDescent="0.25">
      <c r="A3562" s="1"/>
      <c r="B3562" s="2"/>
      <c r="AA3562" s="3"/>
      <c r="AD3562" s="3"/>
      <c r="AG3562" s="3"/>
      <c r="AJ3562" s="3"/>
    </row>
    <row r="3563" spans="1:36" x14ac:dyDescent="0.25">
      <c r="A3563" s="1"/>
      <c r="B3563" s="2"/>
      <c r="AA3563" s="3"/>
      <c r="AD3563" s="3"/>
      <c r="AG3563" s="3"/>
      <c r="AJ3563" s="3"/>
    </row>
    <row r="3564" spans="1:36" x14ac:dyDescent="0.25">
      <c r="A3564" s="1"/>
      <c r="B3564" s="2"/>
      <c r="AA3564" s="3"/>
      <c r="AD3564" s="3"/>
      <c r="AG3564" s="3"/>
      <c r="AJ3564" s="3"/>
    </row>
    <row r="3565" spans="1:36" x14ac:dyDescent="0.25">
      <c r="A3565" s="1"/>
      <c r="B3565" s="2"/>
      <c r="AA3565" s="3"/>
      <c r="AD3565" s="3"/>
      <c r="AG3565" s="3"/>
      <c r="AJ3565" s="3"/>
    </row>
    <row r="3566" spans="1:36" x14ac:dyDescent="0.25">
      <c r="A3566" s="1"/>
      <c r="B3566" s="2"/>
      <c r="AA3566" s="3"/>
      <c r="AD3566" s="3"/>
      <c r="AG3566" s="3"/>
      <c r="AJ3566" s="3"/>
    </row>
    <row r="3567" spans="1:36" x14ac:dyDescent="0.25">
      <c r="A3567" s="1"/>
      <c r="B3567" s="2"/>
      <c r="AA3567" s="3"/>
      <c r="AD3567" s="3"/>
      <c r="AG3567" s="3"/>
      <c r="AJ3567" s="3"/>
    </row>
    <row r="3568" spans="1:36" x14ac:dyDescent="0.25">
      <c r="A3568" s="1"/>
      <c r="B3568" s="2"/>
      <c r="AA3568" s="3"/>
      <c r="AD3568" s="3"/>
      <c r="AG3568" s="3"/>
      <c r="AJ3568" s="3"/>
    </row>
    <row r="3569" spans="1:36" x14ac:dyDescent="0.25">
      <c r="A3569" s="1"/>
      <c r="B3569" s="2"/>
      <c r="AA3569" s="3"/>
      <c r="AD3569" s="3"/>
      <c r="AG3569" s="3"/>
      <c r="AJ3569" s="3"/>
    </row>
    <row r="3570" spans="1:36" x14ac:dyDescent="0.25">
      <c r="A3570" s="1"/>
      <c r="B3570" s="2"/>
      <c r="AA3570" s="3"/>
      <c r="AD3570" s="3"/>
      <c r="AG3570" s="3"/>
      <c r="AJ3570" s="3"/>
    </row>
    <row r="3571" spans="1:36" x14ac:dyDescent="0.25">
      <c r="A3571" s="1"/>
      <c r="B3571" s="2"/>
      <c r="AA3571" s="3"/>
      <c r="AD3571" s="3"/>
      <c r="AG3571" s="3"/>
      <c r="AJ3571" s="3"/>
    </row>
    <row r="3572" spans="1:36" x14ac:dyDescent="0.25">
      <c r="A3572" s="1"/>
      <c r="B3572" s="2"/>
      <c r="AA3572" s="3"/>
      <c r="AD3572" s="3"/>
      <c r="AG3572" s="3"/>
      <c r="AJ3572" s="3"/>
    </row>
    <row r="3573" spans="1:36" x14ac:dyDescent="0.25">
      <c r="A3573" s="1"/>
      <c r="B3573" s="2"/>
      <c r="AA3573" s="3"/>
      <c r="AD3573" s="3"/>
      <c r="AG3573" s="3"/>
      <c r="AJ3573" s="3"/>
    </row>
    <row r="3574" spans="1:36" x14ac:dyDescent="0.25">
      <c r="A3574" s="1"/>
      <c r="B3574" s="2"/>
      <c r="AA3574" s="3"/>
      <c r="AD3574" s="3"/>
      <c r="AG3574" s="3"/>
      <c r="AJ3574" s="3"/>
    </row>
    <row r="3575" spans="1:36" x14ac:dyDescent="0.25">
      <c r="A3575" s="1"/>
      <c r="B3575" s="2"/>
      <c r="AA3575" s="3"/>
      <c r="AD3575" s="3"/>
      <c r="AG3575" s="3"/>
      <c r="AJ3575" s="3"/>
    </row>
    <row r="3576" spans="1:36" x14ac:dyDescent="0.25">
      <c r="A3576" s="1"/>
      <c r="B3576" s="2"/>
      <c r="AA3576" s="3"/>
      <c r="AD3576" s="3"/>
      <c r="AG3576" s="3"/>
      <c r="AJ3576" s="3"/>
    </row>
    <row r="3577" spans="1:36" x14ac:dyDescent="0.25">
      <c r="A3577" s="1"/>
      <c r="B3577" s="2"/>
      <c r="AA3577" s="3"/>
      <c r="AD3577" s="3"/>
      <c r="AG3577" s="3"/>
      <c r="AJ3577" s="3"/>
    </row>
    <row r="3578" spans="1:36" x14ac:dyDescent="0.25">
      <c r="A3578" s="1"/>
      <c r="B3578" s="2"/>
      <c r="AA3578" s="3"/>
      <c r="AD3578" s="3"/>
      <c r="AG3578" s="3"/>
      <c r="AJ3578" s="3"/>
    </row>
    <row r="3579" spans="1:36" x14ac:dyDescent="0.25">
      <c r="A3579" s="1"/>
      <c r="B3579" s="2"/>
      <c r="AA3579" s="3"/>
      <c r="AD3579" s="3"/>
      <c r="AG3579" s="3"/>
      <c r="AJ3579" s="3"/>
    </row>
    <row r="3580" spans="1:36" x14ac:dyDescent="0.25">
      <c r="A3580" s="1"/>
      <c r="B3580" s="2"/>
      <c r="AA3580" s="3"/>
      <c r="AD3580" s="3"/>
      <c r="AG3580" s="3"/>
      <c r="AJ3580" s="3"/>
    </row>
    <row r="3581" spans="1:36" x14ac:dyDescent="0.25">
      <c r="A3581" s="1"/>
      <c r="B3581" s="2"/>
      <c r="AA3581" s="3"/>
      <c r="AD3581" s="3"/>
      <c r="AG3581" s="3"/>
      <c r="AJ3581" s="3"/>
    </row>
    <row r="3582" spans="1:36" x14ac:dyDescent="0.25">
      <c r="A3582" s="1"/>
      <c r="B3582" s="2"/>
      <c r="AA3582" s="3"/>
      <c r="AD3582" s="3"/>
      <c r="AG3582" s="3"/>
      <c r="AJ3582" s="3"/>
    </row>
    <row r="3583" spans="1:36" x14ac:dyDescent="0.25">
      <c r="A3583" s="1"/>
      <c r="B3583" s="2"/>
      <c r="AA3583" s="3"/>
      <c r="AD3583" s="3"/>
      <c r="AG3583" s="3"/>
      <c r="AJ3583" s="3"/>
    </row>
    <row r="3584" spans="1:36" x14ac:dyDescent="0.25">
      <c r="A3584" s="1"/>
      <c r="B3584" s="2"/>
      <c r="AA3584" s="3"/>
      <c r="AD3584" s="3"/>
      <c r="AG3584" s="3"/>
      <c r="AJ3584" s="3"/>
    </row>
    <row r="3585" spans="1:36" x14ac:dyDescent="0.25">
      <c r="A3585" s="1"/>
      <c r="B3585" s="2"/>
      <c r="AA3585" s="3"/>
      <c r="AD3585" s="3"/>
      <c r="AG3585" s="3"/>
      <c r="AJ3585" s="3"/>
    </row>
    <row r="3586" spans="1:36" x14ac:dyDescent="0.25">
      <c r="A3586" s="1"/>
      <c r="B3586" s="2"/>
      <c r="AA3586" s="3"/>
      <c r="AD3586" s="3"/>
      <c r="AG3586" s="3"/>
      <c r="AJ3586" s="3"/>
    </row>
    <row r="3587" spans="1:36" x14ac:dyDescent="0.25">
      <c r="A3587" s="1"/>
      <c r="B3587" s="2"/>
      <c r="AA3587" s="3"/>
      <c r="AD3587" s="3"/>
      <c r="AG3587" s="3"/>
      <c r="AJ3587" s="3"/>
    </row>
    <row r="3588" spans="1:36" x14ac:dyDescent="0.25">
      <c r="A3588" s="1"/>
      <c r="B3588" s="2"/>
      <c r="AA3588" s="3"/>
      <c r="AD3588" s="3"/>
      <c r="AG3588" s="3"/>
      <c r="AJ3588" s="3"/>
    </row>
    <row r="3589" spans="1:36" x14ac:dyDescent="0.25">
      <c r="A3589" s="1"/>
      <c r="B3589" s="2"/>
      <c r="AA3589" s="3"/>
      <c r="AD3589" s="3"/>
      <c r="AG3589" s="3"/>
      <c r="AJ3589" s="3"/>
    </row>
    <row r="3590" spans="1:36" x14ac:dyDescent="0.25">
      <c r="A3590" s="1"/>
      <c r="B3590" s="2"/>
      <c r="AA3590" s="3"/>
      <c r="AD3590" s="3"/>
      <c r="AG3590" s="3"/>
      <c r="AJ3590" s="3"/>
    </row>
    <row r="3591" spans="1:36" x14ac:dyDescent="0.25">
      <c r="A3591" s="1"/>
      <c r="B3591" s="2"/>
      <c r="AA3591" s="3"/>
      <c r="AD3591" s="3"/>
      <c r="AG3591" s="3"/>
      <c r="AJ3591" s="3"/>
    </row>
    <row r="3592" spans="1:36" x14ac:dyDescent="0.25">
      <c r="A3592" s="1"/>
      <c r="B3592" s="2"/>
      <c r="AA3592" s="3"/>
      <c r="AD3592" s="3"/>
      <c r="AG3592" s="3"/>
      <c r="AJ3592" s="3"/>
    </row>
    <row r="3593" spans="1:36" x14ac:dyDescent="0.25">
      <c r="A3593" s="1"/>
      <c r="B3593" s="2"/>
      <c r="AA3593" s="3"/>
      <c r="AD3593" s="3"/>
      <c r="AG3593" s="3"/>
      <c r="AJ3593" s="3"/>
    </row>
    <row r="3594" spans="1:36" x14ac:dyDescent="0.25">
      <c r="A3594" s="1"/>
      <c r="B3594" s="2"/>
      <c r="AA3594" s="3"/>
      <c r="AD3594" s="3"/>
      <c r="AG3594" s="3"/>
      <c r="AJ3594" s="3"/>
    </row>
    <row r="3595" spans="1:36" x14ac:dyDescent="0.25">
      <c r="A3595" s="1"/>
      <c r="B3595" s="2"/>
      <c r="AA3595" s="3"/>
      <c r="AD3595" s="3"/>
      <c r="AG3595" s="3"/>
      <c r="AJ3595" s="3"/>
    </row>
    <row r="3596" spans="1:36" x14ac:dyDescent="0.25">
      <c r="A3596" s="1"/>
      <c r="B3596" s="2"/>
      <c r="AA3596" s="3"/>
      <c r="AD3596" s="3"/>
      <c r="AG3596" s="3"/>
      <c r="AJ3596" s="3"/>
    </row>
    <row r="3597" spans="1:36" x14ac:dyDescent="0.25">
      <c r="A3597" s="1"/>
      <c r="B3597" s="2"/>
      <c r="AA3597" s="3"/>
      <c r="AD3597" s="3"/>
      <c r="AG3597" s="3"/>
      <c r="AJ3597" s="3"/>
    </row>
    <row r="3598" spans="1:36" x14ac:dyDescent="0.25">
      <c r="A3598" s="1"/>
      <c r="B3598" s="2"/>
      <c r="AA3598" s="3"/>
      <c r="AD3598" s="3"/>
      <c r="AG3598" s="3"/>
      <c r="AJ3598" s="3"/>
    </row>
    <row r="3599" spans="1:36" x14ac:dyDescent="0.25">
      <c r="A3599" s="1"/>
      <c r="B3599" s="2"/>
      <c r="AA3599" s="3"/>
      <c r="AD3599" s="3"/>
      <c r="AG3599" s="3"/>
      <c r="AJ3599" s="3"/>
    </row>
    <row r="3600" spans="1:36" x14ac:dyDescent="0.25">
      <c r="A3600" s="1"/>
      <c r="B3600" s="2"/>
      <c r="AA3600" s="3"/>
      <c r="AD3600" s="3"/>
      <c r="AG3600" s="3"/>
      <c r="AJ3600" s="3"/>
    </row>
    <row r="3601" spans="1:36" x14ac:dyDescent="0.25">
      <c r="A3601" s="1"/>
      <c r="B3601" s="2"/>
      <c r="AA3601" s="3"/>
      <c r="AD3601" s="3"/>
      <c r="AG3601" s="3"/>
      <c r="AJ3601" s="3"/>
    </row>
    <row r="3602" spans="1:36" x14ac:dyDescent="0.25">
      <c r="A3602" s="1"/>
      <c r="B3602" s="2"/>
      <c r="AA3602" s="3"/>
      <c r="AD3602" s="3"/>
      <c r="AG3602" s="3"/>
      <c r="AJ3602" s="3"/>
    </row>
    <row r="3603" spans="1:36" x14ac:dyDescent="0.25">
      <c r="A3603" s="1"/>
      <c r="B3603" s="2"/>
      <c r="AA3603" s="3"/>
      <c r="AD3603" s="3"/>
      <c r="AG3603" s="3"/>
      <c r="AJ3603" s="3"/>
    </row>
    <row r="3604" spans="1:36" x14ac:dyDescent="0.25">
      <c r="A3604" s="1"/>
      <c r="B3604" s="2"/>
      <c r="AA3604" s="3"/>
      <c r="AD3604" s="3"/>
      <c r="AG3604" s="3"/>
      <c r="AJ3604" s="3"/>
    </row>
    <row r="3605" spans="1:36" x14ac:dyDescent="0.25">
      <c r="A3605" s="1"/>
      <c r="B3605" s="2"/>
      <c r="AA3605" s="3"/>
      <c r="AD3605" s="3"/>
      <c r="AG3605" s="3"/>
      <c r="AJ3605" s="3"/>
    </row>
    <row r="3606" spans="1:36" x14ac:dyDescent="0.25">
      <c r="A3606" s="1"/>
      <c r="B3606" s="2"/>
      <c r="AA3606" s="3"/>
      <c r="AD3606" s="3"/>
      <c r="AG3606" s="3"/>
      <c r="AJ3606" s="3"/>
    </row>
    <row r="3607" spans="1:36" x14ac:dyDescent="0.25">
      <c r="A3607" s="1"/>
      <c r="B3607" s="2"/>
      <c r="AA3607" s="3"/>
      <c r="AD3607" s="3"/>
      <c r="AG3607" s="3"/>
      <c r="AJ3607" s="3"/>
    </row>
    <row r="3608" spans="1:36" x14ac:dyDescent="0.25">
      <c r="A3608" s="1"/>
      <c r="B3608" s="2"/>
      <c r="AA3608" s="3"/>
      <c r="AD3608" s="3"/>
      <c r="AG3608" s="3"/>
      <c r="AJ3608" s="3"/>
    </row>
    <row r="3609" spans="1:36" x14ac:dyDescent="0.25">
      <c r="A3609" s="1"/>
      <c r="B3609" s="2"/>
      <c r="AA3609" s="3"/>
      <c r="AD3609" s="3"/>
      <c r="AG3609" s="3"/>
      <c r="AJ3609" s="3"/>
    </row>
    <row r="3610" spans="1:36" x14ac:dyDescent="0.25">
      <c r="A3610" s="1"/>
      <c r="B3610" s="2"/>
      <c r="AA3610" s="3"/>
      <c r="AD3610" s="3"/>
      <c r="AG3610" s="3"/>
      <c r="AJ3610" s="3"/>
    </row>
    <row r="3611" spans="1:36" x14ac:dyDescent="0.25">
      <c r="A3611" s="1"/>
      <c r="B3611" s="2"/>
      <c r="AA3611" s="3"/>
      <c r="AD3611" s="3"/>
      <c r="AG3611" s="3"/>
      <c r="AJ3611" s="3"/>
    </row>
    <row r="3612" spans="1:36" x14ac:dyDescent="0.25">
      <c r="A3612" s="1"/>
      <c r="B3612" s="2"/>
      <c r="AA3612" s="3"/>
      <c r="AD3612" s="3"/>
      <c r="AG3612" s="3"/>
      <c r="AJ3612" s="3"/>
    </row>
    <row r="3613" spans="1:36" x14ac:dyDescent="0.25">
      <c r="A3613" s="1"/>
      <c r="B3613" s="2"/>
      <c r="AA3613" s="3"/>
      <c r="AD3613" s="3"/>
      <c r="AG3613" s="3"/>
      <c r="AJ3613" s="3"/>
    </row>
    <row r="3614" spans="1:36" x14ac:dyDescent="0.25">
      <c r="A3614" s="1"/>
      <c r="B3614" s="2"/>
      <c r="AA3614" s="3"/>
      <c r="AD3614" s="3"/>
      <c r="AG3614" s="3"/>
      <c r="AJ3614" s="3"/>
    </row>
    <row r="3615" spans="1:36" x14ac:dyDescent="0.25">
      <c r="A3615" s="1"/>
      <c r="B3615" s="2"/>
      <c r="AA3615" s="3"/>
      <c r="AD3615" s="3"/>
      <c r="AG3615" s="3"/>
      <c r="AJ3615" s="3"/>
    </row>
    <row r="3616" spans="1:36" x14ac:dyDescent="0.25">
      <c r="A3616" s="1"/>
      <c r="B3616" s="2"/>
      <c r="AA3616" s="3"/>
      <c r="AD3616" s="3"/>
      <c r="AG3616" s="3"/>
      <c r="AJ3616" s="3"/>
    </row>
    <row r="3617" spans="1:36" x14ac:dyDescent="0.25">
      <c r="A3617" s="1"/>
      <c r="B3617" s="2"/>
      <c r="AA3617" s="3"/>
      <c r="AD3617" s="3"/>
      <c r="AG3617" s="3"/>
      <c r="AJ3617" s="3"/>
    </row>
    <row r="3618" spans="1:36" x14ac:dyDescent="0.25">
      <c r="A3618" s="1"/>
      <c r="B3618" s="2"/>
      <c r="AA3618" s="3"/>
      <c r="AD3618" s="3"/>
      <c r="AG3618" s="3"/>
      <c r="AJ3618" s="3"/>
    </row>
    <row r="3619" spans="1:36" x14ac:dyDescent="0.25">
      <c r="A3619" s="1"/>
      <c r="B3619" s="2"/>
      <c r="AA3619" s="3"/>
      <c r="AD3619" s="3"/>
      <c r="AG3619" s="3"/>
      <c r="AJ3619" s="3"/>
    </row>
    <row r="3620" spans="1:36" x14ac:dyDescent="0.25">
      <c r="A3620" s="1"/>
      <c r="B3620" s="2"/>
      <c r="AA3620" s="3"/>
      <c r="AD3620" s="3"/>
      <c r="AG3620" s="3"/>
      <c r="AJ3620" s="3"/>
    </row>
    <row r="3621" spans="1:36" x14ac:dyDescent="0.25">
      <c r="A3621" s="1"/>
      <c r="B3621" s="2"/>
      <c r="AA3621" s="3"/>
      <c r="AD3621" s="3"/>
      <c r="AG3621" s="3"/>
      <c r="AJ3621" s="3"/>
    </row>
    <row r="3622" spans="1:36" x14ac:dyDescent="0.25">
      <c r="A3622" s="1"/>
      <c r="B3622" s="2"/>
      <c r="AA3622" s="3"/>
      <c r="AD3622" s="3"/>
      <c r="AG3622" s="3"/>
      <c r="AJ3622" s="3"/>
    </row>
    <row r="3623" spans="1:36" x14ac:dyDescent="0.25">
      <c r="A3623" s="1"/>
      <c r="B3623" s="2"/>
      <c r="AA3623" s="3"/>
      <c r="AD3623" s="3"/>
      <c r="AG3623" s="3"/>
      <c r="AJ3623" s="3"/>
    </row>
    <row r="3624" spans="1:36" x14ac:dyDescent="0.25">
      <c r="A3624" s="1"/>
      <c r="B3624" s="2"/>
      <c r="AA3624" s="3"/>
      <c r="AD3624" s="3"/>
      <c r="AG3624" s="3"/>
      <c r="AJ3624" s="3"/>
    </row>
    <row r="3625" spans="1:36" x14ac:dyDescent="0.25">
      <c r="A3625" s="1"/>
      <c r="B3625" s="2"/>
      <c r="AA3625" s="3"/>
      <c r="AD3625" s="3"/>
      <c r="AG3625" s="3"/>
      <c r="AJ3625" s="3"/>
    </row>
    <row r="3626" spans="1:36" x14ac:dyDescent="0.25">
      <c r="A3626" s="1"/>
      <c r="B3626" s="2"/>
      <c r="AA3626" s="3"/>
      <c r="AD3626" s="3"/>
      <c r="AG3626" s="3"/>
      <c r="AJ3626" s="3"/>
    </row>
    <row r="3627" spans="1:36" x14ac:dyDescent="0.25">
      <c r="A3627" s="1"/>
      <c r="B3627" s="2"/>
      <c r="AA3627" s="3"/>
      <c r="AD3627" s="3"/>
      <c r="AG3627" s="3"/>
      <c r="AJ3627" s="3"/>
    </row>
    <row r="3628" spans="1:36" x14ac:dyDescent="0.25">
      <c r="A3628" s="1"/>
      <c r="B3628" s="2"/>
      <c r="AA3628" s="3"/>
      <c r="AD3628" s="3"/>
      <c r="AG3628" s="3"/>
      <c r="AJ3628" s="3"/>
    </row>
    <row r="3629" spans="1:36" x14ac:dyDescent="0.25">
      <c r="A3629" s="1"/>
      <c r="B3629" s="2"/>
      <c r="AA3629" s="3"/>
      <c r="AD3629" s="3"/>
      <c r="AG3629" s="3"/>
      <c r="AJ3629" s="3"/>
    </row>
    <row r="3630" spans="1:36" x14ac:dyDescent="0.25">
      <c r="A3630" s="1"/>
      <c r="B3630" s="2"/>
      <c r="AA3630" s="3"/>
      <c r="AD3630" s="3"/>
      <c r="AG3630" s="3"/>
      <c r="AJ3630" s="3"/>
    </row>
    <row r="3631" spans="1:36" x14ac:dyDescent="0.25">
      <c r="A3631" s="1"/>
      <c r="B3631" s="2"/>
      <c r="AA3631" s="3"/>
      <c r="AD3631" s="3"/>
      <c r="AG3631" s="3"/>
      <c r="AJ3631" s="3"/>
    </row>
    <row r="3632" spans="1:36" x14ac:dyDescent="0.25">
      <c r="A3632" s="1"/>
      <c r="B3632" s="2"/>
      <c r="AA3632" s="3"/>
      <c r="AD3632" s="3"/>
      <c r="AG3632" s="3"/>
      <c r="AJ3632" s="3"/>
    </row>
    <row r="3633" spans="1:36" x14ac:dyDescent="0.25">
      <c r="A3633" s="1"/>
      <c r="B3633" s="2"/>
      <c r="AA3633" s="3"/>
      <c r="AD3633" s="3"/>
      <c r="AG3633" s="3"/>
      <c r="AJ3633" s="3"/>
    </row>
    <row r="3634" spans="1:36" x14ac:dyDescent="0.25">
      <c r="A3634" s="1"/>
      <c r="B3634" s="2"/>
      <c r="AA3634" s="3"/>
      <c r="AD3634" s="3"/>
      <c r="AG3634" s="3"/>
      <c r="AJ3634" s="3"/>
    </row>
    <row r="3635" spans="1:36" x14ac:dyDescent="0.25">
      <c r="A3635" s="1"/>
      <c r="B3635" s="2"/>
      <c r="AA3635" s="3"/>
      <c r="AD3635" s="3"/>
      <c r="AG3635" s="3"/>
      <c r="AJ3635" s="3"/>
    </row>
    <row r="3636" spans="1:36" x14ac:dyDescent="0.25">
      <c r="A3636" s="1"/>
      <c r="B3636" s="2"/>
      <c r="AA3636" s="3"/>
      <c r="AD3636" s="3"/>
      <c r="AG3636" s="3"/>
      <c r="AJ3636" s="3"/>
    </row>
    <row r="3637" spans="1:36" x14ac:dyDescent="0.25">
      <c r="A3637" s="1"/>
      <c r="B3637" s="2"/>
      <c r="AA3637" s="3"/>
      <c r="AD3637" s="3"/>
      <c r="AG3637" s="3"/>
      <c r="AJ3637" s="3"/>
    </row>
    <row r="3638" spans="1:36" x14ac:dyDescent="0.25">
      <c r="A3638" s="1"/>
      <c r="B3638" s="2"/>
      <c r="AA3638" s="3"/>
      <c r="AD3638" s="3"/>
      <c r="AG3638" s="3"/>
      <c r="AJ3638" s="3"/>
    </row>
    <row r="3639" spans="1:36" x14ac:dyDescent="0.25">
      <c r="A3639" s="1"/>
      <c r="B3639" s="2"/>
      <c r="AA3639" s="3"/>
      <c r="AD3639" s="3"/>
      <c r="AG3639" s="3"/>
      <c r="AJ3639" s="3"/>
    </row>
    <row r="3640" spans="1:36" x14ac:dyDescent="0.25">
      <c r="A3640" s="1"/>
      <c r="B3640" s="2"/>
      <c r="AA3640" s="3"/>
      <c r="AD3640" s="3"/>
      <c r="AG3640" s="3"/>
      <c r="AJ3640" s="3"/>
    </row>
    <row r="3641" spans="1:36" x14ac:dyDescent="0.25">
      <c r="A3641" s="1"/>
      <c r="B3641" s="2"/>
      <c r="AA3641" s="3"/>
      <c r="AD3641" s="3"/>
      <c r="AG3641" s="3"/>
      <c r="AJ3641" s="3"/>
    </row>
    <row r="3642" spans="1:36" x14ac:dyDescent="0.25">
      <c r="A3642" s="1"/>
      <c r="B3642" s="2"/>
      <c r="AA3642" s="3"/>
      <c r="AD3642" s="3"/>
      <c r="AG3642" s="3"/>
      <c r="AJ3642" s="3"/>
    </row>
    <row r="3643" spans="1:36" x14ac:dyDescent="0.25">
      <c r="A3643" s="1"/>
      <c r="B3643" s="2"/>
      <c r="AA3643" s="3"/>
      <c r="AD3643" s="3"/>
      <c r="AG3643" s="3"/>
      <c r="AJ3643" s="3"/>
    </row>
    <row r="3644" spans="1:36" x14ac:dyDescent="0.25">
      <c r="A3644" s="1"/>
      <c r="B3644" s="2"/>
      <c r="AA3644" s="3"/>
      <c r="AD3644" s="3"/>
      <c r="AG3644" s="3"/>
      <c r="AJ3644" s="3"/>
    </row>
    <row r="3645" spans="1:36" x14ac:dyDescent="0.25">
      <c r="A3645" s="1"/>
      <c r="B3645" s="2"/>
      <c r="AA3645" s="3"/>
      <c r="AD3645" s="3"/>
      <c r="AG3645" s="3"/>
      <c r="AJ3645" s="3"/>
    </row>
    <row r="3646" spans="1:36" x14ac:dyDescent="0.25">
      <c r="A3646" s="1"/>
      <c r="B3646" s="2"/>
      <c r="AA3646" s="3"/>
      <c r="AD3646" s="3"/>
      <c r="AG3646" s="3"/>
      <c r="AJ3646" s="3"/>
    </row>
    <row r="3647" spans="1:36" x14ac:dyDescent="0.25">
      <c r="A3647" s="1"/>
      <c r="B3647" s="2"/>
      <c r="AA3647" s="3"/>
      <c r="AD3647" s="3"/>
      <c r="AG3647" s="3"/>
      <c r="AJ3647" s="3"/>
    </row>
    <row r="3648" spans="1:36" x14ac:dyDescent="0.25">
      <c r="A3648" s="1"/>
      <c r="B3648" s="2"/>
      <c r="AA3648" s="3"/>
      <c r="AD3648" s="3"/>
      <c r="AG3648" s="3"/>
      <c r="AJ3648" s="3"/>
    </row>
    <row r="3649" spans="1:36" x14ac:dyDescent="0.25">
      <c r="A3649" s="1"/>
      <c r="B3649" s="2"/>
      <c r="AA3649" s="3"/>
      <c r="AD3649" s="3"/>
      <c r="AG3649" s="3"/>
      <c r="AJ3649" s="3"/>
    </row>
    <row r="3650" spans="1:36" x14ac:dyDescent="0.25">
      <c r="A3650" s="1"/>
      <c r="B3650" s="2"/>
      <c r="AA3650" s="3"/>
      <c r="AD3650" s="3"/>
      <c r="AG3650" s="3"/>
      <c r="AJ3650" s="3"/>
    </row>
    <row r="3651" spans="1:36" x14ac:dyDescent="0.25">
      <c r="A3651" s="1"/>
      <c r="B3651" s="2"/>
      <c r="AA3651" s="3"/>
      <c r="AD3651" s="3"/>
      <c r="AG3651" s="3"/>
      <c r="AJ3651" s="3"/>
    </row>
    <row r="3652" spans="1:36" x14ac:dyDescent="0.25">
      <c r="A3652" s="1"/>
      <c r="B3652" s="2"/>
      <c r="AA3652" s="3"/>
      <c r="AD3652" s="3"/>
      <c r="AG3652" s="3"/>
      <c r="AJ3652" s="3"/>
    </row>
    <row r="3653" spans="1:36" x14ac:dyDescent="0.25">
      <c r="A3653" s="1"/>
      <c r="B3653" s="2"/>
      <c r="AA3653" s="3"/>
      <c r="AD3653" s="3"/>
      <c r="AG3653" s="3"/>
      <c r="AJ3653" s="3"/>
    </row>
    <row r="3654" spans="1:36" x14ac:dyDescent="0.25">
      <c r="A3654" s="1"/>
      <c r="B3654" s="2"/>
      <c r="AA3654" s="3"/>
      <c r="AD3654" s="3"/>
      <c r="AG3654" s="3"/>
      <c r="AJ3654" s="3"/>
    </row>
    <row r="3655" spans="1:36" x14ac:dyDescent="0.25">
      <c r="A3655" s="1"/>
      <c r="B3655" s="2"/>
      <c r="AA3655" s="3"/>
      <c r="AD3655" s="3"/>
      <c r="AG3655" s="3"/>
      <c r="AJ3655" s="3"/>
    </row>
    <row r="3656" spans="1:36" x14ac:dyDescent="0.25">
      <c r="A3656" s="1"/>
      <c r="B3656" s="2"/>
      <c r="AA3656" s="3"/>
      <c r="AD3656" s="3"/>
      <c r="AG3656" s="3"/>
      <c r="AJ3656" s="3"/>
    </row>
    <row r="3657" spans="1:36" x14ac:dyDescent="0.25">
      <c r="A3657" s="1"/>
      <c r="B3657" s="2"/>
      <c r="AA3657" s="3"/>
      <c r="AD3657" s="3"/>
      <c r="AG3657" s="3"/>
      <c r="AJ3657" s="3"/>
    </row>
    <row r="3658" spans="1:36" x14ac:dyDescent="0.25">
      <c r="A3658" s="1"/>
      <c r="B3658" s="2"/>
      <c r="AA3658" s="3"/>
      <c r="AD3658" s="3"/>
      <c r="AG3658" s="3"/>
      <c r="AJ3658" s="3"/>
    </row>
    <row r="3659" spans="1:36" x14ac:dyDescent="0.25">
      <c r="A3659" s="1"/>
      <c r="B3659" s="2"/>
      <c r="AA3659" s="3"/>
      <c r="AD3659" s="3"/>
      <c r="AG3659" s="3"/>
      <c r="AJ3659" s="3"/>
    </row>
    <row r="3660" spans="1:36" x14ac:dyDescent="0.25">
      <c r="A3660" s="1"/>
      <c r="B3660" s="2"/>
      <c r="AA3660" s="3"/>
      <c r="AD3660" s="3"/>
      <c r="AG3660" s="3"/>
      <c r="AJ3660" s="3"/>
    </row>
    <row r="3661" spans="1:36" x14ac:dyDescent="0.25">
      <c r="A3661" s="1"/>
      <c r="B3661" s="2"/>
      <c r="AA3661" s="3"/>
      <c r="AD3661" s="3"/>
      <c r="AG3661" s="3"/>
      <c r="AJ3661" s="3"/>
    </row>
    <row r="3662" spans="1:36" x14ac:dyDescent="0.25">
      <c r="A3662" s="1"/>
      <c r="B3662" s="2"/>
      <c r="AA3662" s="3"/>
      <c r="AD3662" s="3"/>
      <c r="AG3662" s="3"/>
      <c r="AJ3662" s="3"/>
    </row>
    <row r="3663" spans="1:36" x14ac:dyDescent="0.25">
      <c r="A3663" s="1"/>
      <c r="B3663" s="2"/>
      <c r="AA3663" s="3"/>
      <c r="AD3663" s="3"/>
      <c r="AG3663" s="3"/>
      <c r="AJ3663" s="3"/>
    </row>
    <row r="3664" spans="1:36" x14ac:dyDescent="0.25">
      <c r="A3664" s="1"/>
      <c r="B3664" s="2"/>
      <c r="AA3664" s="3"/>
      <c r="AD3664" s="3"/>
      <c r="AG3664" s="3"/>
      <c r="AJ3664" s="3"/>
    </row>
    <row r="3665" spans="1:36" x14ac:dyDescent="0.25">
      <c r="A3665" s="1"/>
      <c r="B3665" s="2"/>
      <c r="AA3665" s="3"/>
      <c r="AD3665" s="3"/>
      <c r="AG3665" s="3"/>
      <c r="AJ3665" s="3"/>
    </row>
    <row r="3666" spans="1:36" x14ac:dyDescent="0.25">
      <c r="A3666" s="1"/>
      <c r="B3666" s="2"/>
      <c r="AA3666" s="3"/>
      <c r="AD3666" s="3"/>
      <c r="AG3666" s="3"/>
      <c r="AJ3666" s="3"/>
    </row>
    <row r="3667" spans="1:36" x14ac:dyDescent="0.25">
      <c r="A3667" s="1"/>
      <c r="B3667" s="2"/>
      <c r="AA3667" s="3"/>
      <c r="AD3667" s="3"/>
      <c r="AG3667" s="3"/>
      <c r="AJ3667" s="3"/>
    </row>
    <row r="3668" spans="1:36" x14ac:dyDescent="0.25">
      <c r="A3668" s="1"/>
      <c r="B3668" s="2"/>
      <c r="AA3668" s="3"/>
      <c r="AD3668" s="3"/>
      <c r="AG3668" s="3"/>
      <c r="AJ3668" s="3"/>
    </row>
    <row r="3669" spans="1:36" x14ac:dyDescent="0.25">
      <c r="A3669" s="1"/>
      <c r="B3669" s="2"/>
      <c r="AA3669" s="3"/>
      <c r="AD3669" s="3"/>
      <c r="AG3669" s="3"/>
      <c r="AJ3669" s="3"/>
    </row>
    <row r="3670" spans="1:36" x14ac:dyDescent="0.25">
      <c r="A3670" s="1"/>
      <c r="B3670" s="2"/>
      <c r="AA3670" s="3"/>
      <c r="AD3670" s="3"/>
      <c r="AG3670" s="3"/>
      <c r="AJ3670" s="3"/>
    </row>
    <row r="3671" spans="1:36" x14ac:dyDescent="0.25">
      <c r="A3671" s="1"/>
      <c r="B3671" s="2"/>
      <c r="AA3671" s="3"/>
      <c r="AD3671" s="3"/>
      <c r="AG3671" s="3"/>
      <c r="AJ3671" s="3"/>
    </row>
    <row r="3672" spans="1:36" x14ac:dyDescent="0.25">
      <c r="A3672" s="1"/>
      <c r="B3672" s="2"/>
      <c r="AA3672" s="3"/>
      <c r="AD3672" s="3"/>
      <c r="AG3672" s="3"/>
      <c r="AJ3672" s="3"/>
    </row>
    <row r="3673" spans="1:36" x14ac:dyDescent="0.25">
      <c r="A3673" s="1"/>
      <c r="B3673" s="2"/>
      <c r="AA3673" s="3"/>
      <c r="AD3673" s="3"/>
      <c r="AG3673" s="3"/>
      <c r="AJ3673" s="3"/>
    </row>
    <row r="3674" spans="1:36" x14ac:dyDescent="0.25">
      <c r="A3674" s="1"/>
      <c r="B3674" s="2"/>
      <c r="AA3674" s="3"/>
      <c r="AD3674" s="3"/>
      <c r="AG3674" s="3"/>
      <c r="AJ3674" s="3"/>
    </row>
    <row r="3675" spans="1:36" x14ac:dyDescent="0.25">
      <c r="A3675" s="1"/>
      <c r="B3675" s="2"/>
      <c r="AA3675" s="3"/>
      <c r="AD3675" s="3"/>
      <c r="AG3675" s="3"/>
      <c r="AJ3675" s="3"/>
    </row>
    <row r="3676" spans="1:36" x14ac:dyDescent="0.25">
      <c r="A3676" s="1"/>
      <c r="B3676" s="2"/>
      <c r="AA3676" s="3"/>
      <c r="AD3676" s="3"/>
      <c r="AG3676" s="3"/>
      <c r="AJ3676" s="3"/>
    </row>
    <row r="3677" spans="1:36" x14ac:dyDescent="0.25">
      <c r="A3677" s="1"/>
      <c r="B3677" s="2"/>
      <c r="AA3677" s="3"/>
      <c r="AD3677" s="3"/>
      <c r="AG3677" s="3"/>
      <c r="AJ3677" s="3"/>
    </row>
    <row r="3678" spans="1:36" x14ac:dyDescent="0.25">
      <c r="A3678" s="1"/>
      <c r="B3678" s="2"/>
      <c r="AA3678" s="3"/>
      <c r="AD3678" s="3"/>
      <c r="AG3678" s="3"/>
      <c r="AJ3678" s="3"/>
    </row>
    <row r="3679" spans="1:36" x14ac:dyDescent="0.25">
      <c r="A3679" s="1"/>
      <c r="B3679" s="2"/>
      <c r="AA3679" s="3"/>
      <c r="AD3679" s="3"/>
      <c r="AG3679" s="3"/>
      <c r="AJ3679" s="3"/>
    </row>
    <row r="3680" spans="1:36" x14ac:dyDescent="0.25">
      <c r="A3680" s="1"/>
      <c r="B3680" s="2"/>
      <c r="AA3680" s="3"/>
      <c r="AD3680" s="3"/>
      <c r="AG3680" s="3"/>
      <c r="AJ3680" s="3"/>
    </row>
    <row r="3681" spans="1:36" x14ac:dyDescent="0.25">
      <c r="A3681" s="1"/>
      <c r="B3681" s="2"/>
      <c r="AA3681" s="3"/>
      <c r="AD3681" s="3"/>
      <c r="AG3681" s="3"/>
      <c r="AJ3681" s="3"/>
    </row>
    <row r="3682" spans="1:36" x14ac:dyDescent="0.25">
      <c r="A3682" s="1"/>
      <c r="B3682" s="2"/>
      <c r="AA3682" s="3"/>
      <c r="AD3682" s="3"/>
      <c r="AG3682" s="3"/>
      <c r="AJ3682" s="3"/>
    </row>
    <row r="3683" spans="1:36" x14ac:dyDescent="0.25">
      <c r="A3683" s="1"/>
      <c r="B3683" s="2"/>
      <c r="AA3683" s="3"/>
      <c r="AD3683" s="3"/>
      <c r="AG3683" s="3"/>
      <c r="AJ3683" s="3"/>
    </row>
    <row r="3684" spans="1:36" x14ac:dyDescent="0.25">
      <c r="A3684" s="1"/>
      <c r="B3684" s="2"/>
      <c r="AA3684" s="3"/>
      <c r="AD3684" s="3"/>
      <c r="AG3684" s="3"/>
      <c r="AJ3684" s="3"/>
    </row>
    <row r="3685" spans="1:36" x14ac:dyDescent="0.25">
      <c r="A3685" s="1"/>
      <c r="B3685" s="2"/>
      <c r="AA3685" s="3"/>
      <c r="AD3685" s="3"/>
      <c r="AG3685" s="3"/>
      <c r="AJ3685" s="3"/>
    </row>
    <row r="3686" spans="1:36" x14ac:dyDescent="0.25">
      <c r="A3686" s="1"/>
      <c r="B3686" s="2"/>
      <c r="AA3686" s="3"/>
      <c r="AD3686" s="3"/>
      <c r="AG3686" s="3"/>
      <c r="AJ3686" s="3"/>
    </row>
    <row r="3687" spans="1:36" x14ac:dyDescent="0.25">
      <c r="A3687" s="1"/>
      <c r="B3687" s="2"/>
      <c r="AA3687" s="3"/>
      <c r="AD3687" s="3"/>
      <c r="AG3687" s="3"/>
      <c r="AJ3687" s="3"/>
    </row>
    <row r="3688" spans="1:36" x14ac:dyDescent="0.25">
      <c r="A3688" s="1"/>
      <c r="B3688" s="2"/>
      <c r="AA3688" s="3"/>
      <c r="AD3688" s="3"/>
      <c r="AG3688" s="3"/>
      <c r="AJ3688" s="3"/>
    </row>
    <row r="3689" spans="1:36" x14ac:dyDescent="0.25">
      <c r="A3689" s="1"/>
      <c r="B3689" s="2"/>
      <c r="AA3689" s="3"/>
      <c r="AD3689" s="3"/>
      <c r="AG3689" s="3"/>
      <c r="AJ3689" s="3"/>
    </row>
    <row r="3690" spans="1:36" x14ac:dyDescent="0.25">
      <c r="A3690" s="1"/>
      <c r="B3690" s="2"/>
      <c r="AA3690" s="3"/>
      <c r="AD3690" s="3"/>
      <c r="AG3690" s="3"/>
      <c r="AJ3690" s="3"/>
    </row>
    <row r="3691" spans="1:36" x14ac:dyDescent="0.25">
      <c r="A3691" s="1"/>
      <c r="B3691" s="2"/>
      <c r="AA3691" s="3"/>
      <c r="AD3691" s="3"/>
      <c r="AG3691" s="3"/>
      <c r="AJ3691" s="3"/>
    </row>
    <row r="3692" spans="1:36" x14ac:dyDescent="0.25">
      <c r="A3692" s="1"/>
      <c r="B3692" s="2"/>
      <c r="AA3692" s="3"/>
      <c r="AD3692" s="3"/>
      <c r="AG3692" s="3"/>
      <c r="AJ3692" s="3"/>
    </row>
    <row r="3693" spans="1:36" x14ac:dyDescent="0.25">
      <c r="A3693" s="1"/>
      <c r="B3693" s="2"/>
      <c r="AA3693" s="3"/>
      <c r="AD3693" s="3"/>
      <c r="AG3693" s="3"/>
      <c r="AJ3693" s="3"/>
    </row>
    <row r="3694" spans="1:36" x14ac:dyDescent="0.25">
      <c r="A3694" s="1"/>
      <c r="B3694" s="2"/>
      <c r="AA3694" s="3"/>
      <c r="AD3694" s="3"/>
      <c r="AG3694" s="3"/>
      <c r="AJ3694" s="3"/>
    </row>
    <row r="3695" spans="1:36" x14ac:dyDescent="0.25">
      <c r="A3695" s="1"/>
      <c r="B3695" s="2"/>
      <c r="AA3695" s="3"/>
      <c r="AD3695" s="3"/>
      <c r="AG3695" s="3"/>
      <c r="AJ3695" s="3"/>
    </row>
    <row r="3696" spans="1:36" x14ac:dyDescent="0.25">
      <c r="A3696" s="1"/>
      <c r="B3696" s="2"/>
      <c r="AA3696" s="3"/>
      <c r="AD3696" s="3"/>
      <c r="AG3696" s="3"/>
      <c r="AJ3696" s="3"/>
    </row>
    <row r="3697" spans="1:36" x14ac:dyDescent="0.25">
      <c r="A3697" s="1"/>
      <c r="B3697" s="2"/>
      <c r="AA3697" s="3"/>
      <c r="AD3697" s="3"/>
      <c r="AG3697" s="3"/>
      <c r="AJ3697" s="3"/>
    </row>
    <row r="3698" spans="1:36" x14ac:dyDescent="0.25">
      <c r="A3698" s="1"/>
      <c r="B3698" s="2"/>
      <c r="AA3698" s="3"/>
      <c r="AD3698" s="3"/>
      <c r="AG3698" s="3"/>
      <c r="AJ3698" s="3"/>
    </row>
    <row r="3699" spans="1:36" x14ac:dyDescent="0.25">
      <c r="A3699" s="1"/>
      <c r="B3699" s="2"/>
      <c r="AA3699" s="3"/>
      <c r="AD3699" s="3"/>
      <c r="AG3699" s="3"/>
      <c r="AJ3699" s="3"/>
    </row>
    <row r="3700" spans="1:36" x14ac:dyDescent="0.25">
      <c r="A3700" s="1"/>
      <c r="B3700" s="2"/>
      <c r="AA3700" s="3"/>
      <c r="AD3700" s="3"/>
      <c r="AG3700" s="3"/>
      <c r="AJ3700" s="3"/>
    </row>
    <row r="3701" spans="1:36" x14ac:dyDescent="0.25">
      <c r="A3701" s="1"/>
      <c r="B3701" s="2"/>
      <c r="AA3701" s="3"/>
      <c r="AD3701" s="3"/>
      <c r="AG3701" s="3"/>
      <c r="AJ3701" s="3"/>
    </row>
    <row r="3702" spans="1:36" x14ac:dyDescent="0.25">
      <c r="A3702" s="1"/>
      <c r="B3702" s="2"/>
      <c r="AA3702" s="3"/>
      <c r="AD3702" s="3"/>
      <c r="AG3702" s="3"/>
      <c r="AJ3702" s="3"/>
    </row>
    <row r="3703" spans="1:36" x14ac:dyDescent="0.25">
      <c r="A3703" s="1"/>
      <c r="B3703" s="2"/>
      <c r="AA3703" s="3"/>
      <c r="AD3703" s="3"/>
      <c r="AG3703" s="3"/>
      <c r="AJ3703" s="3"/>
    </row>
    <row r="3704" spans="1:36" x14ac:dyDescent="0.25">
      <c r="A3704" s="1"/>
      <c r="B3704" s="2"/>
      <c r="AA3704" s="3"/>
      <c r="AD3704" s="3"/>
      <c r="AG3704" s="3"/>
      <c r="AJ3704" s="3"/>
    </row>
    <row r="3705" spans="1:36" x14ac:dyDescent="0.25">
      <c r="A3705" s="1"/>
      <c r="B3705" s="2"/>
      <c r="AA3705" s="3"/>
      <c r="AD3705" s="3"/>
      <c r="AG3705" s="3"/>
      <c r="AJ3705" s="3"/>
    </row>
    <row r="3706" spans="1:36" x14ac:dyDescent="0.25">
      <c r="A3706" s="1"/>
      <c r="B3706" s="2"/>
      <c r="AA3706" s="3"/>
      <c r="AD3706" s="3"/>
      <c r="AG3706" s="3"/>
      <c r="AJ3706" s="3"/>
    </row>
    <row r="3707" spans="1:36" x14ac:dyDescent="0.25">
      <c r="A3707" s="1"/>
      <c r="B3707" s="2"/>
      <c r="AA3707" s="3"/>
      <c r="AD3707" s="3"/>
      <c r="AG3707" s="3"/>
      <c r="AJ3707" s="3"/>
    </row>
    <row r="3708" spans="1:36" x14ac:dyDescent="0.25">
      <c r="A3708" s="1"/>
      <c r="B3708" s="2"/>
      <c r="AA3708" s="3"/>
      <c r="AD3708" s="3"/>
      <c r="AG3708" s="3"/>
      <c r="AJ3708" s="3"/>
    </row>
    <row r="3709" spans="1:36" x14ac:dyDescent="0.25">
      <c r="A3709" s="1"/>
      <c r="B3709" s="2"/>
      <c r="AA3709" s="3"/>
      <c r="AD3709" s="3"/>
      <c r="AG3709" s="3"/>
      <c r="AJ3709" s="3"/>
    </row>
    <row r="3710" spans="1:36" x14ac:dyDescent="0.25">
      <c r="A3710" s="1"/>
      <c r="B3710" s="2"/>
      <c r="AA3710" s="3"/>
      <c r="AD3710" s="3"/>
      <c r="AG3710" s="3"/>
      <c r="AJ3710" s="3"/>
    </row>
    <row r="3711" spans="1:36" x14ac:dyDescent="0.25">
      <c r="A3711" s="1"/>
      <c r="B3711" s="2"/>
      <c r="AA3711" s="3"/>
      <c r="AD3711" s="3"/>
      <c r="AG3711" s="3"/>
      <c r="AJ3711" s="3"/>
    </row>
    <row r="3712" spans="1:36" x14ac:dyDescent="0.25">
      <c r="A3712" s="1"/>
      <c r="B3712" s="2"/>
      <c r="AA3712" s="3"/>
      <c r="AD3712" s="3"/>
      <c r="AG3712" s="3"/>
      <c r="AJ3712" s="3"/>
    </row>
    <row r="3713" spans="1:36" x14ac:dyDescent="0.25">
      <c r="A3713" s="1"/>
      <c r="B3713" s="2"/>
      <c r="AA3713" s="3"/>
      <c r="AD3713" s="3"/>
      <c r="AG3713" s="3"/>
      <c r="AJ3713" s="3"/>
    </row>
    <row r="3714" spans="1:36" x14ac:dyDescent="0.25">
      <c r="A3714" s="1"/>
      <c r="B3714" s="2"/>
      <c r="AA3714" s="3"/>
      <c r="AD3714" s="3"/>
      <c r="AG3714" s="3"/>
      <c r="AJ3714" s="3"/>
    </row>
    <row r="3715" spans="1:36" x14ac:dyDescent="0.25">
      <c r="A3715" s="1"/>
      <c r="B3715" s="2"/>
      <c r="AA3715" s="3"/>
      <c r="AD3715" s="3"/>
      <c r="AG3715" s="3"/>
      <c r="AJ3715" s="3"/>
    </row>
    <row r="3716" spans="1:36" x14ac:dyDescent="0.25">
      <c r="A3716" s="1"/>
      <c r="B3716" s="2"/>
      <c r="AA3716" s="3"/>
      <c r="AD3716" s="3"/>
      <c r="AG3716" s="3"/>
      <c r="AJ3716" s="3"/>
    </row>
    <row r="3717" spans="1:36" x14ac:dyDescent="0.25">
      <c r="A3717" s="1"/>
      <c r="B3717" s="2"/>
      <c r="AA3717" s="3"/>
      <c r="AD3717" s="3"/>
      <c r="AG3717" s="3"/>
      <c r="AJ3717" s="3"/>
    </row>
    <row r="3718" spans="1:36" x14ac:dyDescent="0.25">
      <c r="A3718" s="1"/>
      <c r="B3718" s="2"/>
      <c r="AA3718" s="3"/>
      <c r="AD3718" s="3"/>
      <c r="AG3718" s="3"/>
      <c r="AJ3718" s="3"/>
    </row>
    <row r="3719" spans="1:36" x14ac:dyDescent="0.25">
      <c r="A3719" s="1"/>
      <c r="B3719" s="2"/>
      <c r="AA3719" s="3"/>
      <c r="AD3719" s="3"/>
      <c r="AG3719" s="3"/>
      <c r="AJ3719" s="3"/>
    </row>
    <row r="3720" spans="1:36" x14ac:dyDescent="0.25">
      <c r="A3720" s="1"/>
      <c r="B3720" s="2"/>
      <c r="AA3720" s="3"/>
      <c r="AD3720" s="3"/>
      <c r="AG3720" s="3"/>
      <c r="AJ3720" s="3"/>
    </row>
    <row r="3721" spans="1:36" x14ac:dyDescent="0.25">
      <c r="A3721" s="1"/>
      <c r="B3721" s="2"/>
      <c r="AA3721" s="3"/>
      <c r="AD3721" s="3"/>
      <c r="AG3721" s="3"/>
      <c r="AJ3721" s="3"/>
    </row>
    <row r="3722" spans="1:36" x14ac:dyDescent="0.25">
      <c r="A3722" s="1"/>
      <c r="B3722" s="2"/>
      <c r="AA3722" s="3"/>
      <c r="AD3722" s="3"/>
      <c r="AG3722" s="3"/>
      <c r="AJ3722" s="3"/>
    </row>
    <row r="3723" spans="1:36" x14ac:dyDescent="0.25">
      <c r="A3723" s="1"/>
      <c r="B3723" s="2"/>
      <c r="AA3723" s="3"/>
      <c r="AD3723" s="3"/>
      <c r="AG3723" s="3"/>
      <c r="AJ3723" s="3"/>
    </row>
    <row r="3724" spans="1:36" x14ac:dyDescent="0.25">
      <c r="A3724" s="1"/>
      <c r="B3724" s="2"/>
      <c r="AA3724" s="3"/>
      <c r="AD3724" s="3"/>
      <c r="AG3724" s="3"/>
      <c r="AJ3724" s="3"/>
    </row>
    <row r="3725" spans="1:36" x14ac:dyDescent="0.25">
      <c r="A3725" s="1"/>
      <c r="B3725" s="2"/>
      <c r="AA3725" s="3"/>
      <c r="AD3725" s="3"/>
      <c r="AG3725" s="3"/>
      <c r="AJ3725" s="3"/>
    </row>
    <row r="3726" spans="1:36" x14ac:dyDescent="0.25">
      <c r="A3726" s="1"/>
      <c r="B3726" s="2"/>
      <c r="AA3726" s="3"/>
      <c r="AD3726" s="3"/>
      <c r="AG3726" s="3"/>
      <c r="AJ3726" s="3"/>
    </row>
    <row r="3727" spans="1:36" x14ac:dyDescent="0.25">
      <c r="A3727" s="1"/>
      <c r="B3727" s="2"/>
      <c r="AA3727" s="3"/>
      <c r="AD3727" s="3"/>
      <c r="AG3727" s="3"/>
      <c r="AJ3727" s="3"/>
    </row>
    <row r="3728" spans="1:36" x14ac:dyDescent="0.25">
      <c r="A3728" s="1"/>
      <c r="B3728" s="2"/>
      <c r="AA3728" s="3"/>
      <c r="AD3728" s="3"/>
      <c r="AG3728" s="3"/>
      <c r="AJ3728" s="3"/>
    </row>
    <row r="3729" spans="1:36" x14ac:dyDescent="0.25">
      <c r="A3729" s="1"/>
      <c r="B3729" s="2"/>
      <c r="AA3729" s="3"/>
      <c r="AD3729" s="3"/>
      <c r="AG3729" s="3"/>
      <c r="AJ3729" s="3"/>
    </row>
    <row r="3730" spans="1:36" x14ac:dyDescent="0.25">
      <c r="A3730" s="1"/>
      <c r="B3730" s="2"/>
      <c r="AA3730" s="3"/>
      <c r="AD3730" s="3"/>
      <c r="AG3730" s="3"/>
      <c r="AJ3730" s="3"/>
    </row>
    <row r="3731" spans="1:36" x14ac:dyDescent="0.25">
      <c r="A3731" s="1"/>
      <c r="B3731" s="2"/>
      <c r="AA3731" s="3"/>
      <c r="AD3731" s="3"/>
      <c r="AG3731" s="3"/>
      <c r="AJ3731" s="3"/>
    </row>
    <row r="3732" spans="1:36" x14ac:dyDescent="0.25">
      <c r="A3732" s="1"/>
      <c r="B3732" s="2"/>
      <c r="AA3732" s="3"/>
      <c r="AD3732" s="3"/>
      <c r="AG3732" s="3"/>
      <c r="AJ3732" s="3"/>
    </row>
    <row r="3733" spans="1:36" x14ac:dyDescent="0.25">
      <c r="A3733" s="1"/>
      <c r="B3733" s="2"/>
      <c r="AA3733" s="3"/>
      <c r="AD3733" s="3"/>
      <c r="AG3733" s="3"/>
      <c r="AJ3733" s="3"/>
    </row>
    <row r="3734" spans="1:36" x14ac:dyDescent="0.25">
      <c r="A3734" s="1"/>
      <c r="B3734" s="2"/>
      <c r="AA3734" s="3"/>
      <c r="AD3734" s="3"/>
      <c r="AG3734" s="3"/>
      <c r="AJ3734" s="3"/>
    </row>
    <row r="3735" spans="1:36" x14ac:dyDescent="0.25">
      <c r="A3735" s="1"/>
      <c r="B3735" s="2"/>
      <c r="AA3735" s="3"/>
      <c r="AD3735" s="3"/>
      <c r="AG3735" s="3"/>
      <c r="AJ3735" s="3"/>
    </row>
    <row r="3736" spans="1:36" x14ac:dyDescent="0.25">
      <c r="A3736" s="1"/>
      <c r="B3736" s="2"/>
      <c r="AA3736" s="3"/>
      <c r="AD3736" s="3"/>
      <c r="AG3736" s="3"/>
      <c r="AJ3736" s="3"/>
    </row>
    <row r="3737" spans="1:36" x14ac:dyDescent="0.25">
      <c r="A3737" s="1"/>
      <c r="B3737" s="2"/>
      <c r="AA3737" s="3"/>
      <c r="AD3737" s="3"/>
      <c r="AG3737" s="3"/>
      <c r="AJ3737" s="3"/>
    </row>
    <row r="3738" spans="1:36" x14ac:dyDescent="0.25">
      <c r="A3738" s="1"/>
      <c r="B3738" s="2"/>
      <c r="AA3738" s="3"/>
      <c r="AD3738" s="3"/>
      <c r="AG3738" s="3"/>
      <c r="AJ3738" s="3"/>
    </row>
    <row r="3739" spans="1:36" x14ac:dyDescent="0.25">
      <c r="A3739" s="1"/>
      <c r="B3739" s="2"/>
      <c r="AA3739" s="3"/>
      <c r="AD3739" s="3"/>
      <c r="AG3739" s="3"/>
      <c r="AJ3739" s="3"/>
    </row>
    <row r="3740" spans="1:36" x14ac:dyDescent="0.25">
      <c r="A3740" s="1"/>
      <c r="B3740" s="2"/>
      <c r="AA3740" s="3"/>
      <c r="AD3740" s="3"/>
      <c r="AG3740" s="3"/>
      <c r="AJ3740" s="3"/>
    </row>
    <row r="3741" spans="1:36" x14ac:dyDescent="0.25">
      <c r="A3741" s="1"/>
      <c r="B3741" s="2"/>
      <c r="AA3741" s="3"/>
      <c r="AD3741" s="3"/>
      <c r="AG3741" s="3"/>
      <c r="AJ3741" s="3"/>
    </row>
    <row r="3742" spans="1:36" x14ac:dyDescent="0.25">
      <c r="A3742" s="1"/>
      <c r="B3742" s="2"/>
      <c r="AA3742" s="3"/>
      <c r="AD3742" s="3"/>
      <c r="AG3742" s="3"/>
      <c r="AJ3742" s="3"/>
    </row>
    <row r="3743" spans="1:36" x14ac:dyDescent="0.25">
      <c r="A3743" s="1"/>
      <c r="B3743" s="2"/>
      <c r="AA3743" s="3"/>
      <c r="AD3743" s="3"/>
      <c r="AG3743" s="3"/>
      <c r="AJ3743" s="3"/>
    </row>
    <row r="3744" spans="1:36" x14ac:dyDescent="0.25">
      <c r="A3744" s="1"/>
      <c r="B3744" s="2"/>
      <c r="AA3744" s="3"/>
      <c r="AD3744" s="3"/>
      <c r="AG3744" s="3"/>
      <c r="AJ3744" s="3"/>
    </row>
    <row r="3745" spans="1:36" x14ac:dyDescent="0.25">
      <c r="A3745" s="1"/>
      <c r="B3745" s="2"/>
      <c r="AA3745" s="3"/>
      <c r="AD3745" s="3"/>
      <c r="AG3745" s="3"/>
      <c r="AJ3745" s="3"/>
    </row>
    <row r="3746" spans="1:36" x14ac:dyDescent="0.25">
      <c r="A3746" s="1"/>
      <c r="B3746" s="2"/>
      <c r="AA3746" s="3"/>
      <c r="AD3746" s="3"/>
      <c r="AG3746" s="3"/>
      <c r="AJ3746" s="3"/>
    </row>
    <row r="3747" spans="1:36" x14ac:dyDescent="0.25">
      <c r="A3747" s="1"/>
      <c r="B3747" s="2"/>
      <c r="AA3747" s="3"/>
      <c r="AD3747" s="3"/>
      <c r="AG3747" s="3"/>
      <c r="AJ3747" s="3"/>
    </row>
    <row r="3748" spans="1:36" x14ac:dyDescent="0.25">
      <c r="A3748" s="1"/>
      <c r="B3748" s="2"/>
      <c r="AA3748" s="3"/>
      <c r="AD3748" s="3"/>
      <c r="AG3748" s="3"/>
      <c r="AJ3748" s="3"/>
    </row>
    <row r="3749" spans="1:36" x14ac:dyDescent="0.25">
      <c r="A3749" s="1"/>
      <c r="B3749" s="2"/>
      <c r="AA3749" s="3"/>
      <c r="AD3749" s="3"/>
      <c r="AG3749" s="3"/>
      <c r="AJ3749" s="3"/>
    </row>
    <row r="3750" spans="1:36" x14ac:dyDescent="0.25">
      <c r="A3750" s="1"/>
      <c r="B3750" s="2"/>
      <c r="AA3750" s="3"/>
      <c r="AD3750" s="3"/>
      <c r="AG3750" s="3"/>
      <c r="AJ3750" s="3"/>
    </row>
    <row r="3751" spans="1:36" x14ac:dyDescent="0.25">
      <c r="A3751" s="1"/>
      <c r="B3751" s="2"/>
      <c r="AA3751" s="3"/>
      <c r="AD3751" s="3"/>
      <c r="AG3751" s="3"/>
      <c r="AJ3751" s="3"/>
    </row>
    <row r="3752" spans="1:36" x14ac:dyDescent="0.25">
      <c r="A3752" s="1"/>
      <c r="B3752" s="2"/>
      <c r="AA3752" s="3"/>
      <c r="AD3752" s="3"/>
      <c r="AG3752" s="3"/>
      <c r="AJ3752" s="3"/>
    </row>
    <row r="3753" spans="1:36" x14ac:dyDescent="0.25">
      <c r="A3753" s="1"/>
      <c r="B3753" s="2"/>
      <c r="AA3753" s="3"/>
      <c r="AD3753" s="3"/>
      <c r="AG3753" s="3"/>
      <c r="AJ3753" s="3"/>
    </row>
    <row r="3754" spans="1:36" x14ac:dyDescent="0.25">
      <c r="A3754" s="1"/>
      <c r="B3754" s="2"/>
      <c r="AA3754" s="3"/>
      <c r="AD3754" s="3"/>
      <c r="AG3754" s="3"/>
      <c r="AJ3754" s="3"/>
    </row>
    <row r="3755" spans="1:36" x14ac:dyDescent="0.25">
      <c r="A3755" s="1"/>
      <c r="B3755" s="2"/>
      <c r="AA3755" s="3"/>
      <c r="AD3755" s="3"/>
      <c r="AG3755" s="3"/>
      <c r="AJ3755" s="3"/>
    </row>
    <row r="3756" spans="1:36" x14ac:dyDescent="0.25">
      <c r="A3756" s="1"/>
      <c r="B3756" s="2"/>
      <c r="AA3756" s="3"/>
      <c r="AD3756" s="3"/>
      <c r="AG3756" s="3"/>
      <c r="AJ3756" s="3"/>
    </row>
    <row r="3757" spans="1:36" x14ac:dyDescent="0.25">
      <c r="A3757" s="1"/>
      <c r="B3757" s="2"/>
      <c r="AA3757" s="3"/>
      <c r="AD3757" s="3"/>
      <c r="AG3757" s="3"/>
      <c r="AJ3757" s="3"/>
    </row>
    <row r="3758" spans="1:36" x14ac:dyDescent="0.25">
      <c r="A3758" s="1"/>
      <c r="B3758" s="2"/>
      <c r="AA3758" s="3"/>
      <c r="AD3758" s="3"/>
      <c r="AG3758" s="3"/>
      <c r="AJ3758" s="3"/>
    </row>
    <row r="3759" spans="1:36" x14ac:dyDescent="0.25">
      <c r="A3759" s="1"/>
      <c r="B3759" s="2"/>
      <c r="AA3759" s="3"/>
      <c r="AD3759" s="3"/>
      <c r="AG3759" s="3"/>
      <c r="AJ3759" s="3"/>
    </row>
    <row r="3760" spans="1:36" x14ac:dyDescent="0.25">
      <c r="A3760" s="1"/>
      <c r="B3760" s="2"/>
      <c r="AA3760" s="3"/>
      <c r="AD3760" s="3"/>
      <c r="AG3760" s="3"/>
      <c r="AJ3760" s="3"/>
    </row>
    <row r="3761" spans="1:36" x14ac:dyDescent="0.25">
      <c r="A3761" s="1"/>
      <c r="B3761" s="2"/>
      <c r="AA3761" s="3"/>
      <c r="AD3761" s="3"/>
      <c r="AG3761" s="3"/>
      <c r="AJ3761" s="3"/>
    </row>
    <row r="3762" spans="1:36" x14ac:dyDescent="0.25">
      <c r="A3762" s="1"/>
      <c r="B3762" s="2"/>
      <c r="AA3762" s="3"/>
      <c r="AD3762" s="3"/>
      <c r="AG3762" s="3"/>
      <c r="AJ3762" s="3"/>
    </row>
    <row r="3763" spans="1:36" x14ac:dyDescent="0.25">
      <c r="A3763" s="1"/>
      <c r="B3763" s="2"/>
      <c r="AA3763" s="3"/>
      <c r="AD3763" s="3"/>
      <c r="AG3763" s="3"/>
      <c r="AJ3763" s="3"/>
    </row>
    <row r="3764" spans="1:36" x14ac:dyDescent="0.25">
      <c r="A3764" s="1"/>
      <c r="B3764" s="2"/>
      <c r="AA3764" s="3"/>
      <c r="AD3764" s="3"/>
      <c r="AG3764" s="3"/>
      <c r="AJ3764" s="3"/>
    </row>
    <row r="3765" spans="1:36" x14ac:dyDescent="0.25">
      <c r="A3765" s="1"/>
      <c r="B3765" s="2"/>
      <c r="AA3765" s="3"/>
      <c r="AD3765" s="3"/>
      <c r="AG3765" s="3"/>
      <c r="AJ3765" s="3"/>
    </row>
    <row r="3766" spans="1:36" x14ac:dyDescent="0.25">
      <c r="A3766" s="1"/>
      <c r="B3766" s="2"/>
      <c r="AA3766" s="3"/>
      <c r="AD3766" s="3"/>
      <c r="AG3766" s="3"/>
      <c r="AJ3766" s="3"/>
    </row>
    <row r="3767" spans="1:36" x14ac:dyDescent="0.25">
      <c r="A3767" s="1"/>
      <c r="B3767" s="2"/>
      <c r="AA3767" s="3"/>
      <c r="AD3767" s="3"/>
      <c r="AG3767" s="3"/>
      <c r="AJ3767" s="3"/>
    </row>
    <row r="3768" spans="1:36" x14ac:dyDescent="0.25">
      <c r="A3768" s="1"/>
      <c r="B3768" s="2"/>
      <c r="AA3768" s="3"/>
      <c r="AD3768" s="3"/>
      <c r="AG3768" s="3"/>
      <c r="AJ3768" s="3"/>
    </row>
    <row r="3769" spans="1:36" x14ac:dyDescent="0.25">
      <c r="A3769" s="1"/>
      <c r="B3769" s="2"/>
      <c r="AA3769" s="3"/>
      <c r="AD3769" s="3"/>
      <c r="AG3769" s="3"/>
      <c r="AJ3769" s="3"/>
    </row>
    <row r="3770" spans="1:36" x14ac:dyDescent="0.25">
      <c r="A3770" s="1"/>
      <c r="B3770" s="2"/>
      <c r="AA3770" s="3"/>
      <c r="AD3770" s="3"/>
      <c r="AG3770" s="3"/>
      <c r="AJ3770" s="3"/>
    </row>
    <row r="3771" spans="1:36" x14ac:dyDescent="0.25">
      <c r="A3771" s="1"/>
      <c r="B3771" s="2"/>
      <c r="AA3771" s="3"/>
      <c r="AD3771" s="3"/>
      <c r="AG3771" s="3"/>
      <c r="AJ3771" s="3"/>
    </row>
    <row r="3772" spans="1:36" x14ac:dyDescent="0.25">
      <c r="A3772" s="1"/>
      <c r="B3772" s="2"/>
      <c r="AA3772" s="3"/>
      <c r="AD3772" s="3"/>
      <c r="AG3772" s="3"/>
      <c r="AJ3772" s="3"/>
    </row>
    <row r="3773" spans="1:36" x14ac:dyDescent="0.25">
      <c r="A3773" s="1"/>
      <c r="B3773" s="2"/>
      <c r="AA3773" s="3"/>
      <c r="AD3773" s="3"/>
      <c r="AG3773" s="3"/>
      <c r="AJ3773" s="3"/>
    </row>
    <row r="3774" spans="1:36" x14ac:dyDescent="0.25">
      <c r="A3774" s="1"/>
      <c r="B3774" s="2"/>
      <c r="AA3774" s="3"/>
      <c r="AD3774" s="3"/>
      <c r="AG3774" s="3"/>
      <c r="AJ3774" s="3"/>
    </row>
    <row r="3775" spans="1:36" x14ac:dyDescent="0.25">
      <c r="A3775" s="1"/>
      <c r="B3775" s="2"/>
      <c r="AA3775" s="3"/>
      <c r="AD3775" s="3"/>
      <c r="AG3775" s="3"/>
      <c r="AJ3775" s="3"/>
    </row>
    <row r="3776" spans="1:36" x14ac:dyDescent="0.25">
      <c r="A3776" s="1"/>
      <c r="B3776" s="2"/>
      <c r="AA3776" s="3"/>
      <c r="AD3776" s="3"/>
      <c r="AG3776" s="3"/>
      <c r="AJ3776" s="3"/>
    </row>
    <row r="3777" spans="1:36" x14ac:dyDescent="0.25">
      <c r="A3777" s="1"/>
      <c r="B3777" s="2"/>
      <c r="AA3777" s="3"/>
      <c r="AD3777" s="3"/>
      <c r="AG3777" s="3"/>
      <c r="AJ3777" s="3"/>
    </row>
    <row r="3778" spans="1:36" x14ac:dyDescent="0.25">
      <c r="A3778" s="1"/>
      <c r="B3778" s="2"/>
      <c r="AA3778" s="3"/>
      <c r="AD3778" s="3"/>
      <c r="AG3778" s="3"/>
      <c r="AJ3778" s="3"/>
    </row>
    <row r="3779" spans="1:36" x14ac:dyDescent="0.25">
      <c r="A3779" s="1"/>
      <c r="B3779" s="2"/>
      <c r="AA3779" s="3"/>
      <c r="AD3779" s="3"/>
      <c r="AG3779" s="3"/>
      <c r="AJ3779" s="3"/>
    </row>
    <row r="3780" spans="1:36" x14ac:dyDescent="0.25">
      <c r="A3780" s="1"/>
      <c r="B3780" s="2"/>
      <c r="AA3780" s="3"/>
      <c r="AD3780" s="3"/>
      <c r="AG3780" s="3"/>
      <c r="AJ3780" s="3"/>
    </row>
    <row r="3781" spans="1:36" x14ac:dyDescent="0.25">
      <c r="A3781" s="1"/>
      <c r="B3781" s="2"/>
      <c r="AA3781" s="3"/>
      <c r="AD3781" s="3"/>
      <c r="AG3781" s="3"/>
      <c r="AJ3781" s="3"/>
    </row>
    <row r="3782" spans="1:36" x14ac:dyDescent="0.25">
      <c r="A3782" s="1"/>
      <c r="B3782" s="2"/>
      <c r="AA3782" s="3"/>
      <c r="AD3782" s="3"/>
      <c r="AG3782" s="3"/>
      <c r="AJ3782" s="3"/>
    </row>
    <row r="3783" spans="1:36" x14ac:dyDescent="0.25">
      <c r="A3783" s="1"/>
      <c r="B3783" s="2"/>
      <c r="AA3783" s="3"/>
      <c r="AD3783" s="3"/>
      <c r="AG3783" s="3"/>
      <c r="AJ3783" s="3"/>
    </row>
    <row r="3784" spans="1:36" x14ac:dyDescent="0.25">
      <c r="A3784" s="1"/>
      <c r="B3784" s="2"/>
      <c r="AA3784" s="3"/>
      <c r="AD3784" s="3"/>
      <c r="AG3784" s="3"/>
      <c r="AJ3784" s="3"/>
    </row>
    <row r="3785" spans="1:36" x14ac:dyDescent="0.25">
      <c r="A3785" s="1"/>
      <c r="B3785" s="2"/>
      <c r="AA3785" s="3"/>
      <c r="AD3785" s="3"/>
      <c r="AG3785" s="3"/>
      <c r="AJ3785" s="3"/>
    </row>
    <row r="3786" spans="1:36" x14ac:dyDescent="0.25">
      <c r="A3786" s="1"/>
      <c r="B3786" s="2"/>
      <c r="AA3786" s="3"/>
      <c r="AD3786" s="3"/>
      <c r="AG3786" s="3"/>
      <c r="AJ3786" s="3"/>
    </row>
    <row r="3787" spans="1:36" x14ac:dyDescent="0.25">
      <c r="A3787" s="1"/>
      <c r="B3787" s="2"/>
      <c r="AA3787" s="3"/>
      <c r="AD3787" s="3"/>
      <c r="AG3787" s="3"/>
      <c r="AJ3787" s="3"/>
    </row>
    <row r="3788" spans="1:36" x14ac:dyDescent="0.25">
      <c r="A3788" s="1"/>
      <c r="B3788" s="2"/>
      <c r="AA3788" s="3"/>
      <c r="AD3788" s="3"/>
      <c r="AG3788" s="3"/>
      <c r="AJ3788" s="3"/>
    </row>
    <row r="3789" spans="1:36" x14ac:dyDescent="0.25">
      <c r="A3789" s="1"/>
      <c r="B3789" s="2"/>
      <c r="AA3789" s="3"/>
      <c r="AD3789" s="3"/>
      <c r="AG3789" s="3"/>
      <c r="AJ3789" s="3"/>
    </row>
    <row r="3790" spans="1:36" x14ac:dyDescent="0.25">
      <c r="A3790" s="1"/>
      <c r="B3790" s="2"/>
      <c r="AA3790" s="3"/>
      <c r="AD3790" s="3"/>
      <c r="AG3790" s="3"/>
      <c r="AJ3790" s="3"/>
    </row>
    <row r="3791" spans="1:36" x14ac:dyDescent="0.25">
      <c r="A3791" s="1"/>
      <c r="B3791" s="2"/>
      <c r="AA3791" s="3"/>
      <c r="AD3791" s="3"/>
      <c r="AG3791" s="3"/>
      <c r="AJ3791" s="3"/>
    </row>
    <row r="3792" spans="1:36" x14ac:dyDescent="0.25">
      <c r="A3792" s="1"/>
      <c r="B3792" s="2"/>
      <c r="AA3792" s="3"/>
      <c r="AD3792" s="3"/>
      <c r="AG3792" s="3"/>
      <c r="AJ3792" s="3"/>
    </row>
    <row r="3793" spans="1:36" x14ac:dyDescent="0.25">
      <c r="A3793" s="1"/>
      <c r="B3793" s="2"/>
      <c r="AA3793" s="3"/>
      <c r="AD3793" s="3"/>
      <c r="AG3793" s="3"/>
      <c r="AJ3793" s="3"/>
    </row>
    <row r="3794" spans="1:36" x14ac:dyDescent="0.25">
      <c r="A3794" s="1"/>
      <c r="B3794" s="2"/>
      <c r="AA3794" s="3"/>
      <c r="AD3794" s="3"/>
      <c r="AG3794" s="3"/>
      <c r="AJ3794" s="3"/>
    </row>
    <row r="3795" spans="1:36" x14ac:dyDescent="0.25">
      <c r="A3795" s="1"/>
      <c r="B3795" s="2"/>
      <c r="AA3795" s="3"/>
      <c r="AD3795" s="3"/>
      <c r="AG3795" s="3"/>
      <c r="AJ3795" s="3"/>
    </row>
    <row r="3796" spans="1:36" x14ac:dyDescent="0.25">
      <c r="A3796" s="1"/>
      <c r="B3796" s="2"/>
      <c r="AA3796" s="3"/>
      <c r="AD3796" s="3"/>
      <c r="AG3796" s="3"/>
      <c r="AJ3796" s="3"/>
    </row>
    <row r="3797" spans="1:36" x14ac:dyDescent="0.25">
      <c r="A3797" s="1"/>
      <c r="B3797" s="2"/>
      <c r="AA3797" s="3"/>
      <c r="AD3797" s="3"/>
      <c r="AG3797" s="3"/>
      <c r="AJ3797" s="3"/>
    </row>
    <row r="3798" spans="1:36" x14ac:dyDescent="0.25">
      <c r="A3798" s="1"/>
      <c r="B3798" s="2"/>
      <c r="AA3798" s="3"/>
      <c r="AD3798" s="3"/>
      <c r="AG3798" s="3"/>
      <c r="AJ3798" s="3"/>
    </row>
    <row r="3799" spans="1:36" x14ac:dyDescent="0.25">
      <c r="A3799" s="1"/>
      <c r="B3799" s="2"/>
      <c r="AA3799" s="3"/>
      <c r="AD3799" s="3"/>
      <c r="AG3799" s="3"/>
      <c r="AJ3799" s="3"/>
    </row>
    <row r="3800" spans="1:36" x14ac:dyDescent="0.25">
      <c r="A3800" s="1"/>
      <c r="B3800" s="2"/>
      <c r="AA3800" s="3"/>
      <c r="AD3800" s="3"/>
      <c r="AG3800" s="3"/>
      <c r="AJ3800" s="3"/>
    </row>
    <row r="3801" spans="1:36" x14ac:dyDescent="0.25">
      <c r="A3801" s="1"/>
      <c r="B3801" s="2"/>
      <c r="AA3801" s="3"/>
      <c r="AD3801" s="3"/>
      <c r="AG3801" s="3"/>
      <c r="AJ3801" s="3"/>
    </row>
    <row r="3802" spans="1:36" x14ac:dyDescent="0.25">
      <c r="A3802" s="1"/>
      <c r="B3802" s="2"/>
      <c r="AA3802" s="3"/>
      <c r="AD3802" s="3"/>
      <c r="AG3802" s="3"/>
      <c r="AJ3802" s="3"/>
    </row>
    <row r="3803" spans="1:36" x14ac:dyDescent="0.25">
      <c r="A3803" s="1"/>
      <c r="B3803" s="2"/>
      <c r="AA3803" s="3"/>
      <c r="AD3803" s="3"/>
      <c r="AG3803" s="3"/>
      <c r="AJ3803" s="3"/>
    </row>
    <row r="3804" spans="1:36" x14ac:dyDescent="0.25">
      <c r="A3804" s="1"/>
      <c r="B3804" s="2"/>
      <c r="AA3804" s="3"/>
      <c r="AD3804" s="3"/>
      <c r="AG3804" s="3"/>
      <c r="AJ3804" s="3"/>
    </row>
    <row r="3805" spans="1:36" x14ac:dyDescent="0.25">
      <c r="A3805" s="1"/>
      <c r="B3805" s="2"/>
      <c r="AA3805" s="3"/>
      <c r="AD3805" s="3"/>
      <c r="AG3805" s="3"/>
      <c r="AJ3805" s="3"/>
    </row>
    <row r="3806" spans="1:36" x14ac:dyDescent="0.25">
      <c r="A3806" s="1"/>
      <c r="B3806" s="2"/>
      <c r="AA3806" s="3"/>
      <c r="AD3806" s="3"/>
      <c r="AG3806" s="3"/>
      <c r="AJ3806" s="3"/>
    </row>
    <row r="3807" spans="1:36" x14ac:dyDescent="0.25">
      <c r="A3807" s="1"/>
      <c r="B3807" s="2"/>
      <c r="AA3807" s="3"/>
      <c r="AD3807" s="3"/>
      <c r="AG3807" s="3"/>
      <c r="AJ3807" s="3"/>
    </row>
    <row r="3808" spans="1:36" x14ac:dyDescent="0.25">
      <c r="A3808" s="1"/>
      <c r="B3808" s="2"/>
      <c r="AA3808" s="3"/>
      <c r="AD3808" s="3"/>
      <c r="AG3808" s="3"/>
      <c r="AJ3808" s="3"/>
    </row>
    <row r="3809" spans="1:36" x14ac:dyDescent="0.25">
      <c r="A3809" s="1"/>
      <c r="B3809" s="2"/>
      <c r="AA3809" s="3"/>
      <c r="AD3809" s="3"/>
      <c r="AG3809" s="3"/>
      <c r="AJ3809" s="3"/>
    </row>
    <row r="3810" spans="1:36" x14ac:dyDescent="0.25">
      <c r="A3810" s="1"/>
      <c r="B3810" s="2"/>
      <c r="AA3810" s="3"/>
      <c r="AD3810" s="3"/>
      <c r="AG3810" s="3"/>
      <c r="AJ3810" s="3"/>
    </row>
    <row r="3811" spans="1:36" x14ac:dyDescent="0.25">
      <c r="A3811" s="1"/>
      <c r="B3811" s="2"/>
      <c r="AA3811" s="3"/>
      <c r="AD3811" s="3"/>
      <c r="AG3811" s="3"/>
      <c r="AJ3811" s="3"/>
    </row>
    <row r="3812" spans="1:36" x14ac:dyDescent="0.25">
      <c r="A3812" s="1"/>
      <c r="B3812" s="2"/>
      <c r="AA3812" s="3"/>
      <c r="AD3812" s="3"/>
      <c r="AG3812" s="3"/>
      <c r="AJ3812" s="3"/>
    </row>
    <row r="3813" spans="1:36" x14ac:dyDescent="0.25">
      <c r="A3813" s="1"/>
      <c r="B3813" s="2"/>
      <c r="AA3813" s="3"/>
      <c r="AD3813" s="3"/>
      <c r="AG3813" s="3"/>
      <c r="AJ3813" s="3"/>
    </row>
    <row r="3814" spans="1:36" x14ac:dyDescent="0.25">
      <c r="A3814" s="1"/>
      <c r="B3814" s="2"/>
      <c r="AA3814" s="3"/>
      <c r="AD3814" s="3"/>
      <c r="AG3814" s="3"/>
      <c r="AJ3814" s="3"/>
    </row>
    <row r="3815" spans="1:36" x14ac:dyDescent="0.25">
      <c r="A3815" s="1"/>
      <c r="B3815" s="2"/>
      <c r="AA3815" s="3"/>
      <c r="AD3815" s="3"/>
      <c r="AG3815" s="3"/>
      <c r="AJ3815" s="3"/>
    </row>
    <row r="3816" spans="1:36" x14ac:dyDescent="0.25">
      <c r="A3816" s="1"/>
      <c r="B3816" s="2"/>
      <c r="AA3816" s="3"/>
      <c r="AD3816" s="3"/>
      <c r="AG3816" s="3"/>
      <c r="AJ3816" s="3"/>
    </row>
    <row r="3817" spans="1:36" x14ac:dyDescent="0.25">
      <c r="A3817" s="1"/>
      <c r="B3817" s="2"/>
      <c r="AA3817" s="3"/>
      <c r="AD3817" s="3"/>
      <c r="AG3817" s="3"/>
      <c r="AJ3817" s="3"/>
    </row>
    <row r="3818" spans="1:36" x14ac:dyDescent="0.25">
      <c r="A3818" s="1"/>
      <c r="B3818" s="2"/>
      <c r="AA3818" s="3"/>
      <c r="AD3818" s="3"/>
      <c r="AG3818" s="3"/>
      <c r="AJ3818" s="3"/>
    </row>
    <row r="3819" spans="1:36" x14ac:dyDescent="0.25">
      <c r="A3819" s="1"/>
      <c r="B3819" s="2"/>
      <c r="AA3819" s="3"/>
      <c r="AD3819" s="3"/>
      <c r="AG3819" s="3"/>
      <c r="AJ3819" s="3"/>
    </row>
    <row r="3820" spans="1:36" x14ac:dyDescent="0.25">
      <c r="A3820" s="1"/>
      <c r="B3820" s="2"/>
      <c r="AA3820" s="3"/>
      <c r="AD3820" s="3"/>
      <c r="AG3820" s="3"/>
      <c r="AJ3820" s="3"/>
    </row>
    <row r="3821" spans="1:36" x14ac:dyDescent="0.25">
      <c r="A3821" s="1"/>
      <c r="B3821" s="2"/>
      <c r="AA3821" s="3"/>
      <c r="AD3821" s="3"/>
      <c r="AG3821" s="3"/>
      <c r="AJ3821" s="3"/>
    </row>
    <row r="3822" spans="1:36" x14ac:dyDescent="0.25">
      <c r="A3822" s="1"/>
      <c r="B3822" s="2"/>
      <c r="AA3822" s="3"/>
      <c r="AD3822" s="3"/>
      <c r="AG3822" s="3"/>
      <c r="AJ3822" s="3"/>
    </row>
    <row r="3823" spans="1:36" x14ac:dyDescent="0.25">
      <c r="A3823" s="1"/>
      <c r="B3823" s="2"/>
      <c r="AA3823" s="3"/>
      <c r="AD3823" s="3"/>
      <c r="AG3823" s="3"/>
      <c r="AJ3823" s="3"/>
    </row>
    <row r="3824" spans="1:36" x14ac:dyDescent="0.25">
      <c r="A3824" s="1"/>
      <c r="B3824" s="2"/>
      <c r="AA3824" s="3"/>
      <c r="AD3824" s="3"/>
      <c r="AG3824" s="3"/>
      <c r="AJ3824" s="3"/>
    </row>
    <row r="3825" spans="1:36" x14ac:dyDescent="0.25">
      <c r="A3825" s="1"/>
      <c r="B3825" s="2"/>
      <c r="AA3825" s="3"/>
      <c r="AD3825" s="3"/>
      <c r="AG3825" s="3"/>
      <c r="AJ3825" s="3"/>
    </row>
    <row r="3826" spans="1:36" x14ac:dyDescent="0.25">
      <c r="A3826" s="1"/>
      <c r="B3826" s="2"/>
      <c r="AA3826" s="3"/>
      <c r="AD3826" s="3"/>
      <c r="AG3826" s="3"/>
      <c r="AJ3826" s="3"/>
    </row>
    <row r="3827" spans="1:36" x14ac:dyDescent="0.25">
      <c r="A3827" s="1"/>
      <c r="B3827" s="2"/>
      <c r="AA3827" s="3"/>
      <c r="AD3827" s="3"/>
      <c r="AG3827" s="3"/>
      <c r="AJ3827" s="3"/>
    </row>
    <row r="3828" spans="1:36" x14ac:dyDescent="0.25">
      <c r="A3828" s="1"/>
      <c r="B3828" s="2"/>
      <c r="AA3828" s="3"/>
      <c r="AD3828" s="3"/>
      <c r="AG3828" s="3"/>
      <c r="AJ3828" s="3"/>
    </row>
    <row r="3829" spans="1:36" x14ac:dyDescent="0.25">
      <c r="A3829" s="1"/>
      <c r="B3829" s="2"/>
      <c r="AA3829" s="3"/>
      <c r="AD3829" s="3"/>
      <c r="AG3829" s="3"/>
      <c r="AJ3829" s="3"/>
    </row>
    <row r="3830" spans="1:36" x14ac:dyDescent="0.25">
      <c r="A3830" s="1"/>
      <c r="B3830" s="2"/>
      <c r="AA3830" s="3"/>
      <c r="AD3830" s="3"/>
      <c r="AG3830" s="3"/>
      <c r="AJ3830" s="3"/>
    </row>
    <row r="3831" spans="1:36" x14ac:dyDescent="0.25">
      <c r="A3831" s="1"/>
      <c r="B3831" s="2"/>
      <c r="AA3831" s="3"/>
      <c r="AD3831" s="3"/>
      <c r="AG3831" s="3"/>
      <c r="AJ3831" s="3"/>
    </row>
    <row r="3832" spans="1:36" x14ac:dyDescent="0.25">
      <c r="A3832" s="1"/>
      <c r="B3832" s="2"/>
      <c r="AA3832" s="3"/>
      <c r="AD3832" s="3"/>
      <c r="AG3832" s="3"/>
      <c r="AJ3832" s="3"/>
    </row>
    <row r="3833" spans="1:36" x14ac:dyDescent="0.25">
      <c r="A3833" s="1"/>
      <c r="B3833" s="2"/>
      <c r="AA3833" s="3"/>
      <c r="AD3833" s="3"/>
      <c r="AG3833" s="3"/>
      <c r="AJ3833" s="3"/>
    </row>
    <row r="3834" spans="1:36" x14ac:dyDescent="0.25">
      <c r="A3834" s="1"/>
      <c r="B3834" s="2"/>
      <c r="AA3834" s="3"/>
      <c r="AD3834" s="3"/>
      <c r="AG3834" s="3"/>
      <c r="AJ3834" s="3"/>
    </row>
    <row r="3835" spans="1:36" x14ac:dyDescent="0.25">
      <c r="A3835" s="1"/>
      <c r="B3835" s="2"/>
      <c r="AA3835" s="3"/>
      <c r="AD3835" s="3"/>
      <c r="AG3835" s="3"/>
      <c r="AJ3835" s="3"/>
    </row>
    <row r="3836" spans="1:36" x14ac:dyDescent="0.25">
      <c r="A3836" s="1"/>
      <c r="B3836" s="2"/>
      <c r="AA3836" s="3"/>
      <c r="AD3836" s="3"/>
      <c r="AG3836" s="3"/>
      <c r="AJ3836" s="3"/>
    </row>
    <row r="3837" spans="1:36" x14ac:dyDescent="0.25">
      <c r="A3837" s="1"/>
      <c r="B3837" s="2"/>
      <c r="AA3837" s="3"/>
      <c r="AD3837" s="3"/>
      <c r="AG3837" s="3"/>
      <c r="AJ3837" s="3"/>
    </row>
    <row r="3838" spans="1:36" x14ac:dyDescent="0.25">
      <c r="A3838" s="1"/>
      <c r="B3838" s="2"/>
      <c r="AA3838" s="3"/>
      <c r="AD3838" s="3"/>
      <c r="AG3838" s="3"/>
      <c r="AJ3838" s="3"/>
    </row>
    <row r="3839" spans="1:36" x14ac:dyDescent="0.25">
      <c r="A3839" s="1"/>
      <c r="B3839" s="2"/>
      <c r="AA3839" s="3"/>
      <c r="AD3839" s="3"/>
      <c r="AG3839" s="3"/>
      <c r="AJ3839" s="3"/>
    </row>
    <row r="3840" spans="1:36" x14ac:dyDescent="0.25">
      <c r="A3840" s="1"/>
      <c r="B3840" s="2"/>
      <c r="AA3840" s="3"/>
      <c r="AD3840" s="3"/>
      <c r="AG3840" s="3"/>
      <c r="AJ3840" s="3"/>
    </row>
    <row r="3841" spans="1:36" x14ac:dyDescent="0.25">
      <c r="A3841" s="1"/>
      <c r="B3841" s="2"/>
      <c r="AA3841" s="3"/>
      <c r="AD3841" s="3"/>
      <c r="AG3841" s="3"/>
      <c r="AJ3841" s="3"/>
    </row>
    <row r="3842" spans="1:36" x14ac:dyDescent="0.25">
      <c r="A3842" s="1"/>
      <c r="B3842" s="2"/>
      <c r="AA3842" s="3"/>
      <c r="AD3842" s="3"/>
      <c r="AG3842" s="3"/>
      <c r="AJ3842" s="3"/>
    </row>
    <row r="3843" spans="1:36" x14ac:dyDescent="0.25">
      <c r="A3843" s="1"/>
      <c r="B3843" s="2"/>
      <c r="AA3843" s="3"/>
      <c r="AD3843" s="3"/>
      <c r="AG3843" s="3"/>
      <c r="AJ3843" s="3"/>
    </row>
    <row r="3844" spans="1:36" x14ac:dyDescent="0.25">
      <c r="A3844" s="1"/>
      <c r="B3844" s="2"/>
      <c r="AA3844" s="3"/>
      <c r="AD3844" s="3"/>
      <c r="AG3844" s="3"/>
      <c r="AJ3844" s="3"/>
    </row>
    <row r="3845" spans="1:36" x14ac:dyDescent="0.25">
      <c r="A3845" s="1"/>
      <c r="B3845" s="2"/>
      <c r="AA3845" s="3"/>
      <c r="AD3845" s="3"/>
      <c r="AG3845" s="3"/>
      <c r="AJ3845" s="3"/>
    </row>
    <row r="3846" spans="1:36" x14ac:dyDescent="0.25">
      <c r="A3846" s="1"/>
      <c r="B3846" s="2"/>
      <c r="AA3846" s="3"/>
      <c r="AD3846" s="3"/>
      <c r="AG3846" s="3"/>
      <c r="AJ3846" s="3"/>
    </row>
    <row r="3847" spans="1:36" x14ac:dyDescent="0.25">
      <c r="A3847" s="1"/>
      <c r="B3847" s="2"/>
      <c r="AA3847" s="3"/>
      <c r="AD3847" s="3"/>
      <c r="AG3847" s="3"/>
      <c r="AJ3847" s="3"/>
    </row>
    <row r="3848" spans="1:36" x14ac:dyDescent="0.25">
      <c r="A3848" s="1"/>
      <c r="B3848" s="2"/>
      <c r="AA3848" s="3"/>
      <c r="AD3848" s="3"/>
      <c r="AG3848" s="3"/>
      <c r="AJ3848" s="3"/>
    </row>
    <row r="3849" spans="1:36" x14ac:dyDescent="0.25">
      <c r="A3849" s="1"/>
      <c r="B3849" s="2"/>
      <c r="AA3849" s="3"/>
      <c r="AD3849" s="3"/>
      <c r="AG3849" s="3"/>
      <c r="AJ3849" s="3"/>
    </row>
    <row r="3850" spans="1:36" x14ac:dyDescent="0.25">
      <c r="A3850" s="1"/>
      <c r="B3850" s="2"/>
      <c r="AA3850" s="3"/>
      <c r="AD3850" s="3"/>
      <c r="AG3850" s="3"/>
      <c r="AJ3850" s="3"/>
    </row>
    <row r="3851" spans="1:36" x14ac:dyDescent="0.25">
      <c r="A3851" s="1"/>
      <c r="B3851" s="2"/>
      <c r="AA3851" s="3"/>
      <c r="AD3851" s="3"/>
      <c r="AG3851" s="3"/>
      <c r="AJ3851" s="3"/>
    </row>
    <row r="3852" spans="1:36" x14ac:dyDescent="0.25">
      <c r="A3852" s="1"/>
      <c r="B3852" s="2"/>
      <c r="AA3852" s="3"/>
      <c r="AD3852" s="3"/>
      <c r="AG3852" s="3"/>
      <c r="AJ3852" s="3"/>
    </row>
    <row r="3853" spans="1:36" x14ac:dyDescent="0.25">
      <c r="A3853" s="1"/>
      <c r="B3853" s="2"/>
      <c r="AA3853" s="3"/>
      <c r="AD3853" s="3"/>
      <c r="AG3853" s="3"/>
      <c r="AJ3853" s="3"/>
    </row>
    <row r="3854" spans="1:36" x14ac:dyDescent="0.25">
      <c r="A3854" s="1"/>
      <c r="B3854" s="2"/>
      <c r="AA3854" s="3"/>
      <c r="AD3854" s="3"/>
      <c r="AG3854" s="3"/>
      <c r="AJ3854" s="3"/>
    </row>
    <row r="3855" spans="1:36" x14ac:dyDescent="0.25">
      <c r="A3855" s="1"/>
      <c r="B3855" s="2"/>
      <c r="AA3855" s="3"/>
      <c r="AD3855" s="3"/>
      <c r="AG3855" s="3"/>
      <c r="AJ3855" s="3"/>
    </row>
    <row r="3856" spans="1:36" x14ac:dyDescent="0.25">
      <c r="A3856" s="1"/>
      <c r="B3856" s="2"/>
      <c r="AA3856" s="3"/>
      <c r="AD3856" s="3"/>
      <c r="AG3856" s="3"/>
      <c r="AJ3856" s="3"/>
    </row>
    <row r="3857" spans="1:36" x14ac:dyDescent="0.25">
      <c r="A3857" s="1"/>
      <c r="B3857" s="2"/>
      <c r="AA3857" s="3"/>
      <c r="AD3857" s="3"/>
      <c r="AG3857" s="3"/>
      <c r="AJ3857" s="3"/>
    </row>
    <row r="3858" spans="1:36" x14ac:dyDescent="0.25">
      <c r="A3858" s="1"/>
      <c r="B3858" s="2"/>
      <c r="AA3858" s="3"/>
      <c r="AD3858" s="3"/>
      <c r="AG3858" s="3"/>
      <c r="AJ3858" s="3"/>
    </row>
    <row r="3859" spans="1:36" x14ac:dyDescent="0.25">
      <c r="A3859" s="1"/>
      <c r="B3859" s="2"/>
      <c r="AA3859" s="3"/>
      <c r="AD3859" s="3"/>
      <c r="AG3859" s="3"/>
      <c r="AJ3859" s="3"/>
    </row>
    <row r="3860" spans="1:36" x14ac:dyDescent="0.25">
      <c r="A3860" s="1"/>
      <c r="B3860" s="2"/>
      <c r="AA3860" s="3"/>
      <c r="AD3860" s="3"/>
      <c r="AG3860" s="3"/>
      <c r="AJ3860" s="3"/>
    </row>
    <row r="3861" spans="1:36" x14ac:dyDescent="0.25">
      <c r="A3861" s="1"/>
      <c r="B3861" s="2"/>
      <c r="AA3861" s="3"/>
      <c r="AD3861" s="3"/>
      <c r="AG3861" s="3"/>
      <c r="AJ3861" s="3"/>
    </row>
    <row r="3862" spans="1:36" x14ac:dyDescent="0.25">
      <c r="A3862" s="1"/>
      <c r="B3862" s="2"/>
      <c r="AA3862" s="3"/>
      <c r="AD3862" s="3"/>
      <c r="AG3862" s="3"/>
      <c r="AJ3862" s="3"/>
    </row>
    <row r="3863" spans="1:36" x14ac:dyDescent="0.25">
      <c r="A3863" s="1"/>
      <c r="B3863" s="2"/>
      <c r="AA3863" s="3"/>
      <c r="AD3863" s="3"/>
      <c r="AG3863" s="3"/>
      <c r="AJ3863" s="3"/>
    </row>
    <row r="3864" spans="1:36" x14ac:dyDescent="0.25">
      <c r="A3864" s="1"/>
      <c r="B3864" s="2"/>
      <c r="AA3864" s="3"/>
      <c r="AD3864" s="3"/>
      <c r="AG3864" s="3"/>
      <c r="AJ3864" s="3"/>
    </row>
    <row r="3865" spans="1:36" x14ac:dyDescent="0.25">
      <c r="A3865" s="1"/>
      <c r="B3865" s="2"/>
      <c r="AA3865" s="3"/>
      <c r="AD3865" s="3"/>
      <c r="AG3865" s="3"/>
      <c r="AJ3865" s="3"/>
    </row>
    <row r="3866" spans="1:36" x14ac:dyDescent="0.25">
      <c r="A3866" s="1"/>
      <c r="B3866" s="2"/>
      <c r="AA3866" s="3"/>
      <c r="AD3866" s="3"/>
      <c r="AG3866" s="3"/>
      <c r="AJ3866" s="3"/>
    </row>
    <row r="3867" spans="1:36" x14ac:dyDescent="0.25">
      <c r="A3867" s="1"/>
      <c r="B3867" s="2"/>
      <c r="AA3867" s="3"/>
      <c r="AD3867" s="3"/>
      <c r="AG3867" s="3"/>
      <c r="AJ3867" s="3"/>
    </row>
    <row r="3868" spans="1:36" x14ac:dyDescent="0.25">
      <c r="A3868" s="1"/>
      <c r="B3868" s="2"/>
      <c r="AA3868" s="3"/>
      <c r="AD3868" s="3"/>
      <c r="AG3868" s="3"/>
      <c r="AJ3868" s="3"/>
    </row>
    <row r="3869" spans="1:36" x14ac:dyDescent="0.25">
      <c r="A3869" s="1"/>
      <c r="B3869" s="2"/>
      <c r="AA3869" s="3"/>
      <c r="AD3869" s="3"/>
      <c r="AG3869" s="3"/>
      <c r="AJ3869" s="3"/>
    </row>
    <row r="3870" spans="1:36" x14ac:dyDescent="0.25">
      <c r="A3870" s="1"/>
      <c r="B3870" s="2"/>
      <c r="AA3870" s="3"/>
      <c r="AD3870" s="3"/>
      <c r="AG3870" s="3"/>
      <c r="AJ3870" s="3"/>
    </row>
    <row r="3871" spans="1:36" x14ac:dyDescent="0.25">
      <c r="A3871" s="1"/>
      <c r="B3871" s="2"/>
      <c r="AA3871" s="3"/>
      <c r="AD3871" s="3"/>
      <c r="AG3871" s="3"/>
      <c r="AJ3871" s="3"/>
    </row>
    <row r="3872" spans="1:36" x14ac:dyDescent="0.25">
      <c r="A3872" s="1"/>
      <c r="B3872" s="2"/>
      <c r="AA3872" s="3"/>
      <c r="AD3872" s="3"/>
      <c r="AG3872" s="3"/>
      <c r="AJ3872" s="3"/>
    </row>
    <row r="3873" spans="1:36" x14ac:dyDescent="0.25">
      <c r="A3873" s="1"/>
      <c r="B3873" s="2"/>
      <c r="AA3873" s="3"/>
      <c r="AD3873" s="3"/>
      <c r="AG3873" s="3"/>
      <c r="AJ3873" s="3"/>
    </row>
    <row r="3874" spans="1:36" x14ac:dyDescent="0.25">
      <c r="A3874" s="1"/>
      <c r="B3874" s="2"/>
      <c r="AA3874" s="3"/>
      <c r="AD3874" s="3"/>
      <c r="AG3874" s="3"/>
      <c r="AJ3874" s="3"/>
    </row>
    <row r="3875" spans="1:36" x14ac:dyDescent="0.25">
      <c r="A3875" s="1"/>
      <c r="B3875" s="2"/>
      <c r="AA3875" s="3"/>
      <c r="AD3875" s="3"/>
      <c r="AG3875" s="3"/>
      <c r="AJ3875" s="3"/>
    </row>
    <row r="3876" spans="1:36" x14ac:dyDescent="0.25">
      <c r="A3876" s="1"/>
      <c r="B3876" s="2"/>
      <c r="AA3876" s="3"/>
      <c r="AD3876" s="3"/>
      <c r="AG3876" s="3"/>
      <c r="AJ3876" s="3"/>
    </row>
    <row r="3877" spans="1:36" x14ac:dyDescent="0.25">
      <c r="A3877" s="1"/>
      <c r="B3877" s="2"/>
      <c r="AA3877" s="3"/>
      <c r="AD3877" s="3"/>
      <c r="AG3877" s="3"/>
      <c r="AJ3877" s="3"/>
    </row>
    <row r="3878" spans="1:36" x14ac:dyDescent="0.25">
      <c r="A3878" s="1"/>
      <c r="B3878" s="2"/>
      <c r="AA3878" s="3"/>
      <c r="AD3878" s="3"/>
      <c r="AG3878" s="3"/>
      <c r="AJ3878" s="3"/>
    </row>
    <row r="3879" spans="1:36" x14ac:dyDescent="0.25">
      <c r="A3879" s="1"/>
      <c r="B3879" s="2"/>
      <c r="AA3879" s="3"/>
      <c r="AD3879" s="3"/>
      <c r="AG3879" s="3"/>
      <c r="AJ3879" s="3"/>
    </row>
    <row r="3880" spans="1:36" x14ac:dyDescent="0.25">
      <c r="A3880" s="1"/>
      <c r="B3880" s="2"/>
      <c r="AA3880" s="3"/>
      <c r="AD3880" s="3"/>
      <c r="AG3880" s="3"/>
      <c r="AJ3880" s="3"/>
    </row>
    <row r="3881" spans="1:36" x14ac:dyDescent="0.25">
      <c r="A3881" s="1"/>
      <c r="B3881" s="2"/>
      <c r="AA3881" s="3"/>
      <c r="AD3881" s="3"/>
      <c r="AG3881" s="3"/>
      <c r="AJ3881" s="3"/>
    </row>
    <row r="3882" spans="1:36" x14ac:dyDescent="0.25">
      <c r="A3882" s="1"/>
      <c r="B3882" s="2"/>
      <c r="AA3882" s="3"/>
      <c r="AD3882" s="3"/>
      <c r="AG3882" s="3"/>
      <c r="AJ3882" s="3"/>
    </row>
    <row r="3883" spans="1:36" x14ac:dyDescent="0.25">
      <c r="A3883" s="1"/>
      <c r="B3883" s="2"/>
      <c r="AA3883" s="3"/>
      <c r="AD3883" s="3"/>
      <c r="AG3883" s="3"/>
      <c r="AJ3883" s="3"/>
    </row>
    <row r="3884" spans="1:36" x14ac:dyDescent="0.25">
      <c r="A3884" s="1"/>
      <c r="B3884" s="2"/>
      <c r="AA3884" s="3"/>
      <c r="AD3884" s="3"/>
      <c r="AG3884" s="3"/>
      <c r="AJ3884" s="3"/>
    </row>
    <row r="3885" spans="1:36" x14ac:dyDescent="0.25">
      <c r="A3885" s="1"/>
      <c r="B3885" s="2"/>
      <c r="AA3885" s="3"/>
      <c r="AD3885" s="3"/>
      <c r="AG3885" s="3"/>
      <c r="AJ3885" s="3"/>
    </row>
    <row r="3886" spans="1:36" x14ac:dyDescent="0.25">
      <c r="A3886" s="1"/>
      <c r="B3886" s="2"/>
      <c r="AA3886" s="3"/>
      <c r="AD3886" s="3"/>
      <c r="AG3886" s="3"/>
      <c r="AJ3886" s="3"/>
    </row>
    <row r="3887" spans="1:36" x14ac:dyDescent="0.25">
      <c r="A3887" s="1"/>
      <c r="B3887" s="2"/>
      <c r="AA3887" s="3"/>
      <c r="AD3887" s="3"/>
      <c r="AG3887" s="3"/>
      <c r="AJ3887" s="3"/>
    </row>
    <row r="3888" spans="1:36" x14ac:dyDescent="0.25">
      <c r="A3888" s="1"/>
      <c r="B3888" s="2"/>
      <c r="AA3888" s="3"/>
      <c r="AD3888" s="3"/>
      <c r="AG3888" s="3"/>
      <c r="AJ3888" s="3"/>
    </row>
    <row r="3889" spans="1:36" x14ac:dyDescent="0.25">
      <c r="A3889" s="1"/>
      <c r="B3889" s="2"/>
      <c r="AA3889" s="3"/>
      <c r="AD3889" s="3"/>
      <c r="AG3889" s="3"/>
      <c r="AJ3889" s="3"/>
    </row>
    <row r="3890" spans="1:36" x14ac:dyDescent="0.25">
      <c r="A3890" s="1"/>
      <c r="B3890" s="2"/>
      <c r="AA3890" s="3"/>
      <c r="AD3890" s="3"/>
      <c r="AG3890" s="3"/>
      <c r="AJ3890" s="3"/>
    </row>
    <row r="3891" spans="1:36" x14ac:dyDescent="0.25">
      <c r="A3891" s="1"/>
      <c r="B3891" s="2"/>
      <c r="AA3891" s="3"/>
      <c r="AD3891" s="3"/>
      <c r="AG3891" s="3"/>
      <c r="AJ3891" s="3"/>
    </row>
    <row r="3892" spans="1:36" x14ac:dyDescent="0.25">
      <c r="A3892" s="1"/>
      <c r="B3892" s="2"/>
      <c r="AA3892" s="3"/>
      <c r="AD3892" s="3"/>
      <c r="AG3892" s="3"/>
      <c r="AJ3892" s="3"/>
    </row>
    <row r="3893" spans="1:36" x14ac:dyDescent="0.25">
      <c r="A3893" s="1"/>
      <c r="B3893" s="2"/>
      <c r="AA3893" s="3"/>
      <c r="AD3893" s="3"/>
      <c r="AG3893" s="3"/>
      <c r="AJ3893" s="3"/>
    </row>
    <row r="3894" spans="1:36" x14ac:dyDescent="0.25">
      <c r="A3894" s="1"/>
      <c r="B3894" s="2"/>
      <c r="AA3894" s="3"/>
      <c r="AD3894" s="3"/>
      <c r="AG3894" s="3"/>
      <c r="AJ3894" s="3"/>
    </row>
    <row r="3895" spans="1:36" x14ac:dyDescent="0.25">
      <c r="A3895" s="1"/>
      <c r="B3895" s="2"/>
      <c r="AA3895" s="3"/>
      <c r="AD3895" s="3"/>
      <c r="AG3895" s="3"/>
      <c r="AJ3895" s="3"/>
    </row>
    <row r="3896" spans="1:36" x14ac:dyDescent="0.25">
      <c r="A3896" s="1"/>
      <c r="B3896" s="2"/>
      <c r="AA3896" s="3"/>
      <c r="AD3896" s="3"/>
      <c r="AG3896" s="3"/>
      <c r="AJ3896" s="3"/>
    </row>
    <row r="3897" spans="1:36" x14ac:dyDescent="0.25">
      <c r="A3897" s="1"/>
      <c r="B3897" s="2"/>
      <c r="AA3897" s="3"/>
      <c r="AD3897" s="3"/>
      <c r="AG3897" s="3"/>
      <c r="AJ3897" s="3"/>
    </row>
    <row r="3898" spans="1:36" x14ac:dyDescent="0.25">
      <c r="A3898" s="1"/>
      <c r="B3898" s="2"/>
      <c r="AA3898" s="3"/>
      <c r="AD3898" s="3"/>
      <c r="AG3898" s="3"/>
      <c r="AJ3898" s="3"/>
    </row>
    <row r="3899" spans="1:36" x14ac:dyDescent="0.25">
      <c r="A3899" s="1"/>
      <c r="B3899" s="2"/>
      <c r="AA3899" s="3"/>
      <c r="AD3899" s="3"/>
      <c r="AG3899" s="3"/>
      <c r="AJ3899" s="3"/>
    </row>
    <row r="3900" spans="1:36" x14ac:dyDescent="0.25">
      <c r="A3900" s="1"/>
      <c r="B3900" s="2"/>
      <c r="AA3900" s="3"/>
      <c r="AD3900" s="3"/>
      <c r="AG3900" s="3"/>
      <c r="AJ3900" s="3"/>
    </row>
    <row r="3901" spans="1:36" x14ac:dyDescent="0.25">
      <c r="A3901" s="1"/>
      <c r="B3901" s="2"/>
      <c r="AA3901" s="3"/>
      <c r="AD3901" s="3"/>
      <c r="AG3901" s="3"/>
      <c r="AJ3901" s="3"/>
    </row>
    <row r="3902" spans="1:36" x14ac:dyDescent="0.25">
      <c r="A3902" s="1"/>
      <c r="B3902" s="2"/>
      <c r="AA3902" s="3"/>
      <c r="AD3902" s="3"/>
      <c r="AG3902" s="3"/>
      <c r="AJ3902" s="3"/>
    </row>
    <row r="3903" spans="1:36" x14ac:dyDescent="0.25">
      <c r="A3903" s="1"/>
      <c r="B3903" s="2"/>
      <c r="AA3903" s="3"/>
      <c r="AD3903" s="3"/>
      <c r="AG3903" s="3"/>
      <c r="AJ3903" s="3"/>
    </row>
    <row r="3904" spans="1:36" x14ac:dyDescent="0.25">
      <c r="A3904" s="1"/>
      <c r="B3904" s="2"/>
      <c r="AA3904" s="3"/>
      <c r="AD3904" s="3"/>
      <c r="AG3904" s="3"/>
      <c r="AJ3904" s="3"/>
    </row>
    <row r="3905" spans="1:36" x14ac:dyDescent="0.25">
      <c r="A3905" s="1"/>
      <c r="B3905" s="2"/>
      <c r="AA3905" s="3"/>
      <c r="AD3905" s="3"/>
      <c r="AG3905" s="3"/>
      <c r="AJ3905" s="3"/>
    </row>
    <row r="3906" spans="1:36" x14ac:dyDescent="0.25">
      <c r="A3906" s="1"/>
      <c r="B3906" s="2"/>
      <c r="AA3906" s="3"/>
      <c r="AD3906" s="3"/>
      <c r="AG3906" s="3"/>
      <c r="AJ3906" s="3"/>
    </row>
    <row r="3907" spans="1:36" x14ac:dyDescent="0.25">
      <c r="A3907" s="1"/>
      <c r="B3907" s="2"/>
      <c r="AA3907" s="3"/>
      <c r="AD3907" s="3"/>
      <c r="AG3907" s="3"/>
      <c r="AJ3907" s="3"/>
    </row>
    <row r="3908" spans="1:36" x14ac:dyDescent="0.25">
      <c r="A3908" s="1"/>
      <c r="B3908" s="2"/>
      <c r="AA3908" s="3"/>
      <c r="AD3908" s="3"/>
      <c r="AG3908" s="3"/>
      <c r="AJ3908" s="3"/>
    </row>
    <row r="3909" spans="1:36" x14ac:dyDescent="0.25">
      <c r="A3909" s="1"/>
      <c r="B3909" s="2"/>
      <c r="AA3909" s="3"/>
      <c r="AD3909" s="3"/>
      <c r="AG3909" s="3"/>
      <c r="AJ3909" s="3"/>
    </row>
    <row r="3910" spans="1:36" x14ac:dyDescent="0.25">
      <c r="A3910" s="1"/>
      <c r="B3910" s="2"/>
      <c r="AA3910" s="3"/>
      <c r="AD3910" s="3"/>
      <c r="AG3910" s="3"/>
      <c r="AJ3910" s="3"/>
    </row>
    <row r="3911" spans="1:36" x14ac:dyDescent="0.25">
      <c r="A3911" s="1"/>
      <c r="B3911" s="2"/>
      <c r="AA3911" s="3"/>
      <c r="AD3911" s="3"/>
      <c r="AG3911" s="3"/>
      <c r="AJ3911" s="3"/>
    </row>
    <row r="3912" spans="1:36" x14ac:dyDescent="0.25">
      <c r="A3912" s="1"/>
      <c r="B3912" s="2"/>
      <c r="AA3912" s="3"/>
      <c r="AD3912" s="3"/>
      <c r="AG3912" s="3"/>
      <c r="AJ3912" s="3"/>
    </row>
    <row r="3913" spans="1:36" x14ac:dyDescent="0.25">
      <c r="A3913" s="1"/>
      <c r="B3913" s="2"/>
      <c r="AA3913" s="3"/>
      <c r="AD3913" s="3"/>
      <c r="AG3913" s="3"/>
      <c r="AJ3913" s="3"/>
    </row>
    <row r="3914" spans="1:36" x14ac:dyDescent="0.25">
      <c r="A3914" s="1"/>
      <c r="B3914" s="2"/>
      <c r="AA3914" s="3"/>
      <c r="AD3914" s="3"/>
      <c r="AG3914" s="3"/>
      <c r="AJ3914" s="3"/>
    </row>
    <row r="3915" spans="1:36" x14ac:dyDescent="0.25">
      <c r="A3915" s="1"/>
      <c r="B3915" s="2"/>
      <c r="AA3915" s="3"/>
      <c r="AD3915" s="3"/>
      <c r="AG3915" s="3"/>
      <c r="AJ3915" s="3"/>
    </row>
    <row r="3916" spans="1:36" x14ac:dyDescent="0.25">
      <c r="A3916" s="1"/>
      <c r="B3916" s="2"/>
      <c r="AA3916" s="3"/>
      <c r="AD3916" s="3"/>
      <c r="AG3916" s="3"/>
      <c r="AJ3916" s="3"/>
    </row>
    <row r="3917" spans="1:36" x14ac:dyDescent="0.25">
      <c r="A3917" s="1"/>
      <c r="B3917" s="2"/>
      <c r="AA3917" s="3"/>
      <c r="AD3917" s="3"/>
      <c r="AG3917" s="3"/>
      <c r="AJ3917" s="3"/>
    </row>
    <row r="3918" spans="1:36" x14ac:dyDescent="0.25">
      <c r="A3918" s="1"/>
      <c r="B3918" s="2"/>
      <c r="AA3918" s="3"/>
      <c r="AD3918" s="3"/>
      <c r="AG3918" s="3"/>
      <c r="AJ3918" s="3"/>
    </row>
    <row r="3919" spans="1:36" x14ac:dyDescent="0.25">
      <c r="A3919" s="1"/>
      <c r="B3919" s="2"/>
      <c r="AA3919" s="3"/>
      <c r="AD3919" s="3"/>
      <c r="AG3919" s="3"/>
      <c r="AJ3919" s="3"/>
    </row>
    <row r="3920" spans="1:36" x14ac:dyDescent="0.25">
      <c r="A3920" s="1"/>
      <c r="B3920" s="2"/>
      <c r="AA3920" s="3"/>
      <c r="AD3920" s="3"/>
      <c r="AG3920" s="3"/>
      <c r="AJ3920" s="3"/>
    </row>
    <row r="3921" spans="1:36" x14ac:dyDescent="0.25">
      <c r="A3921" s="1"/>
      <c r="B3921" s="2"/>
      <c r="AA3921" s="3"/>
      <c r="AD3921" s="3"/>
      <c r="AG3921" s="3"/>
      <c r="AJ3921" s="3"/>
    </row>
    <row r="3922" spans="1:36" x14ac:dyDescent="0.25">
      <c r="A3922" s="1"/>
      <c r="B3922" s="2"/>
      <c r="AA3922" s="3"/>
      <c r="AD3922" s="3"/>
      <c r="AG3922" s="3"/>
      <c r="AJ3922" s="3"/>
    </row>
    <row r="3923" spans="1:36" x14ac:dyDescent="0.25">
      <c r="A3923" s="1"/>
      <c r="B3923" s="2"/>
      <c r="AA3923" s="3"/>
      <c r="AD3923" s="3"/>
      <c r="AG3923" s="3"/>
      <c r="AJ3923" s="3"/>
    </row>
    <row r="3924" spans="1:36" x14ac:dyDescent="0.25">
      <c r="A3924" s="1"/>
      <c r="B3924" s="2"/>
      <c r="AA3924" s="3"/>
      <c r="AD3924" s="3"/>
      <c r="AG3924" s="3"/>
      <c r="AJ3924" s="3"/>
    </row>
    <row r="3925" spans="1:36" x14ac:dyDescent="0.25">
      <c r="A3925" s="1"/>
      <c r="B3925" s="2"/>
      <c r="AA3925" s="3"/>
      <c r="AD3925" s="3"/>
      <c r="AG3925" s="3"/>
      <c r="AJ3925" s="3"/>
    </row>
    <row r="3926" spans="1:36" x14ac:dyDescent="0.25">
      <c r="A3926" s="1"/>
      <c r="B3926" s="2"/>
      <c r="AA3926" s="3"/>
      <c r="AD3926" s="3"/>
      <c r="AG3926" s="3"/>
      <c r="AJ3926" s="3"/>
    </row>
    <row r="3927" spans="1:36" x14ac:dyDescent="0.25">
      <c r="A3927" s="1"/>
      <c r="B3927" s="2"/>
      <c r="AA3927" s="3"/>
      <c r="AD3927" s="3"/>
      <c r="AG3927" s="3"/>
      <c r="AJ3927" s="3"/>
    </row>
    <row r="3928" spans="1:36" x14ac:dyDescent="0.25">
      <c r="A3928" s="1"/>
      <c r="B3928" s="2"/>
      <c r="AA3928" s="3"/>
      <c r="AD3928" s="3"/>
      <c r="AG3928" s="3"/>
      <c r="AJ3928" s="3"/>
    </row>
    <row r="3929" spans="1:36" x14ac:dyDescent="0.25">
      <c r="A3929" s="1"/>
      <c r="B3929" s="2"/>
      <c r="AA3929" s="3"/>
      <c r="AD3929" s="3"/>
      <c r="AG3929" s="3"/>
      <c r="AJ3929" s="3"/>
    </row>
    <row r="3930" spans="1:36" x14ac:dyDescent="0.25">
      <c r="A3930" s="1"/>
      <c r="B3930" s="2"/>
      <c r="AA3930" s="3"/>
      <c r="AD3930" s="3"/>
      <c r="AG3930" s="3"/>
      <c r="AJ3930" s="3"/>
    </row>
    <row r="3931" spans="1:36" x14ac:dyDescent="0.25">
      <c r="A3931" s="1"/>
      <c r="B3931" s="2"/>
      <c r="AA3931" s="3"/>
      <c r="AD3931" s="3"/>
      <c r="AG3931" s="3"/>
      <c r="AJ3931" s="3"/>
    </row>
    <row r="3932" spans="1:36" x14ac:dyDescent="0.25">
      <c r="A3932" s="1"/>
      <c r="B3932" s="2"/>
      <c r="AA3932" s="3"/>
      <c r="AD3932" s="3"/>
      <c r="AG3932" s="3"/>
      <c r="AJ3932" s="3"/>
    </row>
    <row r="3933" spans="1:36" x14ac:dyDescent="0.25">
      <c r="A3933" s="1"/>
      <c r="B3933" s="2"/>
      <c r="AA3933" s="3"/>
      <c r="AD3933" s="3"/>
      <c r="AG3933" s="3"/>
      <c r="AJ3933" s="3"/>
    </row>
    <row r="3934" spans="1:36" x14ac:dyDescent="0.25">
      <c r="A3934" s="1"/>
      <c r="B3934" s="2"/>
      <c r="AA3934" s="3"/>
      <c r="AD3934" s="3"/>
      <c r="AG3934" s="3"/>
      <c r="AJ3934" s="3"/>
    </row>
    <row r="3935" spans="1:36" x14ac:dyDescent="0.25">
      <c r="A3935" s="1"/>
      <c r="B3935" s="2"/>
      <c r="AA3935" s="3"/>
      <c r="AD3935" s="3"/>
      <c r="AG3935" s="3"/>
      <c r="AJ3935" s="3"/>
    </row>
    <row r="3936" spans="1:36" x14ac:dyDescent="0.25">
      <c r="A3936" s="1"/>
      <c r="B3936" s="2"/>
      <c r="AA3936" s="3"/>
      <c r="AD3936" s="3"/>
      <c r="AG3936" s="3"/>
      <c r="AJ3936" s="3"/>
    </row>
    <row r="3937" spans="1:36" x14ac:dyDescent="0.25">
      <c r="A3937" s="1"/>
      <c r="B3937" s="2"/>
      <c r="AA3937" s="3"/>
      <c r="AD3937" s="3"/>
      <c r="AG3937" s="3"/>
      <c r="AJ3937" s="3"/>
    </row>
    <row r="3938" spans="1:36" x14ac:dyDescent="0.25">
      <c r="A3938" s="1"/>
      <c r="B3938" s="2"/>
      <c r="AA3938" s="3"/>
      <c r="AD3938" s="3"/>
      <c r="AG3938" s="3"/>
      <c r="AJ3938" s="3"/>
    </row>
    <row r="3939" spans="1:36" x14ac:dyDescent="0.25">
      <c r="A3939" s="1"/>
      <c r="B3939" s="2"/>
      <c r="AA3939" s="3"/>
      <c r="AD3939" s="3"/>
      <c r="AG3939" s="3"/>
      <c r="AJ3939" s="3"/>
    </row>
    <row r="3940" spans="1:36" x14ac:dyDescent="0.25">
      <c r="A3940" s="1"/>
      <c r="B3940" s="2"/>
      <c r="AA3940" s="3"/>
      <c r="AD3940" s="3"/>
      <c r="AG3940" s="3"/>
      <c r="AJ3940" s="3"/>
    </row>
    <row r="3941" spans="1:36" x14ac:dyDescent="0.25">
      <c r="A3941" s="1"/>
      <c r="B3941" s="2"/>
      <c r="AA3941" s="3"/>
      <c r="AD3941" s="3"/>
      <c r="AG3941" s="3"/>
      <c r="AJ3941" s="3"/>
    </row>
    <row r="3942" spans="1:36" x14ac:dyDescent="0.25">
      <c r="A3942" s="1"/>
      <c r="B3942" s="2"/>
      <c r="AA3942" s="3"/>
      <c r="AD3942" s="3"/>
      <c r="AG3942" s="3"/>
      <c r="AJ3942" s="3"/>
    </row>
    <row r="3943" spans="1:36" x14ac:dyDescent="0.25">
      <c r="A3943" s="1"/>
      <c r="B3943" s="2"/>
      <c r="AA3943" s="3"/>
      <c r="AD3943" s="3"/>
      <c r="AG3943" s="3"/>
      <c r="AJ3943" s="3"/>
    </row>
    <row r="3944" spans="1:36" x14ac:dyDescent="0.25">
      <c r="A3944" s="1"/>
      <c r="B3944" s="2"/>
      <c r="AA3944" s="3"/>
      <c r="AD3944" s="3"/>
      <c r="AG3944" s="3"/>
      <c r="AJ3944" s="3"/>
    </row>
    <row r="3945" spans="1:36" x14ac:dyDescent="0.25">
      <c r="A3945" s="1"/>
      <c r="B3945" s="2"/>
      <c r="AA3945" s="3"/>
      <c r="AD3945" s="3"/>
      <c r="AG3945" s="3"/>
      <c r="AJ3945" s="3"/>
    </row>
    <row r="3946" spans="1:36" x14ac:dyDescent="0.25">
      <c r="A3946" s="1"/>
      <c r="B3946" s="2"/>
      <c r="AA3946" s="3"/>
      <c r="AD3946" s="3"/>
      <c r="AG3946" s="3"/>
      <c r="AJ3946" s="3"/>
    </row>
    <row r="3947" spans="1:36" x14ac:dyDescent="0.25">
      <c r="A3947" s="1"/>
      <c r="B3947" s="2"/>
      <c r="AA3947" s="3"/>
      <c r="AD3947" s="3"/>
      <c r="AG3947" s="3"/>
      <c r="AJ3947" s="3"/>
    </row>
    <row r="3948" spans="1:36" x14ac:dyDescent="0.25">
      <c r="A3948" s="1"/>
      <c r="B3948" s="2"/>
      <c r="AA3948" s="3"/>
      <c r="AD3948" s="3"/>
      <c r="AG3948" s="3"/>
      <c r="AJ3948" s="3"/>
    </row>
    <row r="3949" spans="1:36" x14ac:dyDescent="0.25">
      <c r="A3949" s="1"/>
      <c r="B3949" s="2"/>
      <c r="AA3949" s="3"/>
      <c r="AD3949" s="3"/>
      <c r="AG3949" s="3"/>
      <c r="AJ3949" s="3"/>
    </row>
    <row r="3950" spans="1:36" x14ac:dyDescent="0.25">
      <c r="A3950" s="1"/>
      <c r="B3950" s="2"/>
      <c r="AA3950" s="3"/>
      <c r="AD3950" s="3"/>
      <c r="AG3950" s="3"/>
      <c r="AJ3950" s="3"/>
    </row>
    <row r="3951" spans="1:36" x14ac:dyDescent="0.25">
      <c r="A3951" s="1"/>
      <c r="B3951" s="2"/>
      <c r="AA3951" s="3"/>
      <c r="AD3951" s="3"/>
      <c r="AG3951" s="3"/>
      <c r="AJ3951" s="3"/>
    </row>
    <row r="3952" spans="1:36" x14ac:dyDescent="0.25">
      <c r="A3952" s="1"/>
      <c r="B3952" s="2"/>
      <c r="AA3952" s="3"/>
      <c r="AD3952" s="3"/>
      <c r="AG3952" s="3"/>
      <c r="AJ3952" s="3"/>
    </row>
    <row r="3953" spans="1:36" x14ac:dyDescent="0.25">
      <c r="A3953" s="1"/>
      <c r="B3953" s="2"/>
      <c r="AA3953" s="3"/>
      <c r="AD3953" s="3"/>
      <c r="AG3953" s="3"/>
      <c r="AJ3953" s="3"/>
    </row>
    <row r="3954" spans="1:36" x14ac:dyDescent="0.25">
      <c r="A3954" s="1"/>
      <c r="B3954" s="2"/>
      <c r="AA3954" s="3"/>
      <c r="AD3954" s="3"/>
      <c r="AG3954" s="3"/>
      <c r="AJ3954" s="3"/>
    </row>
    <row r="3955" spans="1:36" x14ac:dyDescent="0.25">
      <c r="A3955" s="1"/>
      <c r="B3955" s="2"/>
      <c r="AA3955" s="3"/>
      <c r="AD3955" s="3"/>
      <c r="AG3955" s="3"/>
      <c r="AJ3955" s="3"/>
    </row>
    <row r="3956" spans="1:36" x14ac:dyDescent="0.25">
      <c r="A3956" s="1"/>
      <c r="B3956" s="2"/>
      <c r="AA3956" s="3"/>
      <c r="AD3956" s="3"/>
      <c r="AG3956" s="3"/>
      <c r="AJ3956" s="3"/>
    </row>
    <row r="3957" spans="1:36" x14ac:dyDescent="0.25">
      <c r="A3957" s="1"/>
      <c r="B3957" s="2"/>
      <c r="AA3957" s="3"/>
      <c r="AD3957" s="3"/>
      <c r="AG3957" s="3"/>
      <c r="AJ3957" s="3"/>
    </row>
    <row r="3958" spans="1:36" x14ac:dyDescent="0.25">
      <c r="A3958" s="1"/>
      <c r="B3958" s="2"/>
      <c r="AA3958" s="3"/>
      <c r="AD3958" s="3"/>
      <c r="AG3958" s="3"/>
      <c r="AJ3958" s="3"/>
    </row>
    <row r="3959" spans="1:36" x14ac:dyDescent="0.25">
      <c r="A3959" s="1"/>
      <c r="B3959" s="2"/>
      <c r="AA3959" s="3"/>
      <c r="AD3959" s="3"/>
      <c r="AG3959" s="3"/>
      <c r="AJ3959" s="3"/>
    </row>
    <row r="3960" spans="1:36" x14ac:dyDescent="0.25">
      <c r="A3960" s="1"/>
      <c r="B3960" s="2"/>
      <c r="AA3960" s="3"/>
      <c r="AD3960" s="3"/>
      <c r="AG3960" s="3"/>
      <c r="AJ3960" s="3"/>
    </row>
    <row r="3961" spans="1:36" x14ac:dyDescent="0.25">
      <c r="A3961" s="1"/>
      <c r="B3961" s="2"/>
      <c r="AA3961" s="3"/>
      <c r="AD3961" s="3"/>
      <c r="AG3961" s="3"/>
      <c r="AJ3961" s="3"/>
    </row>
    <row r="3962" spans="1:36" x14ac:dyDescent="0.25">
      <c r="A3962" s="1"/>
      <c r="B3962" s="2"/>
      <c r="AA3962" s="3"/>
      <c r="AD3962" s="3"/>
      <c r="AG3962" s="3"/>
      <c r="AJ3962" s="3"/>
    </row>
    <row r="3963" spans="1:36" x14ac:dyDescent="0.25">
      <c r="A3963" s="1"/>
      <c r="B3963" s="2"/>
      <c r="AA3963" s="3"/>
      <c r="AD3963" s="3"/>
      <c r="AG3963" s="3"/>
      <c r="AJ3963" s="3"/>
    </row>
    <row r="3964" spans="1:36" x14ac:dyDescent="0.25">
      <c r="A3964" s="1"/>
      <c r="B3964" s="2"/>
      <c r="AA3964" s="3"/>
      <c r="AD3964" s="3"/>
      <c r="AG3964" s="3"/>
      <c r="AJ3964" s="3"/>
    </row>
    <row r="3965" spans="1:36" x14ac:dyDescent="0.25">
      <c r="A3965" s="1"/>
      <c r="B3965" s="2"/>
      <c r="AA3965" s="3"/>
      <c r="AD3965" s="3"/>
      <c r="AG3965" s="3"/>
      <c r="AJ3965" s="3"/>
    </row>
    <row r="3966" spans="1:36" x14ac:dyDescent="0.25">
      <c r="A3966" s="1"/>
      <c r="B3966" s="2"/>
      <c r="AA3966" s="3"/>
      <c r="AD3966" s="3"/>
      <c r="AG3966" s="3"/>
      <c r="AJ3966" s="3"/>
    </row>
    <row r="3967" spans="1:36" x14ac:dyDescent="0.25">
      <c r="A3967" s="1"/>
      <c r="B3967" s="2"/>
      <c r="AA3967" s="3"/>
      <c r="AD3967" s="3"/>
      <c r="AG3967" s="3"/>
      <c r="AJ3967" s="3"/>
    </row>
    <row r="3968" spans="1:36" x14ac:dyDescent="0.25">
      <c r="A3968" s="1"/>
      <c r="B3968" s="2"/>
      <c r="AA3968" s="3"/>
      <c r="AD3968" s="3"/>
      <c r="AG3968" s="3"/>
      <c r="AJ3968" s="3"/>
    </row>
    <row r="3969" spans="1:36" x14ac:dyDescent="0.25">
      <c r="A3969" s="1"/>
      <c r="B3969" s="2"/>
      <c r="AA3969" s="3"/>
      <c r="AD3969" s="3"/>
      <c r="AG3969" s="3"/>
      <c r="AJ3969" s="3"/>
    </row>
    <row r="3970" spans="1:36" x14ac:dyDescent="0.25">
      <c r="A3970" s="1"/>
      <c r="B3970" s="2"/>
      <c r="AA3970" s="3"/>
      <c r="AD3970" s="3"/>
      <c r="AG3970" s="3"/>
      <c r="AJ3970" s="3"/>
    </row>
    <row r="3971" spans="1:36" x14ac:dyDescent="0.25">
      <c r="A3971" s="1"/>
      <c r="B3971" s="2"/>
      <c r="AA3971" s="3"/>
      <c r="AD3971" s="3"/>
      <c r="AG3971" s="3"/>
      <c r="AJ3971" s="3"/>
    </row>
    <row r="3972" spans="1:36" x14ac:dyDescent="0.25">
      <c r="A3972" s="1"/>
      <c r="B3972" s="2"/>
      <c r="AA3972" s="3"/>
      <c r="AD3972" s="3"/>
      <c r="AG3972" s="3"/>
      <c r="AJ3972" s="3"/>
    </row>
    <row r="3973" spans="1:36" x14ac:dyDescent="0.25">
      <c r="A3973" s="1"/>
      <c r="B3973" s="2"/>
      <c r="AA3973" s="3"/>
      <c r="AD3973" s="3"/>
      <c r="AG3973" s="3"/>
      <c r="AJ3973" s="3"/>
    </row>
    <row r="3974" spans="1:36" x14ac:dyDescent="0.25">
      <c r="A3974" s="1"/>
      <c r="B3974" s="2"/>
      <c r="AA3974" s="3"/>
      <c r="AD3974" s="3"/>
      <c r="AG3974" s="3"/>
      <c r="AJ3974" s="3"/>
    </row>
    <row r="3975" spans="1:36" x14ac:dyDescent="0.25">
      <c r="A3975" s="1"/>
      <c r="B3975" s="2"/>
      <c r="AA3975" s="3"/>
      <c r="AD3975" s="3"/>
      <c r="AG3975" s="3"/>
      <c r="AJ3975" s="3"/>
    </row>
    <row r="3976" spans="1:36" x14ac:dyDescent="0.25">
      <c r="A3976" s="1"/>
      <c r="B3976" s="2"/>
      <c r="AA3976" s="3"/>
      <c r="AD3976" s="3"/>
      <c r="AG3976" s="3"/>
      <c r="AJ3976" s="3"/>
    </row>
    <row r="3977" spans="1:36" x14ac:dyDescent="0.25">
      <c r="A3977" s="1"/>
      <c r="B3977" s="2"/>
      <c r="AA3977" s="3"/>
      <c r="AD3977" s="3"/>
      <c r="AG3977" s="3"/>
      <c r="AJ3977" s="3"/>
    </row>
    <row r="3978" spans="1:36" x14ac:dyDescent="0.25">
      <c r="A3978" s="1"/>
      <c r="B3978" s="2"/>
      <c r="AA3978" s="3"/>
      <c r="AD3978" s="3"/>
      <c r="AG3978" s="3"/>
      <c r="AJ3978" s="3"/>
    </row>
    <row r="3979" spans="1:36" x14ac:dyDescent="0.25">
      <c r="A3979" s="1"/>
      <c r="B3979" s="2"/>
      <c r="AA3979" s="3"/>
      <c r="AD3979" s="3"/>
      <c r="AG3979" s="3"/>
      <c r="AJ3979" s="3"/>
    </row>
    <row r="3980" spans="1:36" x14ac:dyDescent="0.25">
      <c r="A3980" s="1"/>
      <c r="B3980" s="2"/>
      <c r="AA3980" s="3"/>
      <c r="AD3980" s="3"/>
      <c r="AG3980" s="3"/>
      <c r="AJ3980" s="3"/>
    </row>
    <row r="3981" spans="1:36" x14ac:dyDescent="0.25">
      <c r="A3981" s="1"/>
      <c r="B3981" s="2"/>
      <c r="AA3981" s="3"/>
      <c r="AD3981" s="3"/>
      <c r="AG3981" s="3"/>
      <c r="AJ3981" s="3"/>
    </row>
    <row r="3982" spans="1:36" x14ac:dyDescent="0.25">
      <c r="A3982" s="1"/>
      <c r="B3982" s="2"/>
      <c r="AA3982" s="3"/>
      <c r="AD3982" s="3"/>
      <c r="AG3982" s="3"/>
      <c r="AJ3982" s="3"/>
    </row>
    <row r="3983" spans="1:36" x14ac:dyDescent="0.25">
      <c r="A3983" s="1"/>
      <c r="B3983" s="2"/>
      <c r="AA3983" s="3"/>
      <c r="AD3983" s="3"/>
      <c r="AG3983" s="3"/>
      <c r="AJ3983" s="3"/>
    </row>
    <row r="3984" spans="1:36" x14ac:dyDescent="0.25">
      <c r="A3984" s="1"/>
      <c r="B3984" s="2"/>
      <c r="AA3984" s="3"/>
      <c r="AD3984" s="3"/>
      <c r="AG3984" s="3"/>
      <c r="AJ3984" s="3"/>
    </row>
    <row r="3985" spans="1:36" x14ac:dyDescent="0.25">
      <c r="A3985" s="1"/>
      <c r="B3985" s="2"/>
      <c r="AA3985" s="3"/>
      <c r="AD3985" s="3"/>
      <c r="AG3985" s="3"/>
      <c r="AJ3985" s="3"/>
    </row>
    <row r="3986" spans="1:36" x14ac:dyDescent="0.25">
      <c r="A3986" s="1"/>
      <c r="B3986" s="2"/>
      <c r="AA3986" s="3"/>
      <c r="AD3986" s="3"/>
      <c r="AG3986" s="3"/>
      <c r="AJ3986" s="3"/>
    </row>
    <row r="3987" spans="1:36" x14ac:dyDescent="0.25">
      <c r="A3987" s="1"/>
      <c r="B3987" s="2"/>
      <c r="AA3987" s="3"/>
      <c r="AD3987" s="3"/>
      <c r="AG3987" s="3"/>
      <c r="AJ3987" s="3"/>
    </row>
    <row r="3988" spans="1:36" x14ac:dyDescent="0.25">
      <c r="A3988" s="1"/>
      <c r="B3988" s="2"/>
      <c r="AA3988" s="3"/>
      <c r="AD3988" s="3"/>
      <c r="AG3988" s="3"/>
      <c r="AJ3988" s="3"/>
    </row>
    <row r="3989" spans="1:36" x14ac:dyDescent="0.25">
      <c r="A3989" s="1"/>
      <c r="B3989" s="2"/>
      <c r="AA3989" s="3"/>
      <c r="AD3989" s="3"/>
      <c r="AG3989" s="3"/>
      <c r="AJ3989" s="3"/>
    </row>
    <row r="3990" spans="1:36" x14ac:dyDescent="0.25">
      <c r="A3990" s="1"/>
      <c r="B3990" s="2"/>
      <c r="AA3990" s="3"/>
      <c r="AD3990" s="3"/>
      <c r="AG3990" s="3"/>
      <c r="AJ3990" s="3"/>
    </row>
    <row r="3991" spans="1:36" x14ac:dyDescent="0.25">
      <c r="A3991" s="1"/>
      <c r="B3991" s="2"/>
      <c r="AA3991" s="3"/>
      <c r="AD3991" s="3"/>
      <c r="AG3991" s="3"/>
      <c r="AJ3991" s="3"/>
    </row>
    <row r="3992" spans="1:36" x14ac:dyDescent="0.25">
      <c r="A3992" s="1"/>
      <c r="B3992" s="2"/>
      <c r="AA3992" s="3"/>
      <c r="AD3992" s="3"/>
      <c r="AG3992" s="3"/>
      <c r="AJ3992" s="3"/>
    </row>
    <row r="3993" spans="1:36" x14ac:dyDescent="0.25">
      <c r="A3993" s="1"/>
      <c r="B3993" s="2"/>
      <c r="AA3993" s="3"/>
      <c r="AD3993" s="3"/>
      <c r="AG3993" s="3"/>
      <c r="AJ3993" s="3"/>
    </row>
    <row r="3994" spans="1:36" x14ac:dyDescent="0.25">
      <c r="A3994" s="1"/>
      <c r="B3994" s="2"/>
      <c r="AA3994" s="3"/>
      <c r="AD3994" s="3"/>
      <c r="AG3994" s="3"/>
      <c r="AJ3994" s="3"/>
    </row>
    <row r="3995" spans="1:36" x14ac:dyDescent="0.25">
      <c r="A3995" s="1"/>
      <c r="B3995" s="2"/>
      <c r="AA3995" s="3"/>
      <c r="AD3995" s="3"/>
      <c r="AG3995" s="3"/>
      <c r="AJ3995" s="3"/>
    </row>
    <row r="3996" spans="1:36" x14ac:dyDescent="0.25">
      <c r="A3996" s="1"/>
      <c r="B3996" s="2"/>
      <c r="AA3996" s="3"/>
      <c r="AD3996" s="3"/>
      <c r="AG3996" s="3"/>
      <c r="AJ3996" s="3"/>
    </row>
    <row r="3997" spans="1:36" x14ac:dyDescent="0.25">
      <c r="A3997" s="1"/>
      <c r="B3997" s="2"/>
      <c r="AA3997" s="3"/>
      <c r="AD3997" s="3"/>
      <c r="AG3997" s="3"/>
      <c r="AJ3997" s="3"/>
    </row>
    <row r="3998" spans="1:36" x14ac:dyDescent="0.25">
      <c r="A3998" s="1"/>
      <c r="B3998" s="2"/>
      <c r="AA3998" s="3"/>
      <c r="AD3998" s="3"/>
      <c r="AG3998" s="3"/>
      <c r="AJ3998" s="3"/>
    </row>
    <row r="3999" spans="1:36" x14ac:dyDescent="0.25">
      <c r="A3999" s="1"/>
      <c r="B3999" s="2"/>
      <c r="AA3999" s="3"/>
      <c r="AD3999" s="3"/>
      <c r="AG3999" s="3"/>
      <c r="AJ3999" s="3"/>
    </row>
    <row r="4000" spans="1:36" x14ac:dyDescent="0.25">
      <c r="A4000" s="1"/>
      <c r="B4000" s="2"/>
      <c r="AA4000" s="3"/>
      <c r="AD4000" s="3"/>
      <c r="AG4000" s="3"/>
      <c r="AJ4000" s="3"/>
    </row>
    <row r="4001" spans="1:36" x14ac:dyDescent="0.25">
      <c r="A4001" s="1"/>
      <c r="B4001" s="2"/>
      <c r="AA4001" s="3"/>
      <c r="AD4001" s="3"/>
      <c r="AG4001" s="3"/>
      <c r="AJ4001" s="3"/>
    </row>
    <row r="4002" spans="1:36" x14ac:dyDescent="0.25">
      <c r="A4002" s="1"/>
      <c r="B4002" s="2"/>
      <c r="AA4002" s="3"/>
      <c r="AD4002" s="3"/>
      <c r="AG4002" s="3"/>
      <c r="AJ4002" s="3"/>
    </row>
    <row r="4003" spans="1:36" x14ac:dyDescent="0.25">
      <c r="A4003" s="1"/>
      <c r="B4003" s="2"/>
      <c r="AA4003" s="3"/>
      <c r="AD4003" s="3"/>
      <c r="AG4003" s="3"/>
      <c r="AJ4003" s="3"/>
    </row>
    <row r="4004" spans="1:36" x14ac:dyDescent="0.25">
      <c r="A4004" s="1"/>
      <c r="B4004" s="2"/>
      <c r="AA4004" s="3"/>
      <c r="AD4004" s="3"/>
      <c r="AG4004" s="3"/>
      <c r="AJ4004" s="3"/>
    </row>
    <row r="4005" spans="1:36" x14ac:dyDescent="0.25">
      <c r="A4005" s="1"/>
      <c r="B4005" s="2"/>
      <c r="AA4005" s="3"/>
      <c r="AD4005" s="3"/>
      <c r="AG4005" s="3"/>
      <c r="AJ4005" s="3"/>
    </row>
    <row r="4006" spans="1:36" x14ac:dyDescent="0.25">
      <c r="A4006" s="1"/>
      <c r="B4006" s="2"/>
      <c r="AA4006" s="3"/>
      <c r="AD4006" s="3"/>
      <c r="AG4006" s="3"/>
      <c r="AJ4006" s="3"/>
    </row>
    <row r="4007" spans="1:36" x14ac:dyDescent="0.25">
      <c r="A4007" s="1"/>
      <c r="B4007" s="2"/>
      <c r="AA4007" s="3"/>
      <c r="AD4007" s="3"/>
      <c r="AG4007" s="3"/>
      <c r="AJ4007" s="3"/>
    </row>
    <row r="4008" spans="1:36" x14ac:dyDescent="0.25">
      <c r="A4008" s="1"/>
      <c r="B4008" s="2"/>
      <c r="AA4008" s="3"/>
      <c r="AD4008" s="3"/>
      <c r="AG4008" s="3"/>
      <c r="AJ4008" s="3"/>
    </row>
    <row r="4009" spans="1:36" x14ac:dyDescent="0.25">
      <c r="A4009" s="1"/>
      <c r="B4009" s="2"/>
      <c r="AA4009" s="3"/>
      <c r="AD4009" s="3"/>
      <c r="AG4009" s="3"/>
      <c r="AJ4009" s="3"/>
    </row>
    <row r="4010" spans="1:36" x14ac:dyDescent="0.25">
      <c r="A4010" s="1"/>
      <c r="B4010" s="2"/>
      <c r="AA4010" s="3"/>
      <c r="AD4010" s="3"/>
      <c r="AG4010" s="3"/>
      <c r="AJ4010" s="3"/>
    </row>
    <row r="4011" spans="1:36" x14ac:dyDescent="0.25">
      <c r="A4011" s="1"/>
      <c r="B4011" s="2"/>
      <c r="AA4011" s="3"/>
      <c r="AD4011" s="3"/>
      <c r="AG4011" s="3"/>
      <c r="AJ4011" s="3"/>
    </row>
    <row r="4012" spans="1:36" x14ac:dyDescent="0.25">
      <c r="A4012" s="1"/>
      <c r="B4012" s="2"/>
      <c r="AA4012" s="3"/>
      <c r="AD4012" s="3"/>
      <c r="AG4012" s="3"/>
      <c r="AJ4012" s="3"/>
    </row>
    <row r="4013" spans="1:36" x14ac:dyDescent="0.25">
      <c r="A4013" s="1"/>
      <c r="B4013" s="2"/>
      <c r="AA4013" s="3"/>
      <c r="AD4013" s="3"/>
      <c r="AG4013" s="3"/>
      <c r="AJ4013" s="3"/>
    </row>
    <row r="4014" spans="1:36" x14ac:dyDescent="0.25">
      <c r="A4014" s="1"/>
      <c r="B4014" s="2"/>
      <c r="AA4014" s="3"/>
      <c r="AD4014" s="3"/>
      <c r="AG4014" s="3"/>
      <c r="AJ4014" s="3"/>
    </row>
    <row r="4015" spans="1:36" x14ac:dyDescent="0.25">
      <c r="A4015" s="1"/>
      <c r="B4015" s="2"/>
      <c r="AA4015" s="3"/>
      <c r="AD4015" s="3"/>
      <c r="AG4015" s="3"/>
      <c r="AJ4015" s="3"/>
    </row>
    <row r="4016" spans="1:36" x14ac:dyDescent="0.25">
      <c r="A4016" s="1"/>
      <c r="B4016" s="2"/>
      <c r="AA4016" s="3"/>
      <c r="AD4016" s="3"/>
      <c r="AG4016" s="3"/>
      <c r="AJ4016" s="3"/>
    </row>
    <row r="4017" spans="1:36" x14ac:dyDescent="0.25">
      <c r="A4017" s="1"/>
      <c r="B4017" s="2"/>
      <c r="AA4017" s="3"/>
      <c r="AD4017" s="3"/>
      <c r="AG4017" s="3"/>
      <c r="AJ4017" s="3"/>
    </row>
    <row r="4018" spans="1:36" x14ac:dyDescent="0.25">
      <c r="A4018" s="1"/>
      <c r="B4018" s="2"/>
      <c r="AA4018" s="3"/>
      <c r="AD4018" s="3"/>
      <c r="AG4018" s="3"/>
      <c r="AJ4018" s="3"/>
    </row>
    <row r="4019" spans="1:36" x14ac:dyDescent="0.25">
      <c r="A4019" s="1"/>
      <c r="B4019" s="2"/>
      <c r="AA4019" s="3"/>
      <c r="AD4019" s="3"/>
      <c r="AG4019" s="3"/>
      <c r="AJ4019" s="3"/>
    </row>
    <row r="4020" spans="1:36" x14ac:dyDescent="0.25">
      <c r="A4020" s="1"/>
      <c r="B4020" s="2"/>
      <c r="AA4020" s="3"/>
      <c r="AD4020" s="3"/>
      <c r="AG4020" s="3"/>
      <c r="AJ4020" s="3"/>
    </row>
    <row r="4021" spans="1:36" x14ac:dyDescent="0.25">
      <c r="A4021" s="1"/>
      <c r="B4021" s="2"/>
      <c r="AA4021" s="3"/>
      <c r="AD4021" s="3"/>
      <c r="AG4021" s="3"/>
      <c r="AJ4021" s="3"/>
    </row>
    <row r="4022" spans="1:36" x14ac:dyDescent="0.25">
      <c r="A4022" s="1"/>
      <c r="B4022" s="2"/>
      <c r="AA4022" s="3"/>
      <c r="AD4022" s="3"/>
      <c r="AG4022" s="3"/>
      <c r="AJ4022" s="3"/>
    </row>
    <row r="4023" spans="1:36" x14ac:dyDescent="0.25">
      <c r="A4023" s="1"/>
      <c r="B4023" s="2"/>
      <c r="AA4023" s="3"/>
      <c r="AD4023" s="3"/>
      <c r="AG4023" s="3"/>
      <c r="AJ4023" s="3"/>
    </row>
    <row r="4024" spans="1:36" x14ac:dyDescent="0.25">
      <c r="A4024" s="1"/>
      <c r="B4024" s="2"/>
      <c r="AA4024" s="3"/>
      <c r="AD4024" s="3"/>
      <c r="AG4024" s="3"/>
      <c r="AJ4024" s="3"/>
    </row>
    <row r="4025" spans="1:36" x14ac:dyDescent="0.25">
      <c r="A4025" s="1"/>
      <c r="B4025" s="2"/>
      <c r="AA4025" s="3"/>
      <c r="AD4025" s="3"/>
      <c r="AG4025" s="3"/>
      <c r="AJ4025" s="3"/>
    </row>
    <row r="4026" spans="1:36" x14ac:dyDescent="0.25">
      <c r="A4026" s="1"/>
      <c r="B4026" s="2"/>
      <c r="AA4026" s="3"/>
      <c r="AD4026" s="3"/>
      <c r="AG4026" s="3"/>
      <c r="AJ4026" s="3"/>
    </row>
    <row r="4027" spans="1:36" x14ac:dyDescent="0.25">
      <c r="A4027" s="1"/>
      <c r="B4027" s="2"/>
      <c r="AA4027" s="3"/>
      <c r="AD4027" s="3"/>
      <c r="AG4027" s="3"/>
      <c r="AJ4027" s="3"/>
    </row>
    <row r="4028" spans="1:36" x14ac:dyDescent="0.25">
      <c r="A4028" s="1"/>
      <c r="B4028" s="2"/>
      <c r="AA4028" s="3"/>
      <c r="AD4028" s="3"/>
      <c r="AG4028" s="3"/>
      <c r="AJ4028" s="3"/>
    </row>
    <row r="4029" spans="1:36" x14ac:dyDescent="0.25">
      <c r="A4029" s="1"/>
      <c r="B4029" s="2"/>
      <c r="AA4029" s="3"/>
      <c r="AD4029" s="3"/>
      <c r="AG4029" s="3"/>
      <c r="AJ4029" s="3"/>
    </row>
    <row r="4030" spans="1:36" x14ac:dyDescent="0.25">
      <c r="A4030" s="1"/>
      <c r="B4030" s="2"/>
      <c r="AA4030" s="3"/>
      <c r="AD4030" s="3"/>
      <c r="AG4030" s="3"/>
      <c r="AJ4030" s="3"/>
    </row>
    <row r="4031" spans="1:36" x14ac:dyDescent="0.25">
      <c r="A4031" s="1"/>
      <c r="B4031" s="2"/>
      <c r="AA4031" s="3"/>
      <c r="AD4031" s="3"/>
      <c r="AG4031" s="3"/>
      <c r="AJ4031" s="3"/>
    </row>
    <row r="4032" spans="1:36" x14ac:dyDescent="0.25">
      <c r="A4032" s="1"/>
      <c r="B4032" s="2"/>
      <c r="AA4032" s="3"/>
      <c r="AD4032" s="3"/>
      <c r="AG4032" s="3"/>
      <c r="AJ4032" s="3"/>
    </row>
    <row r="4033" spans="1:36" x14ac:dyDescent="0.25">
      <c r="A4033" s="1"/>
      <c r="B4033" s="2"/>
      <c r="AA4033" s="3"/>
      <c r="AD4033" s="3"/>
      <c r="AG4033" s="3"/>
      <c r="AJ4033" s="3"/>
    </row>
    <row r="4034" spans="1:36" x14ac:dyDescent="0.25">
      <c r="A4034" s="1"/>
      <c r="B4034" s="2"/>
      <c r="AA4034" s="3"/>
      <c r="AD4034" s="3"/>
      <c r="AG4034" s="3"/>
      <c r="AJ4034" s="3"/>
    </row>
    <row r="4035" spans="1:36" x14ac:dyDescent="0.25">
      <c r="A4035" s="1"/>
      <c r="B4035" s="2"/>
      <c r="AA4035" s="3"/>
      <c r="AD4035" s="3"/>
      <c r="AG4035" s="3"/>
      <c r="AJ4035" s="3"/>
    </row>
    <row r="4036" spans="1:36" x14ac:dyDescent="0.25">
      <c r="A4036" s="1"/>
      <c r="B4036" s="2"/>
      <c r="AA4036" s="3"/>
      <c r="AD4036" s="3"/>
      <c r="AG4036" s="3"/>
      <c r="AJ4036" s="3"/>
    </row>
    <row r="4037" spans="1:36" x14ac:dyDescent="0.25">
      <c r="A4037" s="1"/>
      <c r="B4037" s="2"/>
      <c r="AA4037" s="3"/>
      <c r="AD4037" s="3"/>
      <c r="AG4037" s="3"/>
      <c r="AJ4037" s="3"/>
    </row>
    <row r="4038" spans="1:36" x14ac:dyDescent="0.25">
      <c r="A4038" s="1"/>
      <c r="B4038" s="2"/>
      <c r="AA4038" s="3"/>
      <c r="AD4038" s="3"/>
      <c r="AG4038" s="3"/>
      <c r="AJ4038" s="3"/>
    </row>
    <row r="4039" spans="1:36" x14ac:dyDescent="0.25">
      <c r="A4039" s="1"/>
      <c r="B4039" s="2"/>
      <c r="AA4039" s="3"/>
      <c r="AD4039" s="3"/>
      <c r="AG4039" s="3"/>
      <c r="AJ4039" s="3"/>
    </row>
    <row r="4040" spans="1:36" x14ac:dyDescent="0.25">
      <c r="A4040" s="1"/>
      <c r="B4040" s="2"/>
      <c r="AA4040" s="3"/>
      <c r="AD4040" s="3"/>
      <c r="AG4040" s="3"/>
      <c r="AJ4040" s="3"/>
    </row>
    <row r="4041" spans="1:36" x14ac:dyDescent="0.25">
      <c r="A4041" s="1"/>
      <c r="B4041" s="2"/>
      <c r="AA4041" s="3"/>
      <c r="AD4041" s="3"/>
      <c r="AG4041" s="3"/>
      <c r="AJ4041" s="3"/>
    </row>
    <row r="4042" spans="1:36" x14ac:dyDescent="0.25">
      <c r="A4042" s="1"/>
      <c r="B4042" s="2"/>
      <c r="AA4042" s="3"/>
      <c r="AD4042" s="3"/>
      <c r="AG4042" s="3"/>
      <c r="AJ4042" s="3"/>
    </row>
    <row r="4043" spans="1:36" x14ac:dyDescent="0.25">
      <c r="A4043" s="1"/>
      <c r="B4043" s="2"/>
      <c r="AA4043" s="3"/>
      <c r="AD4043" s="3"/>
      <c r="AG4043" s="3"/>
      <c r="AJ4043" s="3"/>
    </row>
    <row r="4044" spans="1:36" x14ac:dyDescent="0.25">
      <c r="A4044" s="1"/>
      <c r="B4044" s="2"/>
      <c r="AA4044" s="3"/>
      <c r="AD4044" s="3"/>
      <c r="AG4044" s="3"/>
      <c r="AJ4044" s="3"/>
    </row>
    <row r="4045" spans="1:36" x14ac:dyDescent="0.25">
      <c r="A4045" s="1"/>
      <c r="B4045" s="2"/>
      <c r="AA4045" s="3"/>
      <c r="AD4045" s="3"/>
      <c r="AG4045" s="3"/>
      <c r="AJ4045" s="3"/>
    </row>
    <row r="4046" spans="1:36" x14ac:dyDescent="0.25">
      <c r="A4046" s="1"/>
      <c r="B4046" s="2"/>
      <c r="AA4046" s="3"/>
      <c r="AD4046" s="3"/>
      <c r="AG4046" s="3"/>
      <c r="AJ4046" s="3"/>
    </row>
    <row r="4047" spans="1:36" x14ac:dyDescent="0.25">
      <c r="A4047" s="1"/>
      <c r="B4047" s="2"/>
      <c r="AA4047" s="3"/>
      <c r="AD4047" s="3"/>
      <c r="AG4047" s="3"/>
      <c r="AJ4047" s="3"/>
    </row>
    <row r="4048" spans="1:36" x14ac:dyDescent="0.25">
      <c r="A4048" s="1"/>
      <c r="B4048" s="2"/>
      <c r="AA4048" s="3"/>
      <c r="AD4048" s="3"/>
      <c r="AG4048" s="3"/>
      <c r="AJ4048" s="3"/>
    </row>
    <row r="4049" spans="1:36" x14ac:dyDescent="0.25">
      <c r="A4049" s="1"/>
      <c r="B4049" s="2"/>
      <c r="AA4049" s="3"/>
      <c r="AD4049" s="3"/>
      <c r="AG4049" s="3"/>
      <c r="AJ4049" s="3"/>
    </row>
    <row r="4050" spans="1:36" x14ac:dyDescent="0.25">
      <c r="A4050" s="1"/>
      <c r="B4050" s="2"/>
      <c r="AA4050" s="3"/>
      <c r="AD4050" s="3"/>
      <c r="AG4050" s="3"/>
      <c r="AJ4050" s="3"/>
    </row>
    <row r="4051" spans="1:36" x14ac:dyDescent="0.25">
      <c r="A4051" s="1"/>
      <c r="B4051" s="2"/>
      <c r="AA4051" s="3"/>
      <c r="AD4051" s="3"/>
      <c r="AG4051" s="3"/>
      <c r="AJ4051" s="3"/>
    </row>
    <row r="4052" spans="1:36" x14ac:dyDescent="0.25">
      <c r="A4052" s="1"/>
      <c r="B4052" s="2"/>
      <c r="AA4052" s="3"/>
      <c r="AD4052" s="3"/>
      <c r="AG4052" s="3"/>
      <c r="AJ4052" s="3"/>
    </row>
    <row r="4053" spans="1:36" x14ac:dyDescent="0.25">
      <c r="A4053" s="1"/>
      <c r="B4053" s="2"/>
      <c r="AA4053" s="3"/>
      <c r="AD4053" s="3"/>
      <c r="AG4053" s="3"/>
      <c r="AJ4053" s="3"/>
    </row>
    <row r="4054" spans="1:36" x14ac:dyDescent="0.25">
      <c r="A4054" s="1"/>
      <c r="B4054" s="2"/>
      <c r="AA4054" s="3"/>
      <c r="AD4054" s="3"/>
      <c r="AG4054" s="3"/>
      <c r="AJ4054" s="3"/>
    </row>
    <row r="4055" spans="1:36" x14ac:dyDescent="0.25">
      <c r="A4055" s="1"/>
      <c r="B4055" s="2"/>
      <c r="AA4055" s="3"/>
      <c r="AD4055" s="3"/>
      <c r="AG4055" s="3"/>
      <c r="AJ4055" s="3"/>
    </row>
    <row r="4056" spans="1:36" x14ac:dyDescent="0.25">
      <c r="A4056" s="1"/>
      <c r="B4056" s="2"/>
      <c r="AA4056" s="3"/>
      <c r="AD4056" s="3"/>
      <c r="AG4056" s="3"/>
      <c r="AJ4056" s="3"/>
    </row>
    <row r="4057" spans="1:36" x14ac:dyDescent="0.25">
      <c r="A4057" s="1"/>
      <c r="B4057" s="2"/>
      <c r="AA4057" s="3"/>
      <c r="AD4057" s="3"/>
      <c r="AG4057" s="3"/>
      <c r="AJ4057" s="3"/>
    </row>
    <row r="4058" spans="1:36" x14ac:dyDescent="0.25">
      <c r="A4058" s="1"/>
      <c r="B4058" s="2"/>
      <c r="AA4058" s="3"/>
      <c r="AD4058" s="3"/>
      <c r="AG4058" s="3"/>
      <c r="AJ4058" s="3"/>
    </row>
    <row r="4059" spans="1:36" x14ac:dyDescent="0.25">
      <c r="A4059" s="1"/>
      <c r="B4059" s="2"/>
      <c r="AA4059" s="3"/>
      <c r="AD4059" s="3"/>
      <c r="AG4059" s="3"/>
      <c r="AJ4059" s="3"/>
    </row>
    <row r="4060" spans="1:36" x14ac:dyDescent="0.25">
      <c r="A4060" s="1"/>
      <c r="B4060" s="2"/>
      <c r="AA4060" s="3"/>
      <c r="AD4060" s="3"/>
      <c r="AG4060" s="3"/>
      <c r="AJ4060" s="3"/>
    </row>
    <row r="4061" spans="1:36" x14ac:dyDescent="0.25">
      <c r="A4061" s="1"/>
      <c r="B4061" s="2"/>
      <c r="AA4061" s="3"/>
      <c r="AD4061" s="3"/>
      <c r="AG4061" s="3"/>
      <c r="AJ4061" s="3"/>
    </row>
    <row r="4062" spans="1:36" x14ac:dyDescent="0.25">
      <c r="A4062" s="1"/>
      <c r="B4062" s="2"/>
      <c r="AA4062" s="3"/>
      <c r="AD4062" s="3"/>
      <c r="AG4062" s="3"/>
      <c r="AJ4062" s="3"/>
    </row>
    <row r="4063" spans="1:36" x14ac:dyDescent="0.25">
      <c r="A4063" s="1"/>
      <c r="B4063" s="2"/>
      <c r="AA4063" s="3"/>
      <c r="AD4063" s="3"/>
      <c r="AG4063" s="3"/>
      <c r="AJ4063" s="3"/>
    </row>
    <row r="4064" spans="1:36" x14ac:dyDescent="0.25">
      <c r="A4064" s="1"/>
      <c r="B4064" s="2"/>
      <c r="AA4064" s="3"/>
      <c r="AD4064" s="3"/>
      <c r="AG4064" s="3"/>
      <c r="AJ4064" s="3"/>
    </row>
    <row r="4065" spans="1:36" x14ac:dyDescent="0.25">
      <c r="A4065" s="1"/>
      <c r="B4065" s="2"/>
      <c r="AA4065" s="3"/>
      <c r="AD4065" s="3"/>
      <c r="AG4065" s="3"/>
      <c r="AJ4065" s="3"/>
    </row>
    <row r="4066" spans="1:36" x14ac:dyDescent="0.25">
      <c r="A4066" s="1"/>
      <c r="B4066" s="2"/>
      <c r="AA4066" s="3"/>
      <c r="AD4066" s="3"/>
      <c r="AG4066" s="3"/>
      <c r="AJ4066" s="3"/>
    </row>
    <row r="4067" spans="1:36" x14ac:dyDescent="0.25">
      <c r="A4067" s="1"/>
      <c r="B4067" s="2"/>
      <c r="AA4067" s="3"/>
      <c r="AD4067" s="3"/>
      <c r="AG4067" s="3"/>
      <c r="AJ4067" s="3"/>
    </row>
    <row r="4068" spans="1:36" x14ac:dyDescent="0.25">
      <c r="A4068" s="1"/>
      <c r="B4068" s="2"/>
      <c r="AA4068" s="3"/>
      <c r="AD4068" s="3"/>
      <c r="AG4068" s="3"/>
      <c r="AJ4068" s="3"/>
    </row>
    <row r="4069" spans="1:36" x14ac:dyDescent="0.25">
      <c r="A4069" s="1"/>
      <c r="B4069" s="2"/>
      <c r="AA4069" s="3"/>
      <c r="AD4069" s="3"/>
      <c r="AG4069" s="3"/>
      <c r="AJ4069" s="3"/>
    </row>
    <row r="4070" spans="1:36" x14ac:dyDescent="0.25">
      <c r="A4070" s="1"/>
      <c r="B4070" s="2"/>
      <c r="AA4070" s="3"/>
      <c r="AD4070" s="3"/>
      <c r="AG4070" s="3"/>
      <c r="AJ4070" s="3"/>
    </row>
    <row r="4071" spans="1:36" x14ac:dyDescent="0.25">
      <c r="A4071" s="1"/>
      <c r="B4071" s="2"/>
      <c r="AA4071" s="3"/>
      <c r="AD4071" s="3"/>
      <c r="AG4071" s="3"/>
      <c r="AJ4071" s="3"/>
    </row>
    <row r="4072" spans="1:36" x14ac:dyDescent="0.25">
      <c r="A4072" s="1"/>
      <c r="B4072" s="2"/>
      <c r="AA4072" s="3"/>
      <c r="AD4072" s="3"/>
      <c r="AG4072" s="3"/>
      <c r="AJ4072" s="3"/>
    </row>
    <row r="4073" spans="1:36" x14ac:dyDescent="0.25">
      <c r="A4073" s="1"/>
      <c r="B4073" s="2"/>
      <c r="AA4073" s="3"/>
      <c r="AD4073" s="3"/>
      <c r="AG4073" s="3"/>
      <c r="AJ4073" s="3"/>
    </row>
    <row r="4074" spans="1:36" x14ac:dyDescent="0.25">
      <c r="A4074" s="1"/>
      <c r="B4074" s="2"/>
      <c r="AA4074" s="3"/>
      <c r="AD4074" s="3"/>
      <c r="AG4074" s="3"/>
      <c r="AJ4074" s="3"/>
    </row>
    <row r="4075" spans="1:36" x14ac:dyDescent="0.25">
      <c r="A4075" s="1"/>
      <c r="B4075" s="2"/>
      <c r="AA4075" s="3"/>
      <c r="AD4075" s="3"/>
      <c r="AG4075" s="3"/>
      <c r="AJ4075" s="3"/>
    </row>
    <row r="4076" spans="1:36" x14ac:dyDescent="0.25">
      <c r="A4076" s="1"/>
      <c r="B4076" s="2"/>
      <c r="AA4076" s="3"/>
      <c r="AD4076" s="3"/>
      <c r="AG4076" s="3"/>
      <c r="AJ4076" s="3"/>
    </row>
    <row r="4077" spans="1:36" x14ac:dyDescent="0.25">
      <c r="A4077" s="1"/>
      <c r="B4077" s="2"/>
      <c r="AA4077" s="3"/>
      <c r="AD4077" s="3"/>
      <c r="AG4077" s="3"/>
      <c r="AJ4077" s="3"/>
    </row>
    <row r="4078" spans="1:36" x14ac:dyDescent="0.25">
      <c r="A4078" s="1"/>
      <c r="B4078" s="2"/>
      <c r="AA4078" s="3"/>
      <c r="AD4078" s="3"/>
      <c r="AG4078" s="3"/>
      <c r="AJ4078" s="3"/>
    </row>
    <row r="4079" spans="1:36" x14ac:dyDescent="0.25">
      <c r="A4079" s="1"/>
      <c r="B4079" s="2"/>
      <c r="AA4079" s="3"/>
      <c r="AD4079" s="3"/>
      <c r="AG4079" s="3"/>
      <c r="AJ4079" s="3"/>
    </row>
    <row r="4080" spans="1:36" x14ac:dyDescent="0.25">
      <c r="A4080" s="1"/>
      <c r="B4080" s="2"/>
      <c r="AA4080" s="3"/>
      <c r="AD4080" s="3"/>
      <c r="AG4080" s="3"/>
      <c r="AJ4080" s="3"/>
    </row>
    <row r="4081" spans="1:36" x14ac:dyDescent="0.25">
      <c r="A4081" s="1"/>
      <c r="B4081" s="2"/>
      <c r="AA4081" s="3"/>
      <c r="AD4081" s="3"/>
      <c r="AG4081" s="3"/>
      <c r="AJ4081" s="3"/>
    </row>
    <row r="4082" spans="1:36" x14ac:dyDescent="0.25">
      <c r="A4082" s="1"/>
      <c r="B4082" s="2"/>
      <c r="AA4082" s="3"/>
      <c r="AD4082" s="3"/>
      <c r="AG4082" s="3"/>
      <c r="AJ4082" s="3"/>
    </row>
    <row r="4083" spans="1:36" x14ac:dyDescent="0.25">
      <c r="A4083" s="1"/>
      <c r="B4083" s="2"/>
      <c r="AA4083" s="3"/>
      <c r="AD4083" s="3"/>
      <c r="AG4083" s="3"/>
      <c r="AJ4083" s="3"/>
    </row>
    <row r="4084" spans="1:36" x14ac:dyDescent="0.25">
      <c r="A4084" s="1"/>
      <c r="B4084" s="2"/>
      <c r="AA4084" s="3"/>
      <c r="AD4084" s="3"/>
      <c r="AG4084" s="3"/>
      <c r="AJ4084" s="3"/>
    </row>
    <row r="4085" spans="1:36" x14ac:dyDescent="0.25">
      <c r="A4085" s="1"/>
      <c r="B4085" s="2"/>
      <c r="AA4085" s="3"/>
      <c r="AD4085" s="3"/>
      <c r="AG4085" s="3"/>
      <c r="AJ4085" s="3"/>
    </row>
    <row r="4086" spans="1:36" x14ac:dyDescent="0.25">
      <c r="A4086" s="1"/>
      <c r="B4086" s="2"/>
      <c r="AA4086" s="3"/>
      <c r="AD4086" s="3"/>
      <c r="AG4086" s="3"/>
      <c r="AJ4086" s="3"/>
    </row>
    <row r="4087" spans="1:36" x14ac:dyDescent="0.25">
      <c r="A4087" s="1"/>
      <c r="B4087" s="2"/>
      <c r="AA4087" s="3"/>
      <c r="AD4087" s="3"/>
      <c r="AG4087" s="3"/>
      <c r="AJ4087" s="3"/>
    </row>
    <row r="4088" spans="1:36" x14ac:dyDescent="0.25">
      <c r="A4088" s="1"/>
      <c r="B4088" s="2"/>
      <c r="AA4088" s="3"/>
      <c r="AD4088" s="3"/>
      <c r="AG4088" s="3"/>
      <c r="AJ4088" s="3"/>
    </row>
    <row r="4089" spans="1:36" x14ac:dyDescent="0.25">
      <c r="A4089" s="1"/>
      <c r="B4089" s="2"/>
      <c r="AA4089" s="3"/>
      <c r="AD4089" s="3"/>
      <c r="AG4089" s="3"/>
      <c r="AJ4089" s="3"/>
    </row>
    <row r="4090" spans="1:36" x14ac:dyDescent="0.25">
      <c r="A4090" s="1"/>
      <c r="B4090" s="2"/>
      <c r="AA4090" s="3"/>
      <c r="AD4090" s="3"/>
      <c r="AG4090" s="3"/>
      <c r="AJ4090" s="3"/>
    </row>
    <row r="4091" spans="1:36" x14ac:dyDescent="0.25">
      <c r="A4091" s="1"/>
      <c r="B4091" s="2"/>
      <c r="AA4091" s="3"/>
      <c r="AD4091" s="3"/>
      <c r="AG4091" s="3"/>
      <c r="AJ4091" s="3"/>
    </row>
    <row r="4092" spans="1:36" x14ac:dyDescent="0.25">
      <c r="A4092" s="1"/>
      <c r="B4092" s="2"/>
      <c r="AA4092" s="3"/>
      <c r="AD4092" s="3"/>
      <c r="AG4092" s="3"/>
      <c r="AJ4092" s="3"/>
    </row>
    <row r="4093" spans="1:36" x14ac:dyDescent="0.25">
      <c r="A4093" s="1"/>
      <c r="B4093" s="2"/>
      <c r="AA4093" s="3"/>
      <c r="AD4093" s="3"/>
      <c r="AG4093" s="3"/>
      <c r="AJ4093" s="3"/>
    </row>
    <row r="4094" spans="1:36" x14ac:dyDescent="0.25">
      <c r="A4094" s="1"/>
      <c r="B4094" s="2"/>
      <c r="AA4094" s="3"/>
      <c r="AD4094" s="3"/>
      <c r="AG4094" s="3"/>
      <c r="AJ4094" s="3"/>
    </row>
    <row r="4095" spans="1:36" x14ac:dyDescent="0.25">
      <c r="A4095" s="1"/>
      <c r="B4095" s="2"/>
      <c r="AA4095" s="3"/>
      <c r="AD4095" s="3"/>
      <c r="AG4095" s="3"/>
      <c r="AJ4095" s="3"/>
    </row>
    <row r="4096" spans="1:36" x14ac:dyDescent="0.25">
      <c r="A4096" s="1"/>
      <c r="B4096" s="2"/>
      <c r="AA4096" s="3"/>
      <c r="AD4096" s="3"/>
      <c r="AG4096" s="3"/>
      <c r="AJ4096" s="3"/>
    </row>
    <row r="4097" spans="1:36" x14ac:dyDescent="0.25">
      <c r="A4097" s="1"/>
      <c r="B4097" s="2"/>
      <c r="AA4097" s="3"/>
      <c r="AD4097" s="3"/>
      <c r="AG4097" s="3"/>
      <c r="AJ4097" s="3"/>
    </row>
    <row r="4098" spans="1:36" x14ac:dyDescent="0.25">
      <c r="A4098" s="1"/>
      <c r="B4098" s="2"/>
      <c r="AA4098" s="3"/>
      <c r="AD4098" s="3"/>
      <c r="AG4098" s="3"/>
      <c r="AJ4098" s="3"/>
    </row>
    <row r="4099" spans="1:36" x14ac:dyDescent="0.25">
      <c r="A4099" s="1"/>
      <c r="B4099" s="2"/>
      <c r="AA4099" s="3"/>
      <c r="AD4099" s="3"/>
      <c r="AG4099" s="3"/>
      <c r="AJ4099" s="3"/>
    </row>
    <row r="4100" spans="1:36" x14ac:dyDescent="0.25">
      <c r="A4100" s="1"/>
      <c r="B4100" s="2"/>
      <c r="AA4100" s="3"/>
      <c r="AD4100" s="3"/>
      <c r="AG4100" s="3"/>
      <c r="AJ4100" s="3"/>
    </row>
    <row r="4101" spans="1:36" x14ac:dyDescent="0.25">
      <c r="A4101" s="1"/>
      <c r="B4101" s="2"/>
      <c r="AA4101" s="3"/>
      <c r="AD4101" s="3"/>
      <c r="AG4101" s="3"/>
      <c r="AJ4101" s="3"/>
    </row>
    <row r="4102" spans="1:36" x14ac:dyDescent="0.25">
      <c r="A4102" s="1"/>
      <c r="B4102" s="2"/>
      <c r="AA4102" s="3"/>
      <c r="AD4102" s="3"/>
      <c r="AG4102" s="3"/>
      <c r="AJ4102" s="3"/>
    </row>
    <row r="4103" spans="1:36" x14ac:dyDescent="0.25">
      <c r="A4103" s="1"/>
      <c r="B4103" s="2"/>
      <c r="AA4103" s="3"/>
      <c r="AD4103" s="3"/>
      <c r="AG4103" s="3"/>
      <c r="AJ4103" s="3"/>
    </row>
    <row r="4104" spans="1:36" x14ac:dyDescent="0.25">
      <c r="A4104" s="1"/>
      <c r="B4104" s="2"/>
      <c r="AA4104" s="3"/>
      <c r="AD4104" s="3"/>
      <c r="AG4104" s="3"/>
      <c r="AJ4104" s="3"/>
    </row>
    <row r="4105" spans="1:36" x14ac:dyDescent="0.25">
      <c r="A4105" s="1"/>
      <c r="B4105" s="2"/>
      <c r="AA4105" s="3"/>
      <c r="AD4105" s="3"/>
      <c r="AG4105" s="3"/>
      <c r="AJ4105" s="3"/>
    </row>
    <row r="4106" spans="1:36" x14ac:dyDescent="0.25">
      <c r="A4106" s="1"/>
      <c r="B4106" s="2"/>
      <c r="AA4106" s="3"/>
      <c r="AD4106" s="3"/>
      <c r="AG4106" s="3"/>
      <c r="AJ4106" s="3"/>
    </row>
    <row r="4107" spans="1:36" x14ac:dyDescent="0.25">
      <c r="A4107" s="1"/>
      <c r="B4107" s="2"/>
      <c r="AA4107" s="3"/>
      <c r="AD4107" s="3"/>
      <c r="AG4107" s="3"/>
      <c r="AJ4107" s="3"/>
    </row>
    <row r="4108" spans="1:36" x14ac:dyDescent="0.25">
      <c r="A4108" s="1"/>
      <c r="B4108" s="2"/>
      <c r="AA4108" s="3"/>
      <c r="AD4108" s="3"/>
      <c r="AG4108" s="3"/>
      <c r="AJ4108" s="3"/>
    </row>
    <row r="4109" spans="1:36" x14ac:dyDescent="0.25">
      <c r="A4109" s="1"/>
      <c r="B4109" s="2"/>
      <c r="AA4109" s="3"/>
      <c r="AD4109" s="3"/>
      <c r="AG4109" s="3"/>
      <c r="AJ4109" s="3"/>
    </row>
    <row r="4110" spans="1:36" x14ac:dyDescent="0.25">
      <c r="A4110" s="1"/>
      <c r="B4110" s="2"/>
      <c r="AA4110" s="3"/>
      <c r="AD4110" s="3"/>
      <c r="AG4110" s="3"/>
      <c r="AJ4110" s="3"/>
    </row>
    <row r="4111" spans="1:36" x14ac:dyDescent="0.25">
      <c r="A4111" s="1"/>
      <c r="B4111" s="2"/>
      <c r="AA4111" s="3"/>
      <c r="AD4111" s="3"/>
      <c r="AG4111" s="3"/>
      <c r="AJ4111" s="3"/>
    </row>
    <row r="4112" spans="1:36" x14ac:dyDescent="0.25">
      <c r="A4112" s="1"/>
      <c r="B4112" s="2"/>
      <c r="AA4112" s="3"/>
      <c r="AD4112" s="3"/>
      <c r="AG4112" s="3"/>
      <c r="AJ4112" s="3"/>
    </row>
    <row r="4113" spans="1:36" x14ac:dyDescent="0.25">
      <c r="A4113" s="1"/>
      <c r="B4113" s="2"/>
      <c r="AA4113" s="3"/>
      <c r="AD4113" s="3"/>
      <c r="AG4113" s="3"/>
      <c r="AJ4113" s="3"/>
    </row>
    <row r="4114" spans="1:36" x14ac:dyDescent="0.25">
      <c r="A4114" s="1"/>
      <c r="B4114" s="2"/>
      <c r="AA4114" s="3"/>
      <c r="AD4114" s="3"/>
      <c r="AG4114" s="3"/>
      <c r="AJ4114" s="3"/>
    </row>
    <row r="4115" spans="1:36" x14ac:dyDescent="0.25">
      <c r="A4115" s="1"/>
      <c r="B4115" s="2"/>
      <c r="AA4115" s="3"/>
      <c r="AD4115" s="3"/>
      <c r="AG4115" s="3"/>
      <c r="AJ4115" s="3"/>
    </row>
    <row r="4116" spans="1:36" x14ac:dyDescent="0.25">
      <c r="A4116" s="1"/>
      <c r="B4116" s="2"/>
      <c r="AA4116" s="3"/>
      <c r="AD4116" s="3"/>
      <c r="AG4116" s="3"/>
      <c r="AJ4116" s="3"/>
    </row>
    <row r="4117" spans="1:36" x14ac:dyDescent="0.25">
      <c r="A4117" s="1"/>
      <c r="B4117" s="2"/>
      <c r="AA4117" s="3"/>
      <c r="AD4117" s="3"/>
      <c r="AG4117" s="3"/>
      <c r="AJ4117" s="3"/>
    </row>
    <row r="4118" spans="1:36" x14ac:dyDescent="0.25">
      <c r="A4118" s="1"/>
      <c r="B4118" s="2"/>
      <c r="AA4118" s="3"/>
      <c r="AD4118" s="3"/>
      <c r="AG4118" s="3"/>
      <c r="AJ4118" s="3"/>
    </row>
    <row r="4119" spans="1:36" x14ac:dyDescent="0.25">
      <c r="A4119" s="1"/>
      <c r="B4119" s="2"/>
      <c r="AA4119" s="3"/>
      <c r="AD4119" s="3"/>
      <c r="AG4119" s="3"/>
      <c r="AJ4119" s="3"/>
    </row>
    <row r="4120" spans="1:36" x14ac:dyDescent="0.25">
      <c r="A4120" s="1"/>
      <c r="B4120" s="2"/>
      <c r="AA4120" s="3"/>
      <c r="AD4120" s="3"/>
      <c r="AG4120" s="3"/>
      <c r="AJ4120" s="3"/>
    </row>
    <row r="4121" spans="1:36" x14ac:dyDescent="0.25">
      <c r="A4121" s="1"/>
      <c r="B4121" s="2"/>
      <c r="AA4121" s="3"/>
      <c r="AD4121" s="3"/>
      <c r="AG4121" s="3"/>
      <c r="AJ4121" s="3"/>
    </row>
    <row r="4122" spans="1:36" x14ac:dyDescent="0.25">
      <c r="A4122" s="1"/>
      <c r="B4122" s="2"/>
      <c r="AA4122" s="3"/>
      <c r="AD4122" s="3"/>
      <c r="AG4122" s="3"/>
      <c r="AJ4122" s="3"/>
    </row>
    <row r="4123" spans="1:36" x14ac:dyDescent="0.25">
      <c r="A4123" s="1"/>
      <c r="B4123" s="2"/>
      <c r="AA4123" s="3"/>
      <c r="AD4123" s="3"/>
      <c r="AG4123" s="3"/>
      <c r="AJ4123" s="3"/>
    </row>
    <row r="4124" spans="1:36" x14ac:dyDescent="0.25">
      <c r="A4124" s="1"/>
      <c r="B4124" s="2"/>
      <c r="AA4124" s="3"/>
      <c r="AD4124" s="3"/>
      <c r="AG4124" s="3"/>
      <c r="AJ4124" s="3"/>
    </row>
    <row r="4125" spans="1:36" x14ac:dyDescent="0.25">
      <c r="A4125" s="1"/>
      <c r="B4125" s="2"/>
      <c r="AA4125" s="3"/>
      <c r="AD4125" s="3"/>
      <c r="AG4125" s="3"/>
      <c r="AJ4125" s="3"/>
    </row>
    <row r="4126" spans="1:36" x14ac:dyDescent="0.25">
      <c r="A4126" s="1"/>
      <c r="B4126" s="2"/>
      <c r="AA4126" s="3"/>
      <c r="AD4126" s="3"/>
      <c r="AG4126" s="3"/>
      <c r="AJ4126" s="3"/>
    </row>
    <row r="4127" spans="1:36" x14ac:dyDescent="0.25">
      <c r="A4127" s="1"/>
      <c r="B4127" s="2"/>
      <c r="AA4127" s="3"/>
      <c r="AD4127" s="3"/>
      <c r="AG4127" s="3"/>
      <c r="AJ4127" s="3"/>
    </row>
    <row r="4128" spans="1:36" x14ac:dyDescent="0.25">
      <c r="A4128" s="1"/>
      <c r="B4128" s="2"/>
      <c r="AA4128" s="3"/>
      <c r="AD4128" s="3"/>
      <c r="AG4128" s="3"/>
      <c r="AJ4128" s="3"/>
    </row>
    <row r="4129" spans="1:36" x14ac:dyDescent="0.25">
      <c r="A4129" s="1"/>
      <c r="B4129" s="2"/>
      <c r="AA4129" s="3"/>
      <c r="AD4129" s="3"/>
      <c r="AG4129" s="3"/>
      <c r="AJ4129" s="3"/>
    </row>
    <row r="4130" spans="1:36" x14ac:dyDescent="0.25">
      <c r="A4130" s="1"/>
      <c r="B4130" s="2"/>
      <c r="AA4130" s="3"/>
      <c r="AD4130" s="3"/>
      <c r="AG4130" s="3"/>
      <c r="AJ4130" s="3"/>
    </row>
    <row r="4131" spans="1:36" x14ac:dyDescent="0.25">
      <c r="A4131" s="1"/>
      <c r="B4131" s="2"/>
      <c r="AA4131" s="3"/>
      <c r="AD4131" s="3"/>
      <c r="AG4131" s="3"/>
      <c r="AJ4131" s="3"/>
    </row>
    <row r="4132" spans="1:36" x14ac:dyDescent="0.25">
      <c r="A4132" s="1"/>
      <c r="B4132" s="2"/>
      <c r="AA4132" s="3"/>
      <c r="AD4132" s="3"/>
      <c r="AG4132" s="3"/>
      <c r="AJ4132" s="3"/>
    </row>
    <row r="4133" spans="1:36" x14ac:dyDescent="0.25">
      <c r="A4133" s="1"/>
      <c r="B4133" s="2"/>
      <c r="AA4133" s="3"/>
      <c r="AD4133" s="3"/>
      <c r="AG4133" s="3"/>
      <c r="AJ4133" s="3"/>
    </row>
    <row r="4134" spans="1:36" x14ac:dyDescent="0.25">
      <c r="A4134" s="1"/>
      <c r="B4134" s="2"/>
      <c r="AA4134" s="3"/>
      <c r="AD4134" s="3"/>
      <c r="AG4134" s="3"/>
      <c r="AJ4134" s="3"/>
    </row>
    <row r="4135" spans="1:36" x14ac:dyDescent="0.25">
      <c r="A4135" s="1"/>
      <c r="B4135" s="2"/>
      <c r="AA4135" s="3"/>
      <c r="AD4135" s="3"/>
      <c r="AG4135" s="3"/>
      <c r="AJ4135" s="3"/>
    </row>
    <row r="4136" spans="1:36" x14ac:dyDescent="0.25">
      <c r="A4136" s="1"/>
      <c r="B4136" s="2"/>
      <c r="AA4136" s="3"/>
      <c r="AD4136" s="3"/>
      <c r="AG4136" s="3"/>
      <c r="AJ4136" s="3"/>
    </row>
    <row r="4137" spans="1:36" x14ac:dyDescent="0.25">
      <c r="A4137" s="1"/>
      <c r="B4137" s="2"/>
      <c r="AA4137" s="3"/>
      <c r="AD4137" s="3"/>
      <c r="AG4137" s="3"/>
      <c r="AJ4137" s="3"/>
    </row>
    <row r="4138" spans="1:36" x14ac:dyDescent="0.25">
      <c r="A4138" s="1"/>
      <c r="B4138" s="2"/>
      <c r="AA4138" s="3"/>
      <c r="AD4138" s="3"/>
      <c r="AG4138" s="3"/>
      <c r="AJ4138" s="3"/>
    </row>
    <row r="4139" spans="1:36" x14ac:dyDescent="0.25">
      <c r="A4139" s="1"/>
      <c r="B4139" s="2"/>
      <c r="AA4139" s="3"/>
      <c r="AD4139" s="3"/>
      <c r="AG4139" s="3"/>
      <c r="AJ4139" s="3"/>
    </row>
    <row r="4140" spans="1:36" x14ac:dyDescent="0.25">
      <c r="A4140" s="1"/>
      <c r="B4140" s="2"/>
      <c r="AA4140" s="3"/>
      <c r="AD4140" s="3"/>
      <c r="AG4140" s="3"/>
      <c r="AJ4140" s="3"/>
    </row>
    <row r="4141" spans="1:36" x14ac:dyDescent="0.25">
      <c r="A4141" s="1"/>
      <c r="B4141" s="2"/>
      <c r="AA4141" s="3"/>
      <c r="AD4141" s="3"/>
      <c r="AG4141" s="3"/>
      <c r="AJ4141" s="3"/>
    </row>
    <row r="4142" spans="1:36" x14ac:dyDescent="0.25">
      <c r="A4142" s="1"/>
      <c r="B4142" s="2"/>
      <c r="AA4142" s="3"/>
      <c r="AD4142" s="3"/>
      <c r="AG4142" s="3"/>
      <c r="AJ4142" s="3"/>
    </row>
    <row r="4143" spans="1:36" x14ac:dyDescent="0.25">
      <c r="A4143" s="1"/>
      <c r="B4143" s="2"/>
      <c r="AA4143" s="3"/>
      <c r="AD4143" s="3"/>
      <c r="AG4143" s="3"/>
      <c r="AJ4143" s="3"/>
    </row>
    <row r="4144" spans="1:36" x14ac:dyDescent="0.25">
      <c r="A4144" s="1"/>
      <c r="B4144" s="2"/>
      <c r="AA4144" s="3"/>
      <c r="AD4144" s="3"/>
      <c r="AG4144" s="3"/>
      <c r="AJ4144" s="3"/>
    </row>
    <row r="4145" spans="1:36" x14ac:dyDescent="0.25">
      <c r="A4145" s="1"/>
      <c r="B4145" s="2"/>
      <c r="AA4145" s="3"/>
      <c r="AD4145" s="3"/>
      <c r="AG4145" s="3"/>
      <c r="AJ4145" s="3"/>
    </row>
    <row r="4146" spans="1:36" x14ac:dyDescent="0.25">
      <c r="A4146" s="1"/>
      <c r="B4146" s="2"/>
      <c r="AA4146" s="3"/>
      <c r="AD4146" s="3"/>
      <c r="AG4146" s="3"/>
      <c r="AJ4146" s="3"/>
    </row>
    <row r="4147" spans="1:36" x14ac:dyDescent="0.25">
      <c r="A4147" s="1"/>
      <c r="B4147" s="2"/>
      <c r="AA4147" s="3"/>
      <c r="AD4147" s="3"/>
      <c r="AG4147" s="3"/>
      <c r="AJ4147" s="3"/>
    </row>
    <row r="4148" spans="1:36" x14ac:dyDescent="0.25">
      <c r="A4148" s="1"/>
      <c r="B4148" s="2"/>
      <c r="AA4148" s="3"/>
      <c r="AD4148" s="3"/>
      <c r="AG4148" s="3"/>
      <c r="AJ4148" s="3"/>
    </row>
    <row r="4149" spans="1:36" x14ac:dyDescent="0.25">
      <c r="A4149" s="1"/>
      <c r="B4149" s="2"/>
      <c r="AA4149" s="3"/>
      <c r="AD4149" s="3"/>
      <c r="AG4149" s="3"/>
      <c r="AJ4149" s="3"/>
    </row>
    <row r="4150" spans="1:36" x14ac:dyDescent="0.25">
      <c r="A4150" s="1"/>
      <c r="B4150" s="2"/>
      <c r="AA4150" s="3"/>
      <c r="AD4150" s="3"/>
      <c r="AG4150" s="3"/>
      <c r="AJ4150" s="3"/>
    </row>
    <row r="4151" spans="1:36" x14ac:dyDescent="0.25">
      <c r="A4151" s="1"/>
      <c r="B4151" s="2"/>
      <c r="AA4151" s="3"/>
      <c r="AD4151" s="3"/>
      <c r="AG4151" s="3"/>
      <c r="AJ4151" s="3"/>
    </row>
    <row r="4152" spans="1:36" x14ac:dyDescent="0.25">
      <c r="A4152" s="1"/>
      <c r="B4152" s="2"/>
      <c r="AA4152" s="3"/>
      <c r="AD4152" s="3"/>
      <c r="AG4152" s="3"/>
      <c r="AJ4152" s="3"/>
    </row>
    <row r="4153" spans="1:36" x14ac:dyDescent="0.25">
      <c r="A4153" s="1"/>
      <c r="B4153" s="2"/>
      <c r="AA4153" s="3"/>
      <c r="AD4153" s="3"/>
      <c r="AG4153" s="3"/>
      <c r="AJ4153" s="3"/>
    </row>
    <row r="4154" spans="1:36" x14ac:dyDescent="0.25">
      <c r="A4154" s="1"/>
      <c r="B4154" s="2"/>
      <c r="AA4154" s="3"/>
      <c r="AD4154" s="3"/>
      <c r="AG4154" s="3"/>
      <c r="AJ4154" s="3"/>
    </row>
    <row r="4155" spans="1:36" x14ac:dyDescent="0.25">
      <c r="A4155" s="1"/>
      <c r="B4155" s="2"/>
      <c r="AA4155" s="3"/>
      <c r="AD4155" s="3"/>
      <c r="AG4155" s="3"/>
      <c r="AJ4155" s="3"/>
    </row>
    <row r="4156" spans="1:36" x14ac:dyDescent="0.25">
      <c r="A4156" s="1"/>
      <c r="B4156" s="2"/>
      <c r="AA4156" s="3"/>
      <c r="AD4156" s="3"/>
      <c r="AG4156" s="3"/>
      <c r="AJ4156" s="3"/>
    </row>
    <row r="4157" spans="1:36" x14ac:dyDescent="0.25">
      <c r="A4157" s="1"/>
      <c r="B4157" s="2"/>
      <c r="AA4157" s="3"/>
      <c r="AD4157" s="3"/>
      <c r="AG4157" s="3"/>
      <c r="AJ4157" s="3"/>
    </row>
    <row r="4158" spans="1:36" x14ac:dyDescent="0.25">
      <c r="A4158" s="1"/>
      <c r="B4158" s="2"/>
      <c r="AA4158" s="3"/>
      <c r="AD4158" s="3"/>
      <c r="AG4158" s="3"/>
      <c r="AJ4158" s="3"/>
    </row>
    <row r="4159" spans="1:36" x14ac:dyDescent="0.25">
      <c r="A4159" s="1"/>
      <c r="B4159" s="2"/>
      <c r="AA4159" s="3"/>
      <c r="AD4159" s="3"/>
      <c r="AG4159" s="3"/>
      <c r="AJ4159" s="3"/>
    </row>
    <row r="4160" spans="1:36" x14ac:dyDescent="0.25">
      <c r="A4160" s="1"/>
      <c r="B4160" s="2"/>
      <c r="AA4160" s="3"/>
      <c r="AD4160" s="3"/>
      <c r="AG4160" s="3"/>
      <c r="AJ4160" s="3"/>
    </row>
    <row r="4161" spans="1:36" x14ac:dyDescent="0.25">
      <c r="A4161" s="1"/>
      <c r="B4161" s="2"/>
      <c r="AA4161" s="3"/>
      <c r="AD4161" s="3"/>
      <c r="AG4161" s="3"/>
      <c r="AJ4161" s="3"/>
    </row>
    <row r="4162" spans="1:36" x14ac:dyDescent="0.25">
      <c r="A4162" s="1"/>
      <c r="B4162" s="2"/>
      <c r="AA4162" s="3"/>
      <c r="AD4162" s="3"/>
      <c r="AG4162" s="3"/>
      <c r="AJ4162" s="3"/>
    </row>
    <row r="4163" spans="1:36" x14ac:dyDescent="0.25">
      <c r="A4163" s="1"/>
      <c r="B4163" s="2"/>
      <c r="AA4163" s="3"/>
      <c r="AD4163" s="3"/>
      <c r="AG4163" s="3"/>
      <c r="AJ4163" s="3"/>
    </row>
    <row r="4164" spans="1:36" x14ac:dyDescent="0.25">
      <c r="A4164" s="1"/>
      <c r="B4164" s="2"/>
      <c r="AA4164" s="3"/>
      <c r="AD4164" s="3"/>
      <c r="AG4164" s="3"/>
      <c r="AJ4164" s="3"/>
    </row>
    <row r="4165" spans="1:36" x14ac:dyDescent="0.25">
      <c r="A4165" s="1"/>
      <c r="B4165" s="2"/>
      <c r="AA4165" s="3"/>
      <c r="AD4165" s="3"/>
      <c r="AG4165" s="3"/>
      <c r="AJ4165" s="3"/>
    </row>
    <row r="4166" spans="1:36" x14ac:dyDescent="0.25">
      <c r="A4166" s="1"/>
      <c r="B4166" s="2"/>
      <c r="AA4166" s="3"/>
      <c r="AD4166" s="3"/>
      <c r="AG4166" s="3"/>
      <c r="AJ4166" s="3"/>
    </row>
    <row r="4167" spans="1:36" x14ac:dyDescent="0.25">
      <c r="A4167" s="1"/>
      <c r="B4167" s="2"/>
      <c r="AA4167" s="3"/>
      <c r="AD4167" s="3"/>
      <c r="AG4167" s="3"/>
      <c r="AJ4167" s="3"/>
    </row>
    <row r="4168" spans="1:36" x14ac:dyDescent="0.25">
      <c r="A4168" s="1"/>
      <c r="B4168" s="2"/>
      <c r="AA4168" s="3"/>
      <c r="AD4168" s="3"/>
      <c r="AG4168" s="3"/>
      <c r="AJ4168" s="3"/>
    </row>
    <row r="4169" spans="1:36" x14ac:dyDescent="0.25">
      <c r="A4169" s="1"/>
      <c r="B4169" s="2"/>
      <c r="AA4169" s="3"/>
      <c r="AD4169" s="3"/>
      <c r="AG4169" s="3"/>
      <c r="AJ4169" s="3"/>
    </row>
    <row r="4170" spans="1:36" x14ac:dyDescent="0.25">
      <c r="A4170" s="1"/>
      <c r="B4170" s="2"/>
      <c r="AA4170" s="3"/>
      <c r="AD4170" s="3"/>
      <c r="AG4170" s="3"/>
      <c r="AJ4170" s="3"/>
    </row>
    <row r="4171" spans="1:36" x14ac:dyDescent="0.25">
      <c r="A4171" s="1"/>
      <c r="B4171" s="2"/>
      <c r="AA4171" s="3"/>
      <c r="AD4171" s="3"/>
      <c r="AG4171" s="3"/>
      <c r="AJ4171" s="3"/>
    </row>
    <row r="4172" spans="1:36" x14ac:dyDescent="0.25">
      <c r="A4172" s="1"/>
      <c r="B4172" s="2"/>
      <c r="AA4172" s="3"/>
      <c r="AD4172" s="3"/>
      <c r="AG4172" s="3"/>
      <c r="AJ4172" s="3"/>
    </row>
    <row r="4173" spans="1:36" x14ac:dyDescent="0.25">
      <c r="A4173" s="1"/>
      <c r="B4173" s="2"/>
      <c r="AA4173" s="3"/>
      <c r="AD4173" s="3"/>
      <c r="AG4173" s="3"/>
      <c r="AJ4173" s="3"/>
    </row>
    <row r="4174" spans="1:36" x14ac:dyDescent="0.25">
      <c r="A4174" s="1"/>
      <c r="B4174" s="2"/>
      <c r="AA4174" s="3"/>
      <c r="AD4174" s="3"/>
      <c r="AG4174" s="3"/>
      <c r="AJ4174" s="3"/>
    </row>
    <row r="4175" spans="1:36" x14ac:dyDescent="0.25">
      <c r="A4175" s="1"/>
      <c r="B4175" s="2"/>
      <c r="AA4175" s="3"/>
      <c r="AD4175" s="3"/>
      <c r="AG4175" s="3"/>
      <c r="AJ4175" s="3"/>
    </row>
    <row r="4176" spans="1:36" x14ac:dyDescent="0.25">
      <c r="A4176" s="1"/>
      <c r="B4176" s="2"/>
      <c r="AA4176" s="3"/>
      <c r="AD4176" s="3"/>
      <c r="AG4176" s="3"/>
      <c r="AJ4176" s="3"/>
    </row>
    <row r="4177" spans="1:36" x14ac:dyDescent="0.25">
      <c r="A4177" s="1"/>
      <c r="B4177" s="2"/>
      <c r="AA4177" s="3"/>
      <c r="AD4177" s="3"/>
      <c r="AG4177" s="3"/>
      <c r="AJ4177" s="3"/>
    </row>
    <row r="4178" spans="1:36" x14ac:dyDescent="0.25">
      <c r="A4178" s="1"/>
      <c r="B4178" s="2"/>
      <c r="AA4178" s="3"/>
      <c r="AD4178" s="3"/>
      <c r="AG4178" s="3"/>
      <c r="AJ4178" s="3"/>
    </row>
    <row r="4179" spans="1:36" x14ac:dyDescent="0.25">
      <c r="A4179" s="1"/>
      <c r="B4179" s="2"/>
      <c r="AA4179" s="3"/>
      <c r="AD4179" s="3"/>
      <c r="AG4179" s="3"/>
      <c r="AJ4179" s="3"/>
    </row>
    <row r="4180" spans="1:36" x14ac:dyDescent="0.25">
      <c r="A4180" s="1"/>
      <c r="B4180" s="2"/>
      <c r="AA4180" s="3"/>
      <c r="AD4180" s="3"/>
      <c r="AG4180" s="3"/>
      <c r="AJ4180" s="3"/>
    </row>
    <row r="4181" spans="1:36" x14ac:dyDescent="0.25">
      <c r="A4181" s="1"/>
      <c r="B4181" s="2"/>
      <c r="AA4181" s="3"/>
      <c r="AD4181" s="3"/>
      <c r="AG4181" s="3"/>
      <c r="AJ4181" s="3"/>
    </row>
    <row r="4182" spans="1:36" x14ac:dyDescent="0.25">
      <c r="A4182" s="1"/>
      <c r="B4182" s="2"/>
      <c r="AA4182" s="3"/>
      <c r="AD4182" s="3"/>
      <c r="AG4182" s="3"/>
      <c r="AJ4182" s="3"/>
    </row>
    <row r="4183" spans="1:36" x14ac:dyDescent="0.25">
      <c r="A4183" s="1"/>
      <c r="B4183" s="2"/>
      <c r="AA4183" s="3"/>
      <c r="AD4183" s="3"/>
      <c r="AG4183" s="3"/>
      <c r="AJ4183" s="3"/>
    </row>
    <row r="4184" spans="1:36" x14ac:dyDescent="0.25">
      <c r="A4184" s="1"/>
      <c r="B4184" s="2"/>
      <c r="AA4184" s="3"/>
      <c r="AD4184" s="3"/>
      <c r="AG4184" s="3"/>
      <c r="AJ4184" s="3"/>
    </row>
    <row r="4185" spans="1:36" x14ac:dyDescent="0.25">
      <c r="A4185" s="1"/>
      <c r="B4185" s="2"/>
      <c r="AA4185" s="3"/>
      <c r="AD4185" s="3"/>
      <c r="AG4185" s="3"/>
      <c r="AJ4185" s="3"/>
    </row>
    <row r="4186" spans="1:36" x14ac:dyDescent="0.25">
      <c r="A4186" s="1"/>
      <c r="B4186" s="2"/>
      <c r="AA4186" s="3"/>
      <c r="AD4186" s="3"/>
      <c r="AG4186" s="3"/>
      <c r="AJ4186" s="3"/>
    </row>
    <row r="4187" spans="1:36" x14ac:dyDescent="0.25">
      <c r="A4187" s="1"/>
      <c r="B4187" s="2"/>
      <c r="AA4187" s="3"/>
      <c r="AD4187" s="3"/>
      <c r="AG4187" s="3"/>
      <c r="AJ4187" s="3"/>
    </row>
    <row r="4188" spans="1:36" x14ac:dyDescent="0.25">
      <c r="A4188" s="1"/>
      <c r="B4188" s="2"/>
      <c r="AA4188" s="3"/>
      <c r="AD4188" s="3"/>
      <c r="AG4188" s="3"/>
      <c r="AJ4188" s="3"/>
    </row>
    <row r="4189" spans="1:36" x14ac:dyDescent="0.25">
      <c r="A4189" s="1"/>
      <c r="B4189" s="2"/>
      <c r="AA4189" s="3"/>
      <c r="AD4189" s="3"/>
      <c r="AG4189" s="3"/>
      <c r="AJ4189" s="3"/>
    </row>
    <row r="4190" spans="1:36" x14ac:dyDescent="0.25">
      <c r="A4190" s="1"/>
      <c r="B4190" s="2"/>
      <c r="AA4190" s="3"/>
      <c r="AD4190" s="3"/>
      <c r="AG4190" s="3"/>
      <c r="AJ4190" s="3"/>
    </row>
    <row r="4191" spans="1:36" x14ac:dyDescent="0.25">
      <c r="A4191" s="1"/>
      <c r="B4191" s="2"/>
      <c r="AA4191" s="3"/>
      <c r="AD4191" s="3"/>
      <c r="AG4191" s="3"/>
      <c r="AJ4191" s="3"/>
    </row>
    <row r="4192" spans="1:36" x14ac:dyDescent="0.25">
      <c r="A4192" s="1"/>
      <c r="B4192" s="2"/>
      <c r="AA4192" s="3"/>
      <c r="AD4192" s="3"/>
      <c r="AG4192" s="3"/>
      <c r="AJ4192" s="3"/>
    </row>
    <row r="4193" spans="1:36" x14ac:dyDescent="0.25">
      <c r="A4193" s="1"/>
      <c r="B4193" s="2"/>
      <c r="AA4193" s="3"/>
      <c r="AD4193" s="3"/>
      <c r="AG4193" s="3"/>
      <c r="AJ4193" s="3"/>
    </row>
    <row r="4194" spans="1:36" x14ac:dyDescent="0.25">
      <c r="A4194" s="1"/>
      <c r="B4194" s="2"/>
      <c r="AA4194" s="3"/>
      <c r="AD4194" s="3"/>
      <c r="AG4194" s="3"/>
      <c r="AJ4194" s="3"/>
    </row>
    <row r="4195" spans="1:36" x14ac:dyDescent="0.25">
      <c r="A4195" s="1"/>
      <c r="B4195" s="2"/>
      <c r="AA4195" s="3"/>
      <c r="AD4195" s="3"/>
      <c r="AG4195" s="3"/>
      <c r="AJ4195" s="3"/>
    </row>
    <row r="4196" spans="1:36" x14ac:dyDescent="0.25">
      <c r="A4196" s="1"/>
      <c r="B4196" s="2"/>
      <c r="AA4196" s="3"/>
      <c r="AD4196" s="3"/>
      <c r="AG4196" s="3"/>
      <c r="AJ4196" s="3"/>
    </row>
    <row r="4197" spans="1:36" x14ac:dyDescent="0.25">
      <c r="A4197" s="1"/>
      <c r="B4197" s="2"/>
      <c r="AA4197" s="3"/>
      <c r="AD4197" s="3"/>
      <c r="AG4197" s="3"/>
      <c r="AJ4197" s="3"/>
    </row>
    <row r="4198" spans="1:36" x14ac:dyDescent="0.25">
      <c r="A4198" s="1"/>
      <c r="B4198" s="2"/>
      <c r="AA4198" s="3"/>
      <c r="AD4198" s="3"/>
      <c r="AG4198" s="3"/>
      <c r="AJ4198" s="3"/>
    </row>
    <row r="4199" spans="1:36" x14ac:dyDescent="0.25">
      <c r="A4199" s="1"/>
      <c r="B4199" s="2"/>
      <c r="AA4199" s="3"/>
      <c r="AD4199" s="3"/>
      <c r="AG4199" s="3"/>
      <c r="AJ4199" s="3"/>
    </row>
    <row r="4200" spans="1:36" x14ac:dyDescent="0.25">
      <c r="A4200" s="1"/>
      <c r="B4200" s="2"/>
      <c r="AA4200" s="3"/>
      <c r="AD4200" s="3"/>
      <c r="AG4200" s="3"/>
      <c r="AJ4200" s="3"/>
    </row>
    <row r="4201" spans="1:36" x14ac:dyDescent="0.25">
      <c r="A4201" s="1"/>
      <c r="B4201" s="2"/>
      <c r="AA4201" s="3"/>
      <c r="AD4201" s="3"/>
      <c r="AG4201" s="3"/>
      <c r="AJ4201" s="3"/>
    </row>
    <row r="4202" spans="1:36" x14ac:dyDescent="0.25">
      <c r="A4202" s="1"/>
      <c r="B4202" s="2"/>
      <c r="AA4202" s="3"/>
      <c r="AD4202" s="3"/>
      <c r="AG4202" s="3"/>
      <c r="AJ4202" s="3"/>
    </row>
    <row r="4203" spans="1:36" x14ac:dyDescent="0.25">
      <c r="A4203" s="1"/>
      <c r="B4203" s="2"/>
      <c r="AA4203" s="3"/>
      <c r="AD4203" s="3"/>
      <c r="AG4203" s="3"/>
      <c r="AJ4203" s="3"/>
    </row>
    <row r="4204" spans="1:36" x14ac:dyDescent="0.25">
      <c r="A4204" s="1"/>
      <c r="B4204" s="2"/>
      <c r="AA4204" s="3"/>
      <c r="AD4204" s="3"/>
      <c r="AG4204" s="3"/>
      <c r="AJ4204" s="3"/>
    </row>
    <row r="4205" spans="1:36" x14ac:dyDescent="0.25">
      <c r="A4205" s="1"/>
      <c r="B4205" s="2"/>
      <c r="AA4205" s="3"/>
      <c r="AD4205" s="3"/>
      <c r="AG4205" s="3"/>
      <c r="AJ4205" s="3"/>
    </row>
    <row r="4206" spans="1:36" x14ac:dyDescent="0.25">
      <c r="A4206" s="1"/>
      <c r="B4206" s="2"/>
      <c r="AA4206" s="3"/>
      <c r="AD4206" s="3"/>
      <c r="AG4206" s="3"/>
      <c r="AJ4206" s="3"/>
    </row>
    <row r="4207" spans="1:36" x14ac:dyDescent="0.25">
      <c r="A4207" s="1"/>
      <c r="B4207" s="2"/>
      <c r="AA4207" s="3"/>
      <c r="AD4207" s="3"/>
      <c r="AG4207" s="3"/>
      <c r="AJ4207" s="3"/>
    </row>
    <row r="4208" spans="1:36" x14ac:dyDescent="0.25">
      <c r="A4208" s="1"/>
      <c r="B4208" s="2"/>
      <c r="AA4208" s="3"/>
      <c r="AD4208" s="3"/>
      <c r="AG4208" s="3"/>
      <c r="AJ4208" s="3"/>
    </row>
    <row r="4209" spans="1:36" x14ac:dyDescent="0.25">
      <c r="A4209" s="1"/>
      <c r="B4209" s="2"/>
      <c r="AA4209" s="3"/>
      <c r="AD4209" s="3"/>
      <c r="AG4209" s="3"/>
      <c r="AJ4209" s="3"/>
    </row>
    <row r="4210" spans="1:36" x14ac:dyDescent="0.25">
      <c r="A4210" s="1"/>
      <c r="B4210" s="2"/>
      <c r="AA4210" s="3"/>
      <c r="AD4210" s="3"/>
      <c r="AG4210" s="3"/>
      <c r="AJ4210" s="3"/>
    </row>
    <row r="4211" spans="1:36" x14ac:dyDescent="0.25">
      <c r="A4211" s="1"/>
      <c r="B4211" s="2"/>
      <c r="AA4211" s="3"/>
      <c r="AD4211" s="3"/>
      <c r="AG4211" s="3"/>
      <c r="AJ4211" s="3"/>
    </row>
    <row r="4212" spans="1:36" x14ac:dyDescent="0.25">
      <c r="A4212" s="1"/>
      <c r="B4212" s="2"/>
      <c r="AA4212" s="3"/>
      <c r="AD4212" s="3"/>
      <c r="AG4212" s="3"/>
      <c r="AJ4212" s="3"/>
    </row>
    <row r="4213" spans="1:36" x14ac:dyDescent="0.25">
      <c r="A4213" s="1"/>
      <c r="B4213" s="2"/>
      <c r="AA4213" s="3"/>
      <c r="AD4213" s="3"/>
      <c r="AG4213" s="3"/>
      <c r="AJ4213" s="3"/>
    </row>
    <row r="4214" spans="1:36" x14ac:dyDescent="0.25">
      <c r="A4214" s="1"/>
      <c r="B4214" s="2"/>
      <c r="AA4214" s="3"/>
      <c r="AD4214" s="3"/>
      <c r="AG4214" s="3"/>
      <c r="AJ4214" s="3"/>
    </row>
    <row r="4215" spans="1:36" x14ac:dyDescent="0.25">
      <c r="A4215" s="1"/>
      <c r="B4215" s="2"/>
      <c r="AA4215" s="3"/>
      <c r="AD4215" s="3"/>
      <c r="AG4215" s="3"/>
      <c r="AJ4215" s="3"/>
    </row>
    <row r="4216" spans="1:36" x14ac:dyDescent="0.25">
      <c r="A4216" s="1"/>
      <c r="B4216" s="2"/>
      <c r="AA4216" s="3"/>
      <c r="AD4216" s="3"/>
      <c r="AG4216" s="3"/>
      <c r="AJ4216" s="3"/>
    </row>
    <row r="4217" spans="1:36" x14ac:dyDescent="0.25">
      <c r="A4217" s="1"/>
      <c r="B4217" s="2"/>
      <c r="AA4217" s="3"/>
      <c r="AD4217" s="3"/>
      <c r="AG4217" s="3"/>
      <c r="AJ4217" s="3"/>
    </row>
    <row r="4218" spans="1:36" x14ac:dyDescent="0.25">
      <c r="A4218" s="1"/>
      <c r="B4218" s="2"/>
      <c r="AA4218" s="3"/>
      <c r="AD4218" s="3"/>
      <c r="AG4218" s="3"/>
      <c r="AJ4218" s="3"/>
    </row>
    <row r="4219" spans="1:36" x14ac:dyDescent="0.25">
      <c r="A4219" s="1"/>
      <c r="B4219" s="2"/>
      <c r="AA4219" s="3"/>
      <c r="AD4219" s="3"/>
      <c r="AG4219" s="3"/>
      <c r="AJ4219" s="3"/>
    </row>
    <row r="4220" spans="1:36" x14ac:dyDescent="0.25">
      <c r="A4220" s="1"/>
      <c r="B4220" s="2"/>
      <c r="AA4220" s="3"/>
      <c r="AD4220" s="3"/>
      <c r="AG4220" s="3"/>
      <c r="AJ4220" s="3"/>
    </row>
    <row r="4221" spans="1:36" x14ac:dyDescent="0.25">
      <c r="A4221" s="1"/>
      <c r="B4221" s="2"/>
      <c r="AA4221" s="3"/>
      <c r="AD4221" s="3"/>
      <c r="AG4221" s="3"/>
      <c r="AJ4221" s="3"/>
    </row>
    <row r="4222" spans="1:36" x14ac:dyDescent="0.25">
      <c r="A4222" s="1"/>
      <c r="B4222" s="2"/>
      <c r="AA4222" s="3"/>
      <c r="AD4222" s="3"/>
      <c r="AG4222" s="3"/>
      <c r="AJ4222" s="3"/>
    </row>
    <row r="4223" spans="1:36" x14ac:dyDescent="0.25">
      <c r="A4223" s="1"/>
      <c r="B4223" s="2"/>
      <c r="AA4223" s="3"/>
      <c r="AD4223" s="3"/>
      <c r="AG4223" s="3"/>
      <c r="AJ4223" s="3"/>
    </row>
    <row r="4224" spans="1:36" x14ac:dyDescent="0.25">
      <c r="A4224" s="1"/>
      <c r="B4224" s="2"/>
      <c r="AA4224" s="3"/>
      <c r="AD4224" s="3"/>
      <c r="AG4224" s="3"/>
      <c r="AJ4224" s="3"/>
    </row>
    <row r="4225" spans="1:36" x14ac:dyDescent="0.25">
      <c r="A4225" s="1"/>
      <c r="B4225" s="2"/>
      <c r="AA4225" s="3"/>
      <c r="AD4225" s="3"/>
      <c r="AG4225" s="3"/>
      <c r="AJ4225" s="3"/>
    </row>
    <row r="4226" spans="1:36" x14ac:dyDescent="0.25">
      <c r="A4226" s="1"/>
      <c r="B4226" s="2"/>
      <c r="AA4226" s="3"/>
      <c r="AD4226" s="3"/>
      <c r="AG4226" s="3"/>
      <c r="AJ4226" s="3"/>
    </row>
    <row r="4227" spans="1:36" x14ac:dyDescent="0.25">
      <c r="A4227" s="1"/>
      <c r="B4227" s="2"/>
      <c r="AA4227" s="3"/>
      <c r="AD4227" s="3"/>
      <c r="AG4227" s="3"/>
      <c r="AJ4227" s="3"/>
    </row>
    <row r="4228" spans="1:36" x14ac:dyDescent="0.25">
      <c r="A4228" s="1"/>
      <c r="B4228" s="2"/>
      <c r="AA4228" s="3"/>
      <c r="AD4228" s="3"/>
      <c r="AG4228" s="3"/>
      <c r="AJ4228" s="3"/>
    </row>
    <row r="4229" spans="1:36" x14ac:dyDescent="0.25">
      <c r="A4229" s="1"/>
      <c r="B4229" s="2"/>
      <c r="AA4229" s="3"/>
      <c r="AD4229" s="3"/>
      <c r="AG4229" s="3"/>
      <c r="AJ4229" s="3"/>
    </row>
    <row r="4230" spans="1:36" x14ac:dyDescent="0.25">
      <c r="A4230" s="1"/>
      <c r="B4230" s="2"/>
      <c r="AA4230" s="3"/>
      <c r="AD4230" s="3"/>
      <c r="AG4230" s="3"/>
      <c r="AJ4230" s="3"/>
    </row>
    <row r="4231" spans="1:36" x14ac:dyDescent="0.25">
      <c r="A4231" s="1"/>
      <c r="B4231" s="2"/>
      <c r="AA4231" s="3"/>
      <c r="AD4231" s="3"/>
      <c r="AG4231" s="3"/>
      <c r="AJ4231" s="3"/>
    </row>
    <row r="4232" spans="1:36" x14ac:dyDescent="0.25">
      <c r="A4232" s="1"/>
      <c r="B4232" s="2"/>
      <c r="AA4232" s="3"/>
      <c r="AD4232" s="3"/>
      <c r="AG4232" s="3"/>
      <c r="AJ4232" s="3"/>
    </row>
    <row r="4233" spans="1:36" x14ac:dyDescent="0.25">
      <c r="A4233" s="1"/>
      <c r="B4233" s="2"/>
      <c r="AA4233" s="3"/>
      <c r="AD4233" s="3"/>
      <c r="AG4233" s="3"/>
      <c r="AJ4233" s="3"/>
    </row>
    <row r="4234" spans="1:36" x14ac:dyDescent="0.25">
      <c r="A4234" s="1"/>
      <c r="B4234" s="2"/>
      <c r="AA4234" s="3"/>
      <c r="AD4234" s="3"/>
      <c r="AG4234" s="3"/>
      <c r="AJ4234" s="3"/>
    </row>
    <row r="4235" spans="1:36" x14ac:dyDescent="0.25">
      <c r="A4235" s="1"/>
      <c r="B4235" s="2"/>
      <c r="AA4235" s="3"/>
      <c r="AD4235" s="3"/>
      <c r="AG4235" s="3"/>
      <c r="AJ4235" s="3"/>
    </row>
    <row r="4236" spans="1:36" x14ac:dyDescent="0.25">
      <c r="A4236" s="1"/>
      <c r="B4236" s="2"/>
      <c r="AA4236" s="3"/>
      <c r="AD4236" s="3"/>
      <c r="AG4236" s="3"/>
      <c r="AJ4236" s="3"/>
    </row>
    <row r="4237" spans="1:36" x14ac:dyDescent="0.25">
      <c r="A4237" s="1"/>
      <c r="B4237" s="2"/>
      <c r="AA4237" s="3"/>
      <c r="AD4237" s="3"/>
      <c r="AG4237" s="3"/>
      <c r="AJ4237" s="3"/>
    </row>
    <row r="4238" spans="1:36" x14ac:dyDescent="0.25">
      <c r="A4238" s="1"/>
      <c r="B4238" s="2"/>
      <c r="AA4238" s="3"/>
      <c r="AD4238" s="3"/>
      <c r="AG4238" s="3"/>
      <c r="AJ4238" s="3"/>
    </row>
    <row r="4239" spans="1:36" x14ac:dyDescent="0.25">
      <c r="A4239" s="1"/>
      <c r="B4239" s="2"/>
      <c r="AA4239" s="3"/>
      <c r="AD4239" s="3"/>
      <c r="AG4239" s="3"/>
      <c r="AJ4239" s="3"/>
    </row>
    <row r="4240" spans="1:36" x14ac:dyDescent="0.25">
      <c r="A4240" s="1"/>
      <c r="B4240" s="2"/>
      <c r="AA4240" s="3"/>
      <c r="AD4240" s="3"/>
      <c r="AG4240" s="3"/>
      <c r="AJ4240" s="3"/>
    </row>
    <row r="4241" spans="1:36" x14ac:dyDescent="0.25">
      <c r="A4241" s="1"/>
      <c r="B4241" s="2"/>
      <c r="AA4241" s="3"/>
      <c r="AD4241" s="3"/>
      <c r="AG4241" s="3"/>
      <c r="AJ4241" s="3"/>
    </row>
    <row r="4242" spans="1:36" x14ac:dyDescent="0.25">
      <c r="A4242" s="1"/>
      <c r="B4242" s="2"/>
      <c r="AA4242" s="3"/>
      <c r="AD4242" s="3"/>
      <c r="AG4242" s="3"/>
      <c r="AJ4242" s="3"/>
    </row>
    <row r="4243" spans="1:36" x14ac:dyDescent="0.25">
      <c r="A4243" s="1"/>
      <c r="B4243" s="2"/>
      <c r="AA4243" s="3"/>
      <c r="AD4243" s="3"/>
      <c r="AG4243" s="3"/>
      <c r="AJ4243" s="3"/>
    </row>
    <row r="4244" spans="1:36" x14ac:dyDescent="0.25">
      <c r="A4244" s="1"/>
      <c r="B4244" s="2"/>
      <c r="AA4244" s="3"/>
      <c r="AD4244" s="3"/>
      <c r="AG4244" s="3"/>
      <c r="AJ4244" s="3"/>
    </row>
    <row r="4245" spans="1:36" x14ac:dyDescent="0.25">
      <c r="A4245" s="1"/>
      <c r="B4245" s="2"/>
      <c r="AA4245" s="3"/>
      <c r="AD4245" s="3"/>
      <c r="AG4245" s="3"/>
      <c r="AJ4245" s="3"/>
    </row>
    <row r="4246" spans="1:36" x14ac:dyDescent="0.25">
      <c r="A4246" s="1"/>
      <c r="B4246" s="2"/>
      <c r="AA4246" s="3"/>
      <c r="AD4246" s="3"/>
      <c r="AG4246" s="3"/>
      <c r="AJ4246" s="3"/>
    </row>
    <row r="4247" spans="1:36" x14ac:dyDescent="0.25">
      <c r="A4247" s="1"/>
      <c r="B4247" s="2"/>
      <c r="AA4247" s="3"/>
      <c r="AD4247" s="3"/>
      <c r="AG4247" s="3"/>
      <c r="AJ4247" s="3"/>
    </row>
    <row r="4248" spans="1:36" x14ac:dyDescent="0.25">
      <c r="A4248" s="1"/>
      <c r="B4248" s="2"/>
      <c r="AA4248" s="3"/>
      <c r="AD4248" s="3"/>
      <c r="AG4248" s="3"/>
      <c r="AJ4248" s="3"/>
    </row>
    <row r="4249" spans="1:36" x14ac:dyDescent="0.25">
      <c r="A4249" s="1"/>
      <c r="B4249" s="2"/>
      <c r="AA4249" s="3"/>
      <c r="AD4249" s="3"/>
      <c r="AG4249" s="3"/>
      <c r="AJ4249" s="3"/>
    </row>
    <row r="4250" spans="1:36" x14ac:dyDescent="0.25">
      <c r="A4250" s="1"/>
      <c r="B4250" s="2"/>
      <c r="AA4250" s="3"/>
      <c r="AD4250" s="3"/>
      <c r="AG4250" s="3"/>
      <c r="AJ4250" s="3"/>
    </row>
    <row r="4251" spans="1:36" x14ac:dyDescent="0.25">
      <c r="A4251" s="1"/>
      <c r="B4251" s="2"/>
      <c r="AA4251" s="3"/>
      <c r="AD4251" s="3"/>
      <c r="AG4251" s="3"/>
      <c r="AJ4251" s="3"/>
    </row>
    <row r="4252" spans="1:36" x14ac:dyDescent="0.25">
      <c r="A4252" s="1"/>
      <c r="B4252" s="2"/>
      <c r="AA4252" s="3"/>
      <c r="AD4252" s="3"/>
      <c r="AG4252" s="3"/>
      <c r="AJ4252" s="3"/>
    </row>
    <row r="4253" spans="1:36" x14ac:dyDescent="0.25">
      <c r="A4253" s="1"/>
      <c r="B4253" s="2"/>
      <c r="AA4253" s="3"/>
      <c r="AD4253" s="3"/>
      <c r="AG4253" s="3"/>
      <c r="AJ4253" s="3"/>
    </row>
    <row r="4254" spans="1:36" x14ac:dyDescent="0.25">
      <c r="A4254" s="1"/>
      <c r="B4254" s="2"/>
      <c r="AA4254" s="3"/>
      <c r="AD4254" s="3"/>
      <c r="AG4254" s="3"/>
      <c r="AJ4254" s="3"/>
    </row>
    <row r="4255" spans="1:36" x14ac:dyDescent="0.25">
      <c r="A4255" s="1"/>
      <c r="B4255" s="2"/>
      <c r="AA4255" s="3"/>
      <c r="AD4255" s="3"/>
      <c r="AG4255" s="3"/>
      <c r="AJ4255" s="3"/>
    </row>
    <row r="4256" spans="1:36" x14ac:dyDescent="0.25">
      <c r="A4256" s="1"/>
      <c r="B4256" s="2"/>
      <c r="AA4256" s="3"/>
      <c r="AD4256" s="3"/>
      <c r="AG4256" s="3"/>
      <c r="AJ4256" s="3"/>
    </row>
    <row r="4257" spans="1:36" x14ac:dyDescent="0.25">
      <c r="A4257" s="1"/>
      <c r="B4257" s="2"/>
      <c r="AA4257" s="3"/>
      <c r="AD4257" s="3"/>
      <c r="AG4257" s="3"/>
      <c r="AJ4257" s="3"/>
    </row>
    <row r="4258" spans="1:36" x14ac:dyDescent="0.25">
      <c r="A4258" s="1"/>
      <c r="B4258" s="2"/>
      <c r="AA4258" s="3"/>
      <c r="AD4258" s="3"/>
      <c r="AG4258" s="3"/>
      <c r="AJ4258" s="3"/>
    </row>
    <row r="4259" spans="1:36" x14ac:dyDescent="0.25">
      <c r="A4259" s="1"/>
      <c r="B4259" s="2"/>
      <c r="AA4259" s="3"/>
      <c r="AD4259" s="3"/>
      <c r="AG4259" s="3"/>
      <c r="AJ4259" s="3"/>
    </row>
    <row r="4260" spans="1:36" x14ac:dyDescent="0.25">
      <c r="A4260" s="1"/>
      <c r="B4260" s="2"/>
      <c r="AA4260" s="3"/>
      <c r="AD4260" s="3"/>
      <c r="AG4260" s="3"/>
      <c r="AJ4260" s="3"/>
    </row>
    <row r="4261" spans="1:36" x14ac:dyDescent="0.25">
      <c r="A4261" s="1"/>
      <c r="B4261" s="2"/>
      <c r="AA4261" s="3"/>
      <c r="AD4261" s="3"/>
      <c r="AG4261" s="3"/>
      <c r="AJ4261" s="3"/>
    </row>
    <row r="4262" spans="1:36" x14ac:dyDescent="0.25">
      <c r="A4262" s="1"/>
      <c r="B4262" s="2"/>
      <c r="AA4262" s="3"/>
      <c r="AD4262" s="3"/>
      <c r="AG4262" s="3"/>
      <c r="AJ4262" s="3"/>
    </row>
    <row r="4263" spans="1:36" x14ac:dyDescent="0.25">
      <c r="A4263" s="1"/>
      <c r="B4263" s="2"/>
      <c r="AA4263" s="3"/>
      <c r="AD4263" s="3"/>
      <c r="AG4263" s="3"/>
      <c r="AJ4263" s="3"/>
    </row>
    <row r="4264" spans="1:36" x14ac:dyDescent="0.25">
      <c r="A4264" s="1"/>
      <c r="B4264" s="2"/>
      <c r="AA4264" s="3"/>
      <c r="AD4264" s="3"/>
      <c r="AG4264" s="3"/>
      <c r="AJ4264" s="3"/>
    </row>
    <row r="4265" spans="1:36" x14ac:dyDescent="0.25">
      <c r="A4265" s="1"/>
      <c r="B4265" s="2"/>
      <c r="AA4265" s="3"/>
      <c r="AD4265" s="3"/>
      <c r="AG4265" s="3"/>
      <c r="AJ4265" s="3"/>
    </row>
    <row r="4266" spans="1:36" x14ac:dyDescent="0.25">
      <c r="A4266" s="1"/>
      <c r="B4266" s="2"/>
      <c r="AA4266" s="3"/>
      <c r="AD4266" s="3"/>
      <c r="AG4266" s="3"/>
      <c r="AJ4266" s="3"/>
    </row>
    <row r="4267" spans="1:36" x14ac:dyDescent="0.25">
      <c r="A4267" s="1"/>
      <c r="B4267" s="2"/>
      <c r="AA4267" s="3"/>
      <c r="AD4267" s="3"/>
      <c r="AG4267" s="3"/>
      <c r="AJ4267" s="3"/>
    </row>
    <row r="4268" spans="1:36" x14ac:dyDescent="0.25">
      <c r="A4268" s="1"/>
      <c r="B4268" s="2"/>
      <c r="AA4268" s="3"/>
      <c r="AD4268" s="3"/>
      <c r="AG4268" s="3"/>
      <c r="AJ4268" s="3"/>
    </row>
    <row r="4269" spans="1:36" x14ac:dyDescent="0.25">
      <c r="A4269" s="1"/>
      <c r="B4269" s="2"/>
      <c r="AA4269" s="3"/>
      <c r="AD4269" s="3"/>
      <c r="AG4269" s="3"/>
      <c r="AJ4269" s="3"/>
    </row>
    <row r="4270" spans="1:36" x14ac:dyDescent="0.25">
      <c r="A4270" s="1"/>
      <c r="B4270" s="2"/>
      <c r="AA4270" s="3"/>
      <c r="AD4270" s="3"/>
      <c r="AG4270" s="3"/>
      <c r="AJ4270" s="3"/>
    </row>
    <row r="4271" spans="1:36" x14ac:dyDescent="0.25">
      <c r="A4271" s="1"/>
      <c r="B4271" s="2"/>
      <c r="AA4271" s="3"/>
      <c r="AD4271" s="3"/>
      <c r="AG4271" s="3"/>
      <c r="AJ4271" s="3"/>
    </row>
    <row r="4272" spans="1:36" x14ac:dyDescent="0.25">
      <c r="A4272" s="1"/>
      <c r="B4272" s="2"/>
      <c r="AA4272" s="3"/>
      <c r="AD4272" s="3"/>
      <c r="AG4272" s="3"/>
      <c r="AJ4272" s="3"/>
    </row>
    <row r="4273" spans="1:36" x14ac:dyDescent="0.25">
      <c r="A4273" s="1"/>
      <c r="B4273" s="2"/>
      <c r="AA4273" s="3"/>
      <c r="AD4273" s="3"/>
      <c r="AG4273" s="3"/>
      <c r="AJ4273" s="3"/>
    </row>
    <row r="4274" spans="1:36" x14ac:dyDescent="0.25">
      <c r="A4274" s="1"/>
      <c r="B4274" s="2"/>
      <c r="AA4274" s="3"/>
      <c r="AD4274" s="3"/>
      <c r="AG4274" s="3"/>
      <c r="AJ4274" s="3"/>
    </row>
    <row r="4275" spans="1:36" x14ac:dyDescent="0.25">
      <c r="A4275" s="1"/>
      <c r="B4275" s="2"/>
      <c r="AA4275" s="3"/>
      <c r="AD4275" s="3"/>
      <c r="AG4275" s="3"/>
      <c r="AJ4275" s="3"/>
    </row>
    <row r="4276" spans="1:36" x14ac:dyDescent="0.25">
      <c r="A4276" s="1"/>
      <c r="B4276" s="2"/>
      <c r="AA4276" s="3"/>
      <c r="AD4276" s="3"/>
      <c r="AG4276" s="3"/>
      <c r="AJ4276" s="3"/>
    </row>
    <row r="4277" spans="1:36" x14ac:dyDescent="0.25">
      <c r="A4277" s="1"/>
      <c r="B4277" s="2"/>
      <c r="AA4277" s="3"/>
      <c r="AD4277" s="3"/>
      <c r="AG4277" s="3"/>
      <c r="AJ4277" s="3"/>
    </row>
    <row r="4278" spans="1:36" x14ac:dyDescent="0.25">
      <c r="A4278" s="1"/>
      <c r="B4278" s="2"/>
      <c r="AA4278" s="3"/>
      <c r="AD4278" s="3"/>
      <c r="AG4278" s="3"/>
      <c r="AJ4278" s="3"/>
    </row>
    <row r="4279" spans="1:36" x14ac:dyDescent="0.25">
      <c r="A4279" s="1"/>
      <c r="B4279" s="2"/>
      <c r="AA4279" s="3"/>
      <c r="AD4279" s="3"/>
      <c r="AG4279" s="3"/>
      <c r="AJ4279" s="3"/>
    </row>
    <row r="4280" spans="1:36" x14ac:dyDescent="0.25">
      <c r="A4280" s="1"/>
      <c r="B4280" s="2"/>
      <c r="AA4280" s="3"/>
      <c r="AD4280" s="3"/>
      <c r="AG4280" s="3"/>
      <c r="AJ4280" s="3"/>
    </row>
    <row r="4281" spans="1:36" x14ac:dyDescent="0.25">
      <c r="A4281" s="1"/>
      <c r="B4281" s="2"/>
      <c r="AA4281" s="3"/>
      <c r="AD4281" s="3"/>
      <c r="AG4281" s="3"/>
      <c r="AJ4281" s="3"/>
    </row>
    <row r="4282" spans="1:36" x14ac:dyDescent="0.25">
      <c r="A4282" s="1"/>
      <c r="B4282" s="2"/>
      <c r="AA4282" s="3"/>
      <c r="AD4282" s="3"/>
      <c r="AG4282" s="3"/>
      <c r="AJ4282" s="3"/>
    </row>
    <row r="4283" spans="1:36" x14ac:dyDescent="0.25">
      <c r="A4283" s="1"/>
      <c r="B4283" s="2"/>
      <c r="AA4283" s="3"/>
      <c r="AD4283" s="3"/>
      <c r="AG4283" s="3"/>
      <c r="AJ4283" s="3"/>
    </row>
    <row r="4284" spans="1:36" x14ac:dyDescent="0.25">
      <c r="A4284" s="1"/>
      <c r="B4284" s="2"/>
      <c r="AA4284" s="3"/>
      <c r="AD4284" s="3"/>
      <c r="AG4284" s="3"/>
      <c r="AJ4284" s="3"/>
    </row>
    <row r="4285" spans="1:36" x14ac:dyDescent="0.25">
      <c r="A4285" s="1"/>
      <c r="B4285" s="2"/>
      <c r="AA4285" s="3"/>
      <c r="AD4285" s="3"/>
      <c r="AG4285" s="3"/>
      <c r="AJ4285" s="3"/>
    </row>
    <row r="4286" spans="1:36" x14ac:dyDescent="0.25">
      <c r="A4286" s="1"/>
      <c r="B4286" s="2"/>
      <c r="AA4286" s="3"/>
      <c r="AD4286" s="3"/>
      <c r="AG4286" s="3"/>
      <c r="AJ4286" s="3"/>
    </row>
    <row r="4287" spans="1:36" x14ac:dyDescent="0.25">
      <c r="A4287" s="1"/>
      <c r="B4287" s="2"/>
      <c r="AA4287" s="3"/>
      <c r="AD4287" s="3"/>
      <c r="AG4287" s="3"/>
      <c r="AJ4287" s="3"/>
    </row>
    <row r="4288" spans="1:36" x14ac:dyDescent="0.25">
      <c r="A4288" s="1"/>
      <c r="B4288" s="2"/>
      <c r="AA4288" s="3"/>
      <c r="AD4288" s="3"/>
      <c r="AG4288" s="3"/>
      <c r="AJ4288" s="3"/>
    </row>
    <row r="4289" spans="1:36" x14ac:dyDescent="0.25">
      <c r="A4289" s="1"/>
      <c r="B4289" s="2"/>
      <c r="AA4289" s="3"/>
      <c r="AD4289" s="3"/>
      <c r="AG4289" s="3"/>
      <c r="AJ4289" s="3"/>
    </row>
    <row r="4290" spans="1:36" x14ac:dyDescent="0.25">
      <c r="A4290" s="1"/>
      <c r="B4290" s="2"/>
      <c r="AA4290" s="3"/>
      <c r="AD4290" s="3"/>
      <c r="AG4290" s="3"/>
      <c r="AJ4290" s="3"/>
    </row>
    <row r="4291" spans="1:36" x14ac:dyDescent="0.25">
      <c r="A4291" s="1"/>
      <c r="B4291" s="2"/>
      <c r="AA4291" s="3"/>
      <c r="AD4291" s="3"/>
      <c r="AG4291" s="3"/>
      <c r="AJ4291" s="3"/>
    </row>
    <row r="4292" spans="1:36" x14ac:dyDescent="0.25">
      <c r="A4292" s="1"/>
      <c r="B4292" s="2"/>
      <c r="AA4292" s="3"/>
      <c r="AD4292" s="3"/>
      <c r="AG4292" s="3"/>
      <c r="AJ4292" s="3"/>
    </row>
    <row r="4293" spans="1:36" x14ac:dyDescent="0.25">
      <c r="A4293" s="1"/>
      <c r="B4293" s="2"/>
      <c r="AA4293" s="3"/>
      <c r="AD4293" s="3"/>
      <c r="AG4293" s="3"/>
      <c r="AJ4293" s="3"/>
    </row>
    <row r="4294" spans="1:36" x14ac:dyDescent="0.25">
      <c r="A4294" s="1"/>
      <c r="B4294" s="2"/>
      <c r="AA4294" s="3"/>
      <c r="AD4294" s="3"/>
      <c r="AG4294" s="3"/>
      <c r="AJ4294" s="3"/>
    </row>
    <row r="4295" spans="1:36" x14ac:dyDescent="0.25">
      <c r="A4295" s="1"/>
      <c r="B4295" s="2"/>
      <c r="AA4295" s="3"/>
      <c r="AD4295" s="3"/>
      <c r="AG4295" s="3"/>
      <c r="AJ4295" s="3"/>
    </row>
    <row r="4296" spans="1:36" x14ac:dyDescent="0.25">
      <c r="A4296" s="1"/>
      <c r="B4296" s="2"/>
      <c r="AA4296" s="3"/>
      <c r="AD4296" s="3"/>
      <c r="AG4296" s="3"/>
      <c r="AJ4296" s="3"/>
    </row>
    <row r="4297" spans="1:36" x14ac:dyDescent="0.25">
      <c r="A4297" s="1"/>
      <c r="B4297" s="2"/>
      <c r="AA4297" s="3"/>
      <c r="AD4297" s="3"/>
      <c r="AG4297" s="3"/>
      <c r="AJ4297" s="3"/>
    </row>
    <row r="4298" spans="1:36" x14ac:dyDescent="0.25">
      <c r="A4298" s="1"/>
      <c r="B4298" s="2"/>
      <c r="AA4298" s="3"/>
      <c r="AD4298" s="3"/>
      <c r="AG4298" s="3"/>
      <c r="AJ4298" s="3"/>
    </row>
    <row r="4299" spans="1:36" x14ac:dyDescent="0.25">
      <c r="A4299" s="1"/>
      <c r="B4299" s="2"/>
      <c r="AA4299" s="3"/>
      <c r="AD4299" s="3"/>
      <c r="AG4299" s="3"/>
      <c r="AJ4299" s="3"/>
    </row>
    <row r="4300" spans="1:36" x14ac:dyDescent="0.25">
      <c r="A4300" s="1"/>
      <c r="B4300" s="2"/>
      <c r="AA4300" s="3"/>
      <c r="AD4300" s="3"/>
      <c r="AG4300" s="3"/>
      <c r="AJ4300" s="3"/>
    </row>
    <row r="4301" spans="1:36" x14ac:dyDescent="0.25">
      <c r="A4301" s="1"/>
      <c r="B4301" s="2"/>
      <c r="AA4301" s="3"/>
      <c r="AD4301" s="3"/>
      <c r="AG4301" s="3"/>
      <c r="AJ4301" s="3"/>
    </row>
    <row r="4302" spans="1:36" x14ac:dyDescent="0.25">
      <c r="A4302" s="1"/>
      <c r="B4302" s="2"/>
      <c r="AA4302" s="3"/>
      <c r="AD4302" s="3"/>
      <c r="AG4302" s="3"/>
      <c r="AJ4302" s="3"/>
    </row>
    <row r="4303" spans="1:36" x14ac:dyDescent="0.25">
      <c r="A4303" s="1"/>
      <c r="B4303" s="2"/>
      <c r="AA4303" s="3"/>
      <c r="AD4303" s="3"/>
      <c r="AG4303" s="3"/>
      <c r="AJ4303" s="3"/>
    </row>
    <row r="4304" spans="1:36" x14ac:dyDescent="0.25">
      <c r="A4304" s="1"/>
      <c r="B4304" s="2"/>
      <c r="AA4304" s="3"/>
      <c r="AD4304" s="3"/>
      <c r="AG4304" s="3"/>
      <c r="AJ4304" s="3"/>
    </row>
    <row r="4305" spans="1:36" x14ac:dyDescent="0.25">
      <c r="A4305" s="1"/>
      <c r="B4305" s="2"/>
      <c r="AA4305" s="3"/>
      <c r="AD4305" s="3"/>
      <c r="AG4305" s="3"/>
      <c r="AJ4305" s="3"/>
    </row>
    <row r="4306" spans="1:36" x14ac:dyDescent="0.25">
      <c r="A4306" s="1"/>
      <c r="B4306" s="2"/>
      <c r="AA4306" s="3"/>
      <c r="AD4306" s="3"/>
      <c r="AG4306" s="3"/>
      <c r="AJ4306" s="3"/>
    </row>
    <row r="4307" spans="1:36" x14ac:dyDescent="0.25">
      <c r="A4307" s="1"/>
      <c r="B4307" s="2"/>
      <c r="AA4307" s="3"/>
      <c r="AD4307" s="3"/>
      <c r="AG4307" s="3"/>
      <c r="AJ4307" s="3"/>
    </row>
    <row r="4308" spans="1:36" x14ac:dyDescent="0.25">
      <c r="A4308" s="1"/>
      <c r="B4308" s="2"/>
      <c r="AA4308" s="3"/>
      <c r="AD4308" s="3"/>
      <c r="AG4308" s="3"/>
      <c r="AJ4308" s="3"/>
    </row>
    <row r="4309" spans="1:36" x14ac:dyDescent="0.25">
      <c r="A4309" s="1"/>
      <c r="B4309" s="2"/>
      <c r="AA4309" s="3"/>
      <c r="AD4309" s="3"/>
      <c r="AG4309" s="3"/>
      <c r="AJ4309" s="3"/>
    </row>
    <row r="4310" spans="1:36" x14ac:dyDescent="0.25">
      <c r="A4310" s="1"/>
      <c r="B4310" s="2"/>
      <c r="AA4310" s="3"/>
      <c r="AD4310" s="3"/>
      <c r="AG4310" s="3"/>
      <c r="AJ4310" s="3"/>
    </row>
    <row r="4311" spans="1:36" x14ac:dyDescent="0.25">
      <c r="A4311" s="1"/>
      <c r="B4311" s="2"/>
      <c r="AA4311" s="3"/>
      <c r="AD4311" s="3"/>
      <c r="AG4311" s="3"/>
      <c r="AJ4311" s="3"/>
    </row>
    <row r="4312" spans="1:36" x14ac:dyDescent="0.25">
      <c r="A4312" s="1"/>
      <c r="B4312" s="2"/>
      <c r="AA4312" s="3"/>
      <c r="AD4312" s="3"/>
      <c r="AG4312" s="3"/>
      <c r="AJ4312" s="3"/>
    </row>
    <row r="4313" spans="1:36" x14ac:dyDescent="0.25">
      <c r="A4313" s="1"/>
      <c r="B4313" s="2"/>
      <c r="AA4313" s="3"/>
      <c r="AD4313" s="3"/>
      <c r="AG4313" s="3"/>
      <c r="AJ4313" s="3"/>
    </row>
    <row r="4314" spans="1:36" x14ac:dyDescent="0.25">
      <c r="A4314" s="1"/>
      <c r="B4314" s="2"/>
      <c r="AA4314" s="3"/>
      <c r="AD4314" s="3"/>
      <c r="AG4314" s="3"/>
      <c r="AJ4314" s="3"/>
    </row>
    <row r="4315" spans="1:36" x14ac:dyDescent="0.25">
      <c r="A4315" s="1"/>
      <c r="B4315" s="2"/>
      <c r="AA4315" s="3"/>
      <c r="AD4315" s="3"/>
      <c r="AG4315" s="3"/>
      <c r="AJ4315" s="3"/>
    </row>
    <row r="4316" spans="1:36" x14ac:dyDescent="0.25">
      <c r="A4316" s="1"/>
      <c r="B4316" s="2"/>
      <c r="AA4316" s="3"/>
      <c r="AD4316" s="3"/>
      <c r="AG4316" s="3"/>
      <c r="AJ4316" s="3"/>
    </row>
    <row r="4317" spans="1:36" x14ac:dyDescent="0.25">
      <c r="A4317" s="1"/>
      <c r="B4317" s="2"/>
      <c r="AA4317" s="3"/>
      <c r="AD4317" s="3"/>
      <c r="AG4317" s="3"/>
      <c r="AJ4317" s="3"/>
    </row>
    <row r="4318" spans="1:36" x14ac:dyDescent="0.25">
      <c r="A4318" s="1"/>
      <c r="B4318" s="2"/>
      <c r="AA4318" s="3"/>
      <c r="AD4318" s="3"/>
      <c r="AG4318" s="3"/>
      <c r="AJ4318" s="3"/>
    </row>
    <row r="4319" spans="1:36" x14ac:dyDescent="0.25">
      <c r="A4319" s="1"/>
      <c r="B4319" s="2"/>
      <c r="AA4319" s="3"/>
      <c r="AD4319" s="3"/>
      <c r="AG4319" s="3"/>
      <c r="AJ4319" s="3"/>
    </row>
    <row r="4320" spans="1:36" x14ac:dyDescent="0.25">
      <c r="A4320" s="1"/>
      <c r="B4320" s="2"/>
      <c r="AA4320" s="3"/>
      <c r="AD4320" s="3"/>
      <c r="AG4320" s="3"/>
      <c r="AJ4320" s="3"/>
    </row>
    <row r="4321" spans="1:36" x14ac:dyDescent="0.25">
      <c r="A4321" s="1"/>
      <c r="B4321" s="2"/>
      <c r="AA4321" s="3"/>
      <c r="AD4321" s="3"/>
      <c r="AG4321" s="3"/>
      <c r="AJ4321" s="3"/>
    </row>
    <row r="4322" spans="1:36" x14ac:dyDescent="0.25">
      <c r="A4322" s="1"/>
      <c r="B4322" s="2"/>
      <c r="AA4322" s="3"/>
      <c r="AD4322" s="3"/>
      <c r="AG4322" s="3"/>
      <c r="AJ4322" s="3"/>
    </row>
    <row r="4323" spans="1:36" x14ac:dyDescent="0.25">
      <c r="A4323" s="1"/>
      <c r="B4323" s="2"/>
      <c r="AA4323" s="3"/>
      <c r="AD4323" s="3"/>
      <c r="AG4323" s="3"/>
      <c r="AJ4323" s="3"/>
    </row>
    <row r="4324" spans="1:36" x14ac:dyDescent="0.25">
      <c r="A4324" s="1"/>
      <c r="B4324" s="2"/>
      <c r="AA4324" s="3"/>
      <c r="AD4324" s="3"/>
      <c r="AG4324" s="3"/>
      <c r="AJ4324" s="3"/>
    </row>
    <row r="4325" spans="1:36" x14ac:dyDescent="0.25">
      <c r="A4325" s="1"/>
      <c r="B4325" s="2"/>
      <c r="AA4325" s="3"/>
      <c r="AD4325" s="3"/>
      <c r="AG4325" s="3"/>
      <c r="AJ4325" s="3"/>
    </row>
    <row r="4326" spans="1:36" x14ac:dyDescent="0.25">
      <c r="A4326" s="1"/>
      <c r="B4326" s="2"/>
      <c r="AA4326" s="3"/>
      <c r="AD4326" s="3"/>
      <c r="AG4326" s="3"/>
      <c r="AJ4326" s="3"/>
    </row>
    <row r="4327" spans="1:36" x14ac:dyDescent="0.25">
      <c r="A4327" s="1"/>
      <c r="B4327" s="2"/>
      <c r="AA4327" s="3"/>
      <c r="AD4327" s="3"/>
      <c r="AG4327" s="3"/>
      <c r="AJ4327" s="3"/>
    </row>
    <row r="4328" spans="1:36" x14ac:dyDescent="0.25">
      <c r="A4328" s="1"/>
      <c r="B4328" s="2"/>
      <c r="AA4328" s="3"/>
      <c r="AD4328" s="3"/>
      <c r="AG4328" s="3"/>
      <c r="AJ4328" s="3"/>
    </row>
    <row r="4329" spans="1:36" x14ac:dyDescent="0.25">
      <c r="A4329" s="1"/>
      <c r="B4329" s="2"/>
      <c r="AA4329" s="3"/>
      <c r="AD4329" s="3"/>
      <c r="AG4329" s="3"/>
      <c r="AJ4329" s="3"/>
    </row>
    <row r="4330" spans="1:36" x14ac:dyDescent="0.25">
      <c r="A4330" s="1"/>
      <c r="B4330" s="2"/>
      <c r="AA4330" s="3"/>
      <c r="AD4330" s="3"/>
      <c r="AG4330" s="3"/>
      <c r="AJ4330" s="3"/>
    </row>
    <row r="4331" spans="1:36" x14ac:dyDescent="0.25">
      <c r="A4331" s="1"/>
      <c r="B4331" s="2"/>
      <c r="AA4331" s="3"/>
      <c r="AD4331" s="3"/>
      <c r="AG4331" s="3"/>
      <c r="AJ4331" s="3"/>
    </row>
    <row r="4332" spans="1:36" x14ac:dyDescent="0.25">
      <c r="A4332" s="1"/>
      <c r="B4332" s="2"/>
      <c r="AA4332" s="3"/>
      <c r="AD4332" s="3"/>
      <c r="AG4332" s="3"/>
      <c r="AJ4332" s="3"/>
    </row>
    <row r="4333" spans="1:36" x14ac:dyDescent="0.25">
      <c r="A4333" s="1"/>
      <c r="B4333" s="2"/>
      <c r="AA4333" s="3"/>
      <c r="AD4333" s="3"/>
      <c r="AG4333" s="3"/>
      <c r="AJ4333" s="3"/>
    </row>
    <row r="4334" spans="1:36" x14ac:dyDescent="0.25">
      <c r="A4334" s="1"/>
      <c r="B4334" s="2"/>
      <c r="AA4334" s="3"/>
      <c r="AD4334" s="3"/>
      <c r="AG4334" s="3"/>
      <c r="AJ4334" s="3"/>
    </row>
    <row r="4335" spans="1:36" x14ac:dyDescent="0.25">
      <c r="A4335" s="1"/>
      <c r="B4335" s="2"/>
      <c r="AA4335" s="3"/>
      <c r="AD4335" s="3"/>
      <c r="AG4335" s="3"/>
      <c r="AJ4335" s="3"/>
    </row>
    <row r="4336" spans="1:36" x14ac:dyDescent="0.25">
      <c r="A4336" s="1"/>
      <c r="B4336" s="2"/>
      <c r="AA4336" s="3"/>
      <c r="AD4336" s="3"/>
      <c r="AG4336" s="3"/>
      <c r="AJ4336" s="3"/>
    </row>
    <row r="4337" spans="1:36" x14ac:dyDescent="0.25">
      <c r="A4337" s="1"/>
      <c r="B4337" s="2"/>
      <c r="AA4337" s="3"/>
      <c r="AD4337" s="3"/>
      <c r="AG4337" s="3"/>
      <c r="AJ4337" s="3"/>
    </row>
    <row r="4338" spans="1:36" x14ac:dyDescent="0.25">
      <c r="A4338" s="1"/>
      <c r="B4338" s="2"/>
      <c r="AA4338" s="3"/>
      <c r="AD4338" s="3"/>
      <c r="AG4338" s="3"/>
      <c r="AJ4338" s="3"/>
    </row>
    <row r="4339" spans="1:36" x14ac:dyDescent="0.25">
      <c r="A4339" s="1"/>
      <c r="B4339" s="2"/>
      <c r="AA4339" s="3"/>
      <c r="AD4339" s="3"/>
      <c r="AG4339" s="3"/>
      <c r="AJ4339" s="3"/>
    </row>
    <row r="4340" spans="1:36" x14ac:dyDescent="0.25">
      <c r="A4340" s="1"/>
      <c r="B4340" s="2"/>
      <c r="AA4340" s="3"/>
      <c r="AD4340" s="3"/>
      <c r="AG4340" s="3"/>
      <c r="AJ4340" s="3"/>
    </row>
    <row r="4341" spans="1:36" x14ac:dyDescent="0.25">
      <c r="A4341" s="1"/>
      <c r="B4341" s="2"/>
      <c r="AA4341" s="3"/>
      <c r="AD4341" s="3"/>
      <c r="AG4341" s="3"/>
      <c r="AJ4341" s="3"/>
    </row>
    <row r="4342" spans="1:36" x14ac:dyDescent="0.25">
      <c r="A4342" s="1"/>
      <c r="B4342" s="2"/>
      <c r="AA4342" s="3"/>
      <c r="AD4342" s="3"/>
      <c r="AG4342" s="3"/>
      <c r="AJ4342" s="3"/>
    </row>
    <row r="4343" spans="1:36" x14ac:dyDescent="0.25">
      <c r="A4343" s="1"/>
      <c r="B4343" s="2"/>
      <c r="AA4343" s="3"/>
      <c r="AD4343" s="3"/>
      <c r="AG4343" s="3"/>
      <c r="AJ4343" s="3"/>
    </row>
    <row r="4344" spans="1:36" x14ac:dyDescent="0.25">
      <c r="A4344" s="1"/>
      <c r="B4344" s="2"/>
      <c r="AA4344" s="3"/>
      <c r="AD4344" s="3"/>
      <c r="AG4344" s="3"/>
      <c r="AJ4344" s="3"/>
    </row>
    <row r="4345" spans="1:36" x14ac:dyDescent="0.25">
      <c r="A4345" s="1"/>
      <c r="B4345" s="2"/>
      <c r="AA4345" s="3"/>
      <c r="AD4345" s="3"/>
      <c r="AG4345" s="3"/>
      <c r="AJ4345" s="3"/>
    </row>
    <row r="4346" spans="1:36" x14ac:dyDescent="0.25">
      <c r="A4346" s="1"/>
      <c r="B4346" s="2"/>
      <c r="AA4346" s="3"/>
      <c r="AD4346" s="3"/>
      <c r="AG4346" s="3"/>
      <c r="AJ4346" s="3"/>
    </row>
    <row r="4347" spans="1:36" x14ac:dyDescent="0.25">
      <c r="A4347" s="1"/>
      <c r="B4347" s="2"/>
      <c r="AA4347" s="3"/>
      <c r="AD4347" s="3"/>
      <c r="AG4347" s="3"/>
      <c r="AJ4347" s="3"/>
    </row>
    <row r="4348" spans="1:36" x14ac:dyDescent="0.25">
      <c r="A4348" s="1"/>
      <c r="B4348" s="2"/>
      <c r="AA4348" s="3"/>
      <c r="AD4348" s="3"/>
      <c r="AG4348" s="3"/>
      <c r="AJ4348" s="3"/>
    </row>
    <row r="4349" spans="1:36" x14ac:dyDescent="0.25">
      <c r="A4349" s="1"/>
      <c r="B4349" s="2"/>
      <c r="AA4349" s="3"/>
      <c r="AD4349" s="3"/>
      <c r="AG4349" s="3"/>
      <c r="AJ4349" s="3"/>
    </row>
    <row r="4350" spans="1:36" x14ac:dyDescent="0.25">
      <c r="A4350" s="1"/>
      <c r="B4350" s="2"/>
      <c r="AA4350" s="3"/>
      <c r="AD4350" s="3"/>
      <c r="AG4350" s="3"/>
      <c r="AJ4350" s="3"/>
    </row>
    <row r="4351" spans="1:36" x14ac:dyDescent="0.25">
      <c r="A4351" s="1"/>
      <c r="B4351" s="2"/>
      <c r="AA4351" s="3"/>
      <c r="AD4351" s="3"/>
      <c r="AG4351" s="3"/>
      <c r="AJ4351" s="3"/>
    </row>
    <row r="4352" spans="1:36" x14ac:dyDescent="0.25">
      <c r="A4352" s="1"/>
      <c r="B4352" s="2"/>
      <c r="AA4352" s="3"/>
      <c r="AD4352" s="3"/>
      <c r="AG4352" s="3"/>
      <c r="AJ4352" s="3"/>
    </row>
    <row r="4353" spans="1:36" x14ac:dyDescent="0.25">
      <c r="A4353" s="1"/>
      <c r="B4353" s="2"/>
      <c r="AA4353" s="3"/>
      <c r="AD4353" s="3"/>
      <c r="AG4353" s="3"/>
      <c r="AJ4353" s="3"/>
    </row>
    <row r="4354" spans="1:36" x14ac:dyDescent="0.25">
      <c r="A4354" s="1"/>
      <c r="B4354" s="2"/>
      <c r="AA4354" s="3"/>
      <c r="AD4354" s="3"/>
      <c r="AG4354" s="3"/>
      <c r="AJ4354" s="3"/>
    </row>
    <row r="4355" spans="1:36" x14ac:dyDescent="0.25">
      <c r="A4355" s="1"/>
      <c r="B4355" s="2"/>
      <c r="AA4355" s="3"/>
      <c r="AD4355" s="3"/>
      <c r="AG4355" s="3"/>
      <c r="AJ4355" s="3"/>
    </row>
    <row r="4356" spans="1:36" x14ac:dyDescent="0.25">
      <c r="A4356" s="1"/>
      <c r="B4356" s="2"/>
      <c r="AA4356" s="3"/>
      <c r="AD4356" s="3"/>
      <c r="AG4356" s="3"/>
      <c r="AJ4356" s="3"/>
    </row>
    <row r="4357" spans="1:36" x14ac:dyDescent="0.25">
      <c r="A4357" s="1"/>
      <c r="B4357" s="2"/>
      <c r="AA4357" s="3"/>
      <c r="AD4357" s="3"/>
      <c r="AG4357" s="3"/>
      <c r="AJ4357" s="3"/>
    </row>
    <row r="4358" spans="1:36" x14ac:dyDescent="0.25">
      <c r="A4358" s="1"/>
      <c r="B4358" s="2"/>
      <c r="AA4358" s="3"/>
      <c r="AD4358" s="3"/>
      <c r="AG4358" s="3"/>
      <c r="AJ4358" s="3"/>
    </row>
    <row r="4359" spans="1:36" x14ac:dyDescent="0.25">
      <c r="A4359" s="1"/>
      <c r="B4359" s="2"/>
      <c r="AA4359" s="3"/>
      <c r="AD4359" s="3"/>
      <c r="AG4359" s="3"/>
      <c r="AJ4359" s="3"/>
    </row>
    <row r="4360" spans="1:36" x14ac:dyDescent="0.25">
      <c r="A4360" s="1"/>
      <c r="B4360" s="2"/>
      <c r="AA4360" s="3"/>
      <c r="AD4360" s="3"/>
      <c r="AG4360" s="3"/>
      <c r="AJ4360" s="3"/>
    </row>
    <row r="4361" spans="1:36" x14ac:dyDescent="0.25">
      <c r="A4361" s="1"/>
      <c r="B4361" s="2"/>
      <c r="AA4361" s="3"/>
      <c r="AD4361" s="3"/>
      <c r="AG4361" s="3"/>
      <c r="AJ4361" s="3"/>
    </row>
    <row r="4362" spans="1:36" x14ac:dyDescent="0.25">
      <c r="A4362" s="1"/>
      <c r="B4362" s="2"/>
      <c r="AA4362" s="3"/>
      <c r="AD4362" s="3"/>
      <c r="AG4362" s="3"/>
      <c r="AJ4362" s="3"/>
    </row>
    <row r="4363" spans="1:36" x14ac:dyDescent="0.25">
      <c r="A4363" s="1"/>
      <c r="B4363" s="2"/>
      <c r="AA4363" s="3"/>
      <c r="AD4363" s="3"/>
      <c r="AG4363" s="3"/>
      <c r="AJ4363" s="3"/>
    </row>
    <row r="4364" spans="1:36" x14ac:dyDescent="0.25">
      <c r="A4364" s="1"/>
      <c r="B4364" s="2"/>
      <c r="AA4364" s="3"/>
      <c r="AD4364" s="3"/>
      <c r="AG4364" s="3"/>
      <c r="AJ4364" s="3"/>
    </row>
    <row r="4365" spans="1:36" x14ac:dyDescent="0.25">
      <c r="A4365" s="1"/>
      <c r="B4365" s="2"/>
      <c r="AA4365" s="3"/>
      <c r="AD4365" s="3"/>
      <c r="AG4365" s="3"/>
      <c r="AJ4365" s="3"/>
    </row>
    <row r="4366" spans="1:36" x14ac:dyDescent="0.25">
      <c r="A4366" s="1"/>
      <c r="B4366" s="2"/>
      <c r="AA4366" s="3"/>
      <c r="AD4366" s="3"/>
      <c r="AG4366" s="3"/>
      <c r="AJ4366" s="3"/>
    </row>
    <row r="4367" spans="1:36" x14ac:dyDescent="0.25">
      <c r="A4367" s="1"/>
      <c r="B4367" s="2"/>
      <c r="AA4367" s="3"/>
      <c r="AD4367" s="3"/>
      <c r="AG4367" s="3"/>
      <c r="AJ4367" s="3"/>
    </row>
    <row r="4368" spans="1:36" x14ac:dyDescent="0.25">
      <c r="A4368" s="1"/>
      <c r="B4368" s="2"/>
      <c r="AA4368" s="3"/>
      <c r="AD4368" s="3"/>
      <c r="AG4368" s="3"/>
      <c r="AJ4368" s="3"/>
    </row>
    <row r="4369" spans="1:36" x14ac:dyDescent="0.25">
      <c r="A4369" s="1"/>
      <c r="B4369" s="2"/>
      <c r="AA4369" s="3"/>
      <c r="AD4369" s="3"/>
      <c r="AG4369" s="3"/>
      <c r="AJ4369" s="3"/>
    </row>
    <row r="4370" spans="1:36" x14ac:dyDescent="0.25">
      <c r="A4370" s="1"/>
      <c r="B4370" s="2"/>
      <c r="AA4370" s="3"/>
      <c r="AD4370" s="3"/>
      <c r="AG4370" s="3"/>
      <c r="AJ4370" s="3"/>
    </row>
    <row r="4371" spans="1:36" x14ac:dyDescent="0.25">
      <c r="A4371" s="1"/>
      <c r="B4371" s="2"/>
      <c r="AA4371" s="3"/>
      <c r="AD4371" s="3"/>
      <c r="AG4371" s="3"/>
      <c r="AJ4371" s="3"/>
    </row>
    <row r="4372" spans="1:36" x14ac:dyDescent="0.25">
      <c r="A4372" s="1"/>
      <c r="B4372" s="2"/>
      <c r="AA4372" s="3"/>
      <c r="AD4372" s="3"/>
      <c r="AG4372" s="3"/>
      <c r="AJ4372" s="3"/>
    </row>
    <row r="4373" spans="1:36" x14ac:dyDescent="0.25">
      <c r="A4373" s="1"/>
      <c r="B4373" s="2"/>
      <c r="AA4373" s="3"/>
      <c r="AD4373" s="3"/>
      <c r="AG4373" s="3"/>
      <c r="AJ4373" s="3"/>
    </row>
    <row r="4374" spans="1:36" x14ac:dyDescent="0.25">
      <c r="A4374" s="1"/>
      <c r="B4374" s="2"/>
      <c r="AA4374" s="3"/>
      <c r="AD4374" s="3"/>
      <c r="AG4374" s="3"/>
      <c r="AJ4374" s="3"/>
    </row>
    <row r="4375" spans="1:36" x14ac:dyDescent="0.25">
      <c r="A4375" s="1"/>
      <c r="B4375" s="2"/>
      <c r="AA4375" s="3"/>
      <c r="AD4375" s="3"/>
      <c r="AG4375" s="3"/>
      <c r="AJ4375" s="3"/>
    </row>
    <row r="4376" spans="1:36" x14ac:dyDescent="0.25">
      <c r="A4376" s="1"/>
      <c r="B4376" s="2"/>
      <c r="AA4376" s="3"/>
      <c r="AD4376" s="3"/>
      <c r="AG4376" s="3"/>
      <c r="AJ4376" s="3"/>
    </row>
    <row r="4377" spans="1:36" x14ac:dyDescent="0.25">
      <c r="A4377" s="1"/>
      <c r="B4377" s="2"/>
      <c r="AA4377" s="3"/>
      <c r="AD4377" s="3"/>
      <c r="AG4377" s="3"/>
      <c r="AJ4377" s="3"/>
    </row>
    <row r="4378" spans="1:36" x14ac:dyDescent="0.25">
      <c r="A4378" s="1"/>
      <c r="B4378" s="2"/>
      <c r="AA4378" s="3"/>
      <c r="AD4378" s="3"/>
      <c r="AG4378" s="3"/>
      <c r="AJ4378" s="3"/>
    </row>
    <row r="4379" spans="1:36" x14ac:dyDescent="0.25">
      <c r="A4379" s="1"/>
      <c r="B4379" s="2"/>
      <c r="AA4379" s="3"/>
      <c r="AD4379" s="3"/>
      <c r="AG4379" s="3"/>
      <c r="AJ4379" s="3"/>
    </row>
    <row r="4380" spans="1:36" x14ac:dyDescent="0.25">
      <c r="A4380" s="1"/>
      <c r="B4380" s="2"/>
      <c r="AA4380" s="3"/>
      <c r="AD4380" s="3"/>
      <c r="AG4380" s="3"/>
      <c r="AJ4380" s="3"/>
    </row>
    <row r="4381" spans="1:36" x14ac:dyDescent="0.25">
      <c r="A4381" s="1"/>
      <c r="B4381" s="2"/>
      <c r="AA4381" s="3"/>
      <c r="AD4381" s="3"/>
      <c r="AG4381" s="3"/>
      <c r="AJ4381" s="3"/>
    </row>
    <row r="4382" spans="1:36" x14ac:dyDescent="0.25">
      <c r="A4382" s="1"/>
      <c r="B4382" s="2"/>
      <c r="AA4382" s="3"/>
      <c r="AD4382" s="3"/>
      <c r="AG4382" s="3"/>
      <c r="AJ4382" s="3"/>
    </row>
    <row r="4383" spans="1:36" x14ac:dyDescent="0.25">
      <c r="A4383" s="1"/>
      <c r="B4383" s="2"/>
      <c r="AA4383" s="3"/>
      <c r="AD4383" s="3"/>
      <c r="AG4383" s="3"/>
      <c r="AJ4383" s="3"/>
    </row>
    <row r="4384" spans="1:36" x14ac:dyDescent="0.25">
      <c r="A4384" s="1"/>
      <c r="B4384" s="2"/>
      <c r="AA4384" s="3"/>
      <c r="AD4384" s="3"/>
      <c r="AG4384" s="3"/>
      <c r="AJ4384" s="3"/>
    </row>
    <row r="4385" spans="1:36" x14ac:dyDescent="0.25">
      <c r="A4385" s="1"/>
      <c r="B4385" s="2"/>
      <c r="AA4385" s="3"/>
      <c r="AD4385" s="3"/>
      <c r="AG4385" s="3"/>
      <c r="AJ4385" s="3"/>
    </row>
    <row r="4386" spans="1:36" x14ac:dyDescent="0.25">
      <c r="A4386" s="1"/>
      <c r="B4386" s="2"/>
      <c r="AA4386" s="3"/>
      <c r="AD4386" s="3"/>
      <c r="AG4386" s="3"/>
      <c r="AJ4386" s="3"/>
    </row>
    <row r="4387" spans="1:36" x14ac:dyDescent="0.25">
      <c r="A4387" s="1"/>
      <c r="B4387" s="2"/>
      <c r="AA4387" s="3"/>
      <c r="AD4387" s="3"/>
      <c r="AG4387" s="3"/>
      <c r="AJ4387" s="3"/>
    </row>
    <row r="4388" spans="1:36" x14ac:dyDescent="0.25">
      <c r="A4388" s="1"/>
      <c r="B4388" s="2"/>
      <c r="AA4388" s="3"/>
      <c r="AD4388" s="3"/>
      <c r="AG4388" s="3"/>
      <c r="AJ4388" s="3"/>
    </row>
    <row r="4389" spans="1:36" x14ac:dyDescent="0.25">
      <c r="A4389" s="1"/>
      <c r="B4389" s="2"/>
      <c r="AA4389" s="3"/>
      <c r="AD4389" s="3"/>
      <c r="AG4389" s="3"/>
      <c r="AJ4389" s="3"/>
    </row>
    <row r="4390" spans="1:36" x14ac:dyDescent="0.25">
      <c r="A4390" s="1"/>
      <c r="B4390" s="2"/>
      <c r="AA4390" s="3"/>
      <c r="AD4390" s="3"/>
      <c r="AG4390" s="3"/>
      <c r="AJ4390" s="3"/>
    </row>
    <row r="4391" spans="1:36" x14ac:dyDescent="0.25">
      <c r="A4391" s="1"/>
      <c r="B4391" s="2"/>
      <c r="AA4391" s="3"/>
      <c r="AD4391" s="3"/>
      <c r="AG4391" s="3"/>
      <c r="AJ4391" s="3"/>
    </row>
    <row r="4392" spans="1:36" x14ac:dyDescent="0.25">
      <c r="A4392" s="1"/>
      <c r="B4392" s="2"/>
      <c r="AA4392" s="3"/>
      <c r="AD4392" s="3"/>
      <c r="AG4392" s="3"/>
      <c r="AJ4392" s="3"/>
    </row>
    <row r="4393" spans="1:36" x14ac:dyDescent="0.25">
      <c r="A4393" s="1"/>
      <c r="B4393" s="2"/>
      <c r="AA4393" s="3"/>
      <c r="AD4393" s="3"/>
      <c r="AG4393" s="3"/>
      <c r="AJ4393" s="3"/>
    </row>
    <row r="4394" spans="1:36" x14ac:dyDescent="0.25">
      <c r="A4394" s="1"/>
      <c r="B4394" s="2"/>
      <c r="AA4394" s="3"/>
      <c r="AD4394" s="3"/>
      <c r="AG4394" s="3"/>
      <c r="AJ4394" s="3"/>
    </row>
    <row r="4395" spans="1:36" x14ac:dyDescent="0.25">
      <c r="A4395" s="1"/>
      <c r="B4395" s="2"/>
      <c r="AA4395" s="3"/>
      <c r="AD4395" s="3"/>
      <c r="AG4395" s="3"/>
      <c r="AJ4395" s="3"/>
    </row>
    <row r="4396" spans="1:36" x14ac:dyDescent="0.25">
      <c r="A4396" s="1"/>
      <c r="B4396" s="2"/>
      <c r="AA4396" s="3"/>
      <c r="AD4396" s="3"/>
      <c r="AG4396" s="3"/>
      <c r="AJ4396" s="3"/>
    </row>
    <row r="4397" spans="1:36" x14ac:dyDescent="0.25">
      <c r="A4397" s="1"/>
      <c r="B4397" s="2"/>
      <c r="AA4397" s="3"/>
      <c r="AD4397" s="3"/>
      <c r="AG4397" s="3"/>
      <c r="AJ4397" s="3"/>
    </row>
    <row r="4398" spans="1:36" x14ac:dyDescent="0.25">
      <c r="A4398" s="1"/>
      <c r="B4398" s="2"/>
      <c r="AA4398" s="3"/>
      <c r="AD4398" s="3"/>
      <c r="AG4398" s="3"/>
      <c r="AJ4398" s="3"/>
    </row>
    <row r="4399" spans="1:36" x14ac:dyDescent="0.25">
      <c r="A4399" s="1"/>
      <c r="B4399" s="2"/>
      <c r="AA4399" s="3"/>
      <c r="AD4399" s="3"/>
      <c r="AG4399" s="3"/>
      <c r="AJ4399" s="3"/>
    </row>
    <row r="4400" spans="1:36" x14ac:dyDescent="0.25">
      <c r="A4400" s="1"/>
      <c r="B4400" s="2"/>
      <c r="AA4400" s="3"/>
      <c r="AD4400" s="3"/>
      <c r="AG4400" s="3"/>
      <c r="AJ4400" s="3"/>
    </row>
    <row r="4401" spans="1:36" x14ac:dyDescent="0.25">
      <c r="A4401" s="1"/>
      <c r="B4401" s="2"/>
      <c r="AA4401" s="3"/>
      <c r="AD4401" s="3"/>
      <c r="AG4401" s="3"/>
      <c r="AJ4401" s="3"/>
    </row>
    <row r="4402" spans="1:36" x14ac:dyDescent="0.25">
      <c r="A4402" s="1"/>
      <c r="B4402" s="2"/>
      <c r="AA4402" s="3"/>
      <c r="AD4402" s="3"/>
      <c r="AG4402" s="3"/>
      <c r="AJ4402" s="3"/>
    </row>
    <row r="4403" spans="1:36" x14ac:dyDescent="0.25">
      <c r="A4403" s="1"/>
      <c r="B4403" s="2"/>
      <c r="AA4403" s="3"/>
      <c r="AD4403" s="3"/>
      <c r="AG4403" s="3"/>
      <c r="AJ4403" s="3"/>
    </row>
    <row r="4404" spans="1:36" x14ac:dyDescent="0.25">
      <c r="A4404" s="1"/>
      <c r="B4404" s="2"/>
      <c r="AA4404" s="3"/>
      <c r="AD4404" s="3"/>
      <c r="AG4404" s="3"/>
      <c r="AJ4404" s="3"/>
    </row>
    <row r="4405" spans="1:36" x14ac:dyDescent="0.25">
      <c r="A4405" s="1"/>
      <c r="B4405" s="2"/>
      <c r="AA4405" s="3"/>
      <c r="AD4405" s="3"/>
      <c r="AG4405" s="3"/>
      <c r="AJ4405" s="3"/>
    </row>
    <row r="4406" spans="1:36" x14ac:dyDescent="0.25">
      <c r="A4406" s="1"/>
      <c r="B4406" s="2"/>
      <c r="AA4406" s="3"/>
      <c r="AD4406" s="3"/>
      <c r="AG4406" s="3"/>
      <c r="AJ4406" s="3"/>
    </row>
    <row r="4407" spans="1:36" x14ac:dyDescent="0.25">
      <c r="A4407" s="1"/>
      <c r="B4407" s="2"/>
      <c r="AA4407" s="3"/>
      <c r="AD4407" s="3"/>
      <c r="AG4407" s="3"/>
      <c r="AJ4407" s="3"/>
    </row>
    <row r="4408" spans="1:36" x14ac:dyDescent="0.25">
      <c r="A4408" s="1"/>
      <c r="B4408" s="2"/>
      <c r="AA4408" s="3"/>
      <c r="AD4408" s="3"/>
      <c r="AG4408" s="3"/>
      <c r="AJ4408" s="3"/>
    </row>
    <row r="4409" spans="1:36" x14ac:dyDescent="0.25">
      <c r="A4409" s="1"/>
      <c r="B4409" s="2"/>
      <c r="AA4409" s="3"/>
      <c r="AD4409" s="3"/>
      <c r="AG4409" s="3"/>
      <c r="AJ4409" s="3"/>
    </row>
    <row r="4410" spans="1:36" x14ac:dyDescent="0.25">
      <c r="A4410" s="1"/>
      <c r="B4410" s="2"/>
      <c r="AA4410" s="3"/>
      <c r="AD4410" s="3"/>
      <c r="AG4410" s="3"/>
      <c r="AJ4410" s="3"/>
    </row>
    <row r="4411" spans="1:36" x14ac:dyDescent="0.25">
      <c r="A4411" s="1"/>
      <c r="B4411" s="2"/>
      <c r="AA4411" s="3"/>
      <c r="AD4411" s="3"/>
      <c r="AG4411" s="3"/>
      <c r="AJ4411" s="3"/>
    </row>
    <row r="4412" spans="1:36" x14ac:dyDescent="0.25">
      <c r="A4412" s="1"/>
      <c r="B4412" s="2"/>
      <c r="AA4412" s="3"/>
      <c r="AD4412" s="3"/>
      <c r="AG4412" s="3"/>
      <c r="AJ4412" s="3"/>
    </row>
    <row r="4413" spans="1:36" x14ac:dyDescent="0.25">
      <c r="A4413" s="1"/>
      <c r="B4413" s="2"/>
      <c r="AA4413" s="3"/>
      <c r="AD4413" s="3"/>
      <c r="AG4413" s="3"/>
      <c r="AJ4413" s="3"/>
    </row>
    <row r="4414" spans="1:36" x14ac:dyDescent="0.25">
      <c r="A4414" s="1"/>
      <c r="B4414" s="2"/>
      <c r="AA4414" s="3"/>
      <c r="AD4414" s="3"/>
      <c r="AG4414" s="3"/>
      <c r="AJ4414" s="3"/>
    </row>
    <row r="4415" spans="1:36" x14ac:dyDescent="0.25">
      <c r="A4415" s="1"/>
      <c r="B4415" s="2"/>
      <c r="AA4415" s="3"/>
      <c r="AD4415" s="3"/>
      <c r="AG4415" s="3"/>
      <c r="AJ4415" s="3"/>
    </row>
    <row r="4416" spans="1:36" x14ac:dyDescent="0.25">
      <c r="A4416" s="1"/>
      <c r="B4416" s="2"/>
      <c r="AA4416" s="3"/>
      <c r="AD4416" s="3"/>
      <c r="AG4416" s="3"/>
      <c r="AJ4416" s="3"/>
    </row>
    <row r="4417" spans="1:36" x14ac:dyDescent="0.25">
      <c r="A4417" s="1"/>
      <c r="B4417" s="2"/>
      <c r="AA4417" s="3"/>
      <c r="AD4417" s="3"/>
      <c r="AG4417" s="3"/>
      <c r="AJ4417" s="3"/>
    </row>
    <row r="4418" spans="1:36" x14ac:dyDescent="0.25">
      <c r="A4418" s="1"/>
      <c r="B4418" s="2"/>
      <c r="AA4418" s="3"/>
      <c r="AD4418" s="3"/>
      <c r="AG4418" s="3"/>
      <c r="AJ4418" s="3"/>
    </row>
    <row r="4419" spans="1:36" x14ac:dyDescent="0.25">
      <c r="A4419" s="1"/>
      <c r="B4419" s="2"/>
      <c r="AA4419" s="3"/>
      <c r="AD4419" s="3"/>
      <c r="AG4419" s="3"/>
      <c r="AJ4419" s="3"/>
    </row>
    <row r="4420" spans="1:36" x14ac:dyDescent="0.25">
      <c r="A4420" s="1"/>
      <c r="B4420" s="2"/>
      <c r="AA4420" s="3"/>
      <c r="AD4420" s="3"/>
      <c r="AG4420" s="3"/>
      <c r="AJ4420" s="3"/>
    </row>
    <row r="4421" spans="1:36" x14ac:dyDescent="0.25">
      <c r="A4421" s="1"/>
      <c r="B4421" s="2"/>
      <c r="AA4421" s="3"/>
      <c r="AD4421" s="3"/>
      <c r="AG4421" s="3"/>
      <c r="AJ4421" s="3"/>
    </row>
    <row r="4422" spans="1:36" x14ac:dyDescent="0.25">
      <c r="A4422" s="1"/>
      <c r="B4422" s="2"/>
      <c r="AA4422" s="3"/>
      <c r="AD4422" s="3"/>
      <c r="AG4422" s="3"/>
      <c r="AJ4422" s="3"/>
    </row>
    <row r="4423" spans="1:36" x14ac:dyDescent="0.25">
      <c r="A4423" s="1"/>
      <c r="B4423" s="2"/>
      <c r="AA4423" s="3"/>
      <c r="AD4423" s="3"/>
      <c r="AG4423" s="3"/>
      <c r="AJ4423" s="3"/>
    </row>
    <row r="4424" spans="1:36" x14ac:dyDescent="0.25">
      <c r="A4424" s="1"/>
      <c r="B4424" s="2"/>
      <c r="AA4424" s="3"/>
      <c r="AD4424" s="3"/>
      <c r="AG4424" s="3"/>
      <c r="AJ4424" s="3"/>
    </row>
    <row r="4425" spans="1:36" x14ac:dyDescent="0.25">
      <c r="A4425" s="1"/>
      <c r="B4425" s="2"/>
      <c r="AA4425" s="3"/>
      <c r="AD4425" s="3"/>
      <c r="AG4425" s="3"/>
      <c r="AJ4425" s="3"/>
    </row>
    <row r="4426" spans="1:36" x14ac:dyDescent="0.25">
      <c r="A4426" s="1"/>
      <c r="B4426" s="2"/>
      <c r="AA4426" s="3"/>
      <c r="AD4426" s="3"/>
      <c r="AG4426" s="3"/>
      <c r="AJ4426" s="3"/>
    </row>
    <row r="4427" spans="1:36" x14ac:dyDescent="0.25">
      <c r="A4427" s="1"/>
      <c r="B4427" s="2"/>
      <c r="AA4427" s="3"/>
      <c r="AD4427" s="3"/>
      <c r="AG4427" s="3"/>
      <c r="AJ4427" s="3"/>
    </row>
    <row r="4428" spans="1:36" x14ac:dyDescent="0.25">
      <c r="A4428" s="1"/>
      <c r="B4428" s="2"/>
      <c r="AA4428" s="3"/>
      <c r="AD4428" s="3"/>
      <c r="AG4428" s="3"/>
      <c r="AJ4428" s="3"/>
    </row>
    <row r="4429" spans="1:36" x14ac:dyDescent="0.25">
      <c r="A4429" s="1"/>
      <c r="B4429" s="2"/>
      <c r="AA4429" s="3"/>
      <c r="AD4429" s="3"/>
      <c r="AG4429" s="3"/>
      <c r="AJ4429" s="3"/>
    </row>
    <row r="4430" spans="1:36" x14ac:dyDescent="0.25">
      <c r="A4430" s="1"/>
      <c r="B4430" s="2"/>
      <c r="AA4430" s="3"/>
      <c r="AD4430" s="3"/>
      <c r="AG4430" s="3"/>
      <c r="AJ4430" s="3"/>
    </row>
    <row r="4431" spans="1:36" x14ac:dyDescent="0.25">
      <c r="A4431" s="1"/>
      <c r="B4431" s="2"/>
      <c r="AA4431" s="3"/>
      <c r="AD4431" s="3"/>
      <c r="AG4431" s="3"/>
      <c r="AJ4431" s="3"/>
    </row>
    <row r="4432" spans="1:36" x14ac:dyDescent="0.25">
      <c r="A4432" s="1"/>
      <c r="B4432" s="2"/>
      <c r="AA4432" s="3"/>
      <c r="AD4432" s="3"/>
      <c r="AG4432" s="3"/>
      <c r="AJ4432" s="3"/>
    </row>
    <row r="4433" spans="1:36" x14ac:dyDescent="0.25">
      <c r="A4433" s="1"/>
      <c r="B4433" s="2"/>
      <c r="AA4433" s="3"/>
      <c r="AD4433" s="3"/>
      <c r="AG4433" s="3"/>
      <c r="AJ4433" s="3"/>
    </row>
    <row r="4434" spans="1:36" x14ac:dyDescent="0.25">
      <c r="A4434" s="1"/>
      <c r="B4434" s="2"/>
      <c r="AA4434" s="3"/>
      <c r="AD4434" s="3"/>
      <c r="AG4434" s="3"/>
      <c r="AJ4434" s="3"/>
    </row>
    <row r="4435" spans="1:36" x14ac:dyDescent="0.25">
      <c r="A4435" s="1"/>
      <c r="B4435" s="2"/>
      <c r="AA4435" s="3"/>
      <c r="AD4435" s="3"/>
      <c r="AG4435" s="3"/>
      <c r="AJ4435" s="3"/>
    </row>
    <row r="4436" spans="1:36" x14ac:dyDescent="0.25">
      <c r="A4436" s="1"/>
      <c r="B4436" s="2"/>
      <c r="AA4436" s="3"/>
      <c r="AD4436" s="3"/>
      <c r="AG4436" s="3"/>
      <c r="AJ4436" s="3"/>
    </row>
    <row r="4437" spans="1:36" x14ac:dyDescent="0.25">
      <c r="A4437" s="1"/>
      <c r="B4437" s="2"/>
      <c r="AA4437" s="3"/>
      <c r="AD4437" s="3"/>
      <c r="AG4437" s="3"/>
      <c r="AJ4437" s="3"/>
    </row>
    <row r="4438" spans="1:36" x14ac:dyDescent="0.25">
      <c r="A4438" s="1"/>
      <c r="B4438" s="2"/>
      <c r="AA4438" s="3"/>
      <c r="AD4438" s="3"/>
      <c r="AG4438" s="3"/>
      <c r="AJ4438" s="3"/>
    </row>
    <row r="4439" spans="1:36" x14ac:dyDescent="0.25">
      <c r="A4439" s="1"/>
      <c r="B4439" s="2"/>
      <c r="AA4439" s="3"/>
      <c r="AD4439" s="3"/>
      <c r="AG4439" s="3"/>
      <c r="AJ4439" s="3"/>
    </row>
    <row r="4440" spans="1:36" x14ac:dyDescent="0.25">
      <c r="A4440" s="1"/>
      <c r="B4440" s="2"/>
      <c r="AA4440" s="3"/>
      <c r="AD4440" s="3"/>
      <c r="AG4440" s="3"/>
      <c r="AJ4440" s="3"/>
    </row>
    <row r="4441" spans="1:36" x14ac:dyDescent="0.25">
      <c r="A4441" s="1"/>
      <c r="B4441" s="2"/>
      <c r="AA4441" s="3"/>
      <c r="AD4441" s="3"/>
      <c r="AG4441" s="3"/>
      <c r="AJ4441" s="3"/>
    </row>
    <row r="4442" spans="1:36" x14ac:dyDescent="0.25">
      <c r="A4442" s="1"/>
      <c r="B4442" s="2"/>
      <c r="AA4442" s="3"/>
      <c r="AD4442" s="3"/>
      <c r="AG4442" s="3"/>
      <c r="AJ4442" s="3"/>
    </row>
    <row r="4443" spans="1:36" x14ac:dyDescent="0.25">
      <c r="A4443" s="1"/>
      <c r="B4443" s="2"/>
      <c r="AA4443" s="3"/>
      <c r="AD4443" s="3"/>
      <c r="AG4443" s="3"/>
      <c r="AJ4443" s="3"/>
    </row>
    <row r="4444" spans="1:36" x14ac:dyDescent="0.25">
      <c r="A4444" s="1"/>
      <c r="B4444" s="2"/>
      <c r="AA4444" s="3"/>
      <c r="AD4444" s="3"/>
      <c r="AG4444" s="3"/>
      <c r="AJ4444" s="3"/>
    </row>
    <row r="4445" spans="1:36" x14ac:dyDescent="0.25">
      <c r="A4445" s="1"/>
      <c r="B4445" s="2"/>
      <c r="AA4445" s="3"/>
      <c r="AD4445" s="3"/>
      <c r="AG4445" s="3"/>
      <c r="AJ4445" s="3"/>
    </row>
    <row r="4446" spans="1:36" x14ac:dyDescent="0.25">
      <c r="A4446" s="1"/>
      <c r="B4446" s="2"/>
      <c r="AA4446" s="3"/>
      <c r="AD4446" s="3"/>
      <c r="AG4446" s="3"/>
      <c r="AJ4446" s="3"/>
    </row>
    <row r="4447" spans="1:36" x14ac:dyDescent="0.25">
      <c r="A4447" s="1"/>
      <c r="B4447" s="2"/>
      <c r="AA4447" s="3"/>
      <c r="AD4447" s="3"/>
      <c r="AG4447" s="3"/>
      <c r="AJ4447" s="3"/>
    </row>
    <row r="4448" spans="1:36" x14ac:dyDescent="0.25">
      <c r="A4448" s="1"/>
      <c r="B4448" s="2"/>
      <c r="AA4448" s="3"/>
      <c r="AD4448" s="3"/>
      <c r="AG4448" s="3"/>
      <c r="AJ4448" s="3"/>
    </row>
    <row r="4449" spans="1:36" x14ac:dyDescent="0.25">
      <c r="A4449" s="1"/>
      <c r="B4449" s="2"/>
      <c r="AA4449" s="3"/>
      <c r="AD4449" s="3"/>
      <c r="AG4449" s="3"/>
      <c r="AJ4449" s="3"/>
    </row>
    <row r="4450" spans="1:36" x14ac:dyDescent="0.25">
      <c r="A4450" s="1"/>
      <c r="B4450" s="2"/>
      <c r="AA4450" s="3"/>
      <c r="AD4450" s="3"/>
      <c r="AG4450" s="3"/>
      <c r="AJ4450" s="3"/>
    </row>
    <row r="4451" spans="1:36" x14ac:dyDescent="0.25">
      <c r="A4451" s="1"/>
      <c r="B4451" s="2"/>
      <c r="AA4451" s="3"/>
      <c r="AD4451" s="3"/>
      <c r="AG4451" s="3"/>
      <c r="AJ4451" s="3"/>
    </row>
    <row r="4452" spans="1:36" x14ac:dyDescent="0.25">
      <c r="A4452" s="1"/>
      <c r="B4452" s="2"/>
      <c r="AA4452" s="3"/>
      <c r="AD4452" s="3"/>
      <c r="AG4452" s="3"/>
      <c r="AJ4452" s="3"/>
    </row>
    <row r="4453" spans="1:36" x14ac:dyDescent="0.25">
      <c r="A4453" s="1"/>
      <c r="B4453" s="2"/>
      <c r="AA4453" s="3"/>
      <c r="AD4453" s="3"/>
      <c r="AG4453" s="3"/>
      <c r="AJ4453" s="3"/>
    </row>
    <row r="4454" spans="1:36" x14ac:dyDescent="0.25">
      <c r="A4454" s="1"/>
      <c r="B4454" s="2"/>
      <c r="AA4454" s="3"/>
      <c r="AD4454" s="3"/>
      <c r="AG4454" s="3"/>
      <c r="AJ4454" s="3"/>
    </row>
    <row r="4455" spans="1:36" x14ac:dyDescent="0.25">
      <c r="A4455" s="1"/>
      <c r="B4455" s="2"/>
      <c r="AA4455" s="3"/>
      <c r="AD4455" s="3"/>
      <c r="AG4455" s="3"/>
      <c r="AJ4455" s="3"/>
    </row>
    <row r="4456" spans="1:36" x14ac:dyDescent="0.25">
      <c r="A4456" s="1"/>
      <c r="B4456" s="2"/>
      <c r="AA4456" s="3"/>
      <c r="AD4456" s="3"/>
      <c r="AG4456" s="3"/>
      <c r="AJ4456" s="3"/>
    </row>
    <row r="4457" spans="1:36" x14ac:dyDescent="0.25">
      <c r="A4457" s="1"/>
      <c r="B4457" s="2"/>
      <c r="AA4457" s="3"/>
      <c r="AD4457" s="3"/>
      <c r="AG4457" s="3"/>
      <c r="AJ4457" s="3"/>
    </row>
    <row r="4458" spans="1:36" x14ac:dyDescent="0.25">
      <c r="A4458" s="1"/>
      <c r="B4458" s="2"/>
      <c r="AA4458" s="3"/>
      <c r="AD4458" s="3"/>
      <c r="AG4458" s="3"/>
      <c r="AJ4458" s="3"/>
    </row>
    <row r="4459" spans="1:36" x14ac:dyDescent="0.25">
      <c r="A4459" s="1"/>
      <c r="B4459" s="2"/>
      <c r="AA4459" s="3"/>
      <c r="AD4459" s="3"/>
      <c r="AG4459" s="3"/>
      <c r="AJ4459" s="3"/>
    </row>
    <row r="4460" spans="1:36" x14ac:dyDescent="0.25">
      <c r="A4460" s="1"/>
      <c r="B4460" s="2"/>
      <c r="AA4460" s="3"/>
      <c r="AD4460" s="3"/>
      <c r="AG4460" s="3"/>
      <c r="AJ4460" s="3"/>
    </row>
    <row r="4461" spans="1:36" x14ac:dyDescent="0.25">
      <c r="A4461" s="1"/>
      <c r="B4461" s="2"/>
      <c r="AA4461" s="3"/>
      <c r="AD4461" s="3"/>
      <c r="AG4461" s="3"/>
      <c r="AJ4461" s="3"/>
    </row>
    <row r="4462" spans="1:36" x14ac:dyDescent="0.25">
      <c r="A4462" s="1"/>
      <c r="B4462" s="2"/>
      <c r="AA4462" s="3"/>
      <c r="AD4462" s="3"/>
      <c r="AG4462" s="3"/>
      <c r="AJ4462" s="3"/>
    </row>
    <row r="4463" spans="1:36" x14ac:dyDescent="0.25">
      <c r="A4463" s="1"/>
      <c r="B4463" s="2"/>
      <c r="AA4463" s="3"/>
      <c r="AD4463" s="3"/>
      <c r="AG4463" s="3"/>
      <c r="AJ4463" s="3"/>
    </row>
    <row r="4464" spans="1:36" x14ac:dyDescent="0.25">
      <c r="A4464" s="1"/>
      <c r="B4464" s="2"/>
      <c r="AA4464" s="3"/>
      <c r="AD4464" s="3"/>
      <c r="AG4464" s="3"/>
      <c r="AJ4464" s="3"/>
    </row>
    <row r="4465" spans="1:36" x14ac:dyDescent="0.25">
      <c r="A4465" s="1"/>
      <c r="B4465" s="2"/>
      <c r="AA4465" s="3"/>
      <c r="AD4465" s="3"/>
      <c r="AG4465" s="3"/>
      <c r="AJ4465" s="3"/>
    </row>
    <row r="4466" spans="1:36" x14ac:dyDescent="0.25">
      <c r="A4466" s="1"/>
      <c r="B4466" s="2"/>
      <c r="AA4466" s="3"/>
      <c r="AD4466" s="3"/>
      <c r="AG4466" s="3"/>
      <c r="AJ4466" s="3"/>
    </row>
    <row r="4467" spans="1:36" x14ac:dyDescent="0.25">
      <c r="A4467" s="1"/>
      <c r="B4467" s="2"/>
      <c r="AA4467" s="3"/>
      <c r="AD4467" s="3"/>
      <c r="AG4467" s="3"/>
      <c r="AJ4467" s="3"/>
    </row>
    <row r="4468" spans="1:36" x14ac:dyDescent="0.25">
      <c r="A4468" s="1"/>
      <c r="B4468" s="2"/>
      <c r="AA4468" s="3"/>
      <c r="AD4468" s="3"/>
      <c r="AG4468" s="3"/>
      <c r="AJ4468" s="3"/>
    </row>
    <row r="4469" spans="1:36" x14ac:dyDescent="0.25">
      <c r="A4469" s="1"/>
      <c r="B4469" s="2"/>
      <c r="AA4469" s="3"/>
      <c r="AD4469" s="3"/>
      <c r="AG4469" s="3"/>
      <c r="AJ4469" s="3"/>
    </row>
    <row r="4470" spans="1:36" x14ac:dyDescent="0.25">
      <c r="A4470" s="1"/>
      <c r="B4470" s="2"/>
      <c r="AA4470" s="3"/>
      <c r="AD4470" s="3"/>
      <c r="AG4470" s="3"/>
      <c r="AJ4470" s="3"/>
    </row>
    <row r="4471" spans="1:36" x14ac:dyDescent="0.25">
      <c r="A4471" s="1"/>
      <c r="B4471" s="2"/>
      <c r="AA4471" s="3"/>
      <c r="AD4471" s="3"/>
      <c r="AG4471" s="3"/>
      <c r="AJ4471" s="3"/>
    </row>
    <row r="4472" spans="1:36" x14ac:dyDescent="0.25">
      <c r="A4472" s="1"/>
      <c r="B4472" s="2"/>
      <c r="AA4472" s="3"/>
      <c r="AD4472" s="3"/>
      <c r="AG4472" s="3"/>
      <c r="AJ4472" s="3"/>
    </row>
    <row r="4473" spans="1:36" x14ac:dyDescent="0.25">
      <c r="A4473" s="1"/>
      <c r="B4473" s="2"/>
      <c r="AA4473" s="3"/>
      <c r="AD4473" s="3"/>
      <c r="AG4473" s="3"/>
      <c r="AJ4473" s="3"/>
    </row>
    <row r="4474" spans="1:36" x14ac:dyDescent="0.25">
      <c r="A4474" s="1"/>
      <c r="B4474" s="2"/>
      <c r="AA4474" s="3"/>
      <c r="AD4474" s="3"/>
      <c r="AG4474" s="3"/>
      <c r="AJ4474" s="3"/>
    </row>
    <row r="4475" spans="1:36" x14ac:dyDescent="0.25">
      <c r="A4475" s="1"/>
      <c r="B4475" s="2"/>
      <c r="AA4475" s="3"/>
      <c r="AD4475" s="3"/>
      <c r="AG4475" s="3"/>
      <c r="AJ4475" s="3"/>
    </row>
    <row r="4476" spans="1:36" x14ac:dyDescent="0.25">
      <c r="A4476" s="1"/>
      <c r="B4476" s="2"/>
      <c r="AA4476" s="3"/>
      <c r="AD4476" s="3"/>
      <c r="AG4476" s="3"/>
      <c r="AJ4476" s="3"/>
    </row>
    <row r="4477" spans="1:36" x14ac:dyDescent="0.25">
      <c r="A4477" s="1"/>
      <c r="B4477" s="2"/>
      <c r="AA4477" s="3"/>
      <c r="AD4477" s="3"/>
      <c r="AG4477" s="3"/>
      <c r="AJ4477" s="3"/>
    </row>
    <row r="4478" spans="1:36" x14ac:dyDescent="0.25">
      <c r="A4478" s="1"/>
      <c r="B4478" s="2"/>
      <c r="AA4478" s="3"/>
      <c r="AD4478" s="3"/>
      <c r="AG4478" s="3"/>
      <c r="AJ4478" s="3"/>
    </row>
    <row r="4479" spans="1:36" x14ac:dyDescent="0.25">
      <c r="A4479" s="1"/>
      <c r="B4479" s="2"/>
      <c r="AA4479" s="3"/>
      <c r="AD4479" s="3"/>
      <c r="AG4479" s="3"/>
      <c r="AJ4479" s="3"/>
    </row>
    <row r="4480" spans="1:36" x14ac:dyDescent="0.25">
      <c r="A4480" s="1"/>
      <c r="B4480" s="2"/>
      <c r="AA4480" s="3"/>
      <c r="AD4480" s="3"/>
      <c r="AG4480" s="3"/>
      <c r="AJ4480" s="3"/>
    </row>
    <row r="4481" spans="1:36" x14ac:dyDescent="0.25">
      <c r="A4481" s="1"/>
      <c r="B4481" s="2"/>
      <c r="AA4481" s="3"/>
      <c r="AD4481" s="3"/>
      <c r="AG4481" s="3"/>
      <c r="AJ4481" s="3"/>
    </row>
    <row r="4482" spans="1:36" x14ac:dyDescent="0.25">
      <c r="A4482" s="1"/>
      <c r="B4482" s="2"/>
      <c r="AA4482" s="3"/>
      <c r="AD4482" s="3"/>
      <c r="AG4482" s="3"/>
      <c r="AJ4482" s="3"/>
    </row>
    <row r="4483" spans="1:36" x14ac:dyDescent="0.25">
      <c r="A4483" s="1"/>
      <c r="B4483" s="2"/>
      <c r="AA4483" s="3"/>
      <c r="AD4483" s="3"/>
      <c r="AG4483" s="3"/>
      <c r="AJ4483" s="3"/>
    </row>
    <row r="4484" spans="1:36" x14ac:dyDescent="0.25">
      <c r="A4484" s="1"/>
      <c r="B4484" s="2"/>
      <c r="AA4484" s="3"/>
      <c r="AD4484" s="3"/>
      <c r="AG4484" s="3"/>
      <c r="AJ4484" s="3"/>
    </row>
    <row r="4485" spans="1:36" x14ac:dyDescent="0.25">
      <c r="A4485" s="1"/>
      <c r="B4485" s="2"/>
      <c r="AA4485" s="3"/>
      <c r="AD4485" s="3"/>
      <c r="AG4485" s="3"/>
      <c r="AJ4485" s="3"/>
    </row>
    <row r="4486" spans="1:36" x14ac:dyDescent="0.25">
      <c r="A4486" s="1"/>
      <c r="B4486" s="2"/>
      <c r="AA4486" s="3"/>
      <c r="AD4486" s="3"/>
      <c r="AG4486" s="3"/>
      <c r="AJ4486" s="3"/>
    </row>
    <row r="4487" spans="1:36" x14ac:dyDescent="0.25">
      <c r="A4487" s="1"/>
      <c r="B4487" s="2"/>
      <c r="AA4487" s="3"/>
      <c r="AD4487" s="3"/>
      <c r="AG4487" s="3"/>
      <c r="AJ4487" s="3"/>
    </row>
    <row r="4488" spans="1:36" x14ac:dyDescent="0.25">
      <c r="A4488" s="1"/>
      <c r="B4488" s="2"/>
      <c r="AA4488" s="3"/>
      <c r="AD4488" s="3"/>
      <c r="AG4488" s="3"/>
      <c r="AJ4488" s="3"/>
    </row>
    <row r="4489" spans="1:36" x14ac:dyDescent="0.25">
      <c r="A4489" s="1"/>
      <c r="B4489" s="2"/>
      <c r="AA4489" s="3"/>
      <c r="AD4489" s="3"/>
      <c r="AG4489" s="3"/>
      <c r="AJ4489" s="3"/>
    </row>
    <row r="4490" spans="1:36" x14ac:dyDescent="0.25">
      <c r="A4490" s="1"/>
      <c r="B4490" s="2"/>
      <c r="AA4490" s="3"/>
      <c r="AD4490" s="3"/>
      <c r="AG4490" s="3"/>
      <c r="AJ4490" s="3"/>
    </row>
    <row r="4491" spans="1:36" x14ac:dyDescent="0.25">
      <c r="A4491" s="1"/>
      <c r="B4491" s="2"/>
      <c r="AA4491" s="3"/>
      <c r="AD4491" s="3"/>
      <c r="AG4491" s="3"/>
      <c r="AJ4491" s="3"/>
    </row>
    <row r="4492" spans="1:36" x14ac:dyDescent="0.25">
      <c r="A4492" s="1"/>
      <c r="B4492" s="2"/>
      <c r="AA4492" s="3"/>
      <c r="AD4492" s="3"/>
      <c r="AG4492" s="3"/>
      <c r="AJ4492" s="3"/>
    </row>
    <row r="4493" spans="1:36" x14ac:dyDescent="0.25">
      <c r="A4493" s="1"/>
      <c r="B4493" s="2"/>
      <c r="AA4493" s="3"/>
      <c r="AD4493" s="3"/>
      <c r="AG4493" s="3"/>
      <c r="AJ4493" s="3"/>
    </row>
    <row r="4494" spans="1:36" x14ac:dyDescent="0.25">
      <c r="A4494" s="1"/>
      <c r="B4494" s="2"/>
      <c r="AA4494" s="3"/>
      <c r="AD4494" s="3"/>
      <c r="AG4494" s="3"/>
      <c r="AJ4494" s="3"/>
    </row>
    <row r="4495" spans="1:36" x14ac:dyDescent="0.25">
      <c r="A4495" s="1"/>
      <c r="B4495" s="2"/>
      <c r="AA4495" s="3"/>
      <c r="AD4495" s="3"/>
      <c r="AG4495" s="3"/>
      <c r="AJ4495" s="3"/>
    </row>
    <row r="4496" spans="1:36" x14ac:dyDescent="0.25">
      <c r="A4496" s="1"/>
      <c r="B4496" s="2"/>
      <c r="AA4496" s="3"/>
      <c r="AD4496" s="3"/>
      <c r="AG4496" s="3"/>
      <c r="AJ4496" s="3"/>
    </row>
    <row r="4497" spans="1:36" x14ac:dyDescent="0.25">
      <c r="A4497" s="1"/>
      <c r="B4497" s="2"/>
      <c r="AA4497" s="3"/>
      <c r="AD4497" s="3"/>
      <c r="AG4497" s="3"/>
      <c r="AJ4497" s="3"/>
    </row>
    <row r="4498" spans="1:36" x14ac:dyDescent="0.25">
      <c r="A4498" s="1"/>
      <c r="B4498" s="2"/>
      <c r="AA4498" s="3"/>
      <c r="AD4498" s="3"/>
      <c r="AG4498" s="3"/>
      <c r="AJ4498" s="3"/>
    </row>
    <row r="4499" spans="1:36" x14ac:dyDescent="0.25">
      <c r="A4499" s="1"/>
      <c r="B4499" s="2"/>
      <c r="AA4499" s="3"/>
      <c r="AD4499" s="3"/>
      <c r="AG4499" s="3"/>
      <c r="AJ4499" s="3"/>
    </row>
    <row r="4500" spans="1:36" x14ac:dyDescent="0.25">
      <c r="A4500" s="1"/>
      <c r="B4500" s="2"/>
      <c r="AA4500" s="3"/>
      <c r="AD4500" s="3"/>
      <c r="AG4500" s="3"/>
      <c r="AJ4500" s="3"/>
    </row>
    <row r="4501" spans="1:36" x14ac:dyDescent="0.25">
      <c r="A4501" s="1"/>
      <c r="B4501" s="2"/>
      <c r="AA4501" s="3"/>
      <c r="AD4501" s="3"/>
      <c r="AG4501" s="3"/>
      <c r="AJ4501" s="3"/>
    </row>
    <row r="4502" spans="1:36" x14ac:dyDescent="0.25">
      <c r="A4502" s="1"/>
      <c r="B4502" s="2"/>
      <c r="AA4502" s="3"/>
      <c r="AD4502" s="3"/>
      <c r="AG4502" s="3"/>
      <c r="AJ4502" s="3"/>
    </row>
    <row r="4503" spans="1:36" x14ac:dyDescent="0.25">
      <c r="A4503" s="1"/>
      <c r="B4503" s="2"/>
      <c r="AA4503" s="3"/>
      <c r="AD4503" s="3"/>
      <c r="AG4503" s="3"/>
      <c r="AJ4503" s="3"/>
    </row>
    <row r="4504" spans="1:36" x14ac:dyDescent="0.25">
      <c r="A4504" s="1"/>
      <c r="B4504" s="2"/>
      <c r="AA4504" s="3"/>
      <c r="AD4504" s="3"/>
      <c r="AG4504" s="3"/>
      <c r="AJ4504" s="3"/>
    </row>
    <row r="4505" spans="1:36" x14ac:dyDescent="0.25">
      <c r="A4505" s="1"/>
      <c r="B4505" s="2"/>
      <c r="AA4505" s="3"/>
      <c r="AD4505" s="3"/>
      <c r="AG4505" s="3"/>
      <c r="AJ4505" s="3"/>
    </row>
    <row r="4506" spans="1:36" x14ac:dyDescent="0.25">
      <c r="A4506" s="1"/>
      <c r="B4506" s="2"/>
      <c r="AA4506" s="3"/>
      <c r="AD4506" s="3"/>
      <c r="AG4506" s="3"/>
      <c r="AJ4506" s="3"/>
    </row>
    <row r="4507" spans="1:36" x14ac:dyDescent="0.25">
      <c r="A4507" s="1"/>
      <c r="B4507" s="2"/>
      <c r="AA4507" s="3"/>
      <c r="AD4507" s="3"/>
      <c r="AG4507" s="3"/>
      <c r="AJ4507" s="3"/>
    </row>
    <row r="4508" spans="1:36" x14ac:dyDescent="0.25">
      <c r="A4508" s="1"/>
      <c r="B4508" s="2"/>
      <c r="AA4508" s="3"/>
      <c r="AD4508" s="3"/>
      <c r="AG4508" s="3"/>
      <c r="AJ4508" s="3"/>
    </row>
    <row r="4509" spans="1:36" x14ac:dyDescent="0.25">
      <c r="A4509" s="1"/>
      <c r="B4509" s="2"/>
      <c r="AA4509" s="3"/>
      <c r="AD4509" s="3"/>
      <c r="AG4509" s="3"/>
      <c r="AJ4509" s="3"/>
    </row>
    <row r="4510" spans="1:36" x14ac:dyDescent="0.25">
      <c r="A4510" s="1"/>
      <c r="B4510" s="2"/>
      <c r="AA4510" s="3"/>
      <c r="AD4510" s="3"/>
      <c r="AG4510" s="3"/>
      <c r="AJ4510" s="3"/>
    </row>
    <row r="4511" spans="1:36" x14ac:dyDescent="0.25">
      <c r="A4511" s="1"/>
      <c r="B4511" s="2"/>
      <c r="AA4511" s="3"/>
      <c r="AD4511" s="3"/>
      <c r="AG4511" s="3"/>
      <c r="AJ4511" s="3"/>
    </row>
    <row r="4512" spans="1:36" x14ac:dyDescent="0.25">
      <c r="A4512" s="1"/>
      <c r="B4512" s="2"/>
      <c r="AA4512" s="3"/>
      <c r="AD4512" s="3"/>
      <c r="AG4512" s="3"/>
      <c r="AJ4512" s="3"/>
    </row>
    <row r="4513" spans="1:36" x14ac:dyDescent="0.25">
      <c r="A4513" s="1"/>
      <c r="B4513" s="2"/>
      <c r="AA4513" s="3"/>
      <c r="AD4513" s="3"/>
      <c r="AG4513" s="3"/>
      <c r="AJ4513" s="3"/>
    </row>
    <row r="4514" spans="1:36" x14ac:dyDescent="0.25">
      <c r="A4514" s="1"/>
      <c r="B4514" s="2"/>
      <c r="AA4514" s="3"/>
      <c r="AD4514" s="3"/>
      <c r="AG4514" s="3"/>
      <c r="AJ4514" s="3"/>
    </row>
    <row r="4515" spans="1:36" x14ac:dyDescent="0.25">
      <c r="A4515" s="1"/>
      <c r="B4515" s="2"/>
      <c r="AA4515" s="3"/>
      <c r="AD4515" s="3"/>
      <c r="AG4515" s="3"/>
      <c r="AJ4515" s="3"/>
    </row>
    <row r="4516" spans="1:36" x14ac:dyDescent="0.25">
      <c r="A4516" s="1"/>
      <c r="B4516" s="2"/>
      <c r="AA4516" s="3"/>
      <c r="AD4516" s="3"/>
      <c r="AG4516" s="3"/>
      <c r="AJ4516" s="3"/>
    </row>
    <row r="4517" spans="1:36" x14ac:dyDescent="0.25">
      <c r="A4517" s="1"/>
      <c r="B4517" s="2"/>
      <c r="AA4517" s="3"/>
      <c r="AD4517" s="3"/>
      <c r="AG4517" s="3"/>
      <c r="AJ4517" s="3"/>
    </row>
    <row r="4518" spans="1:36" x14ac:dyDescent="0.25">
      <c r="A4518" s="1"/>
      <c r="B4518" s="2"/>
      <c r="AA4518" s="3"/>
      <c r="AD4518" s="3"/>
      <c r="AG4518" s="3"/>
      <c r="AJ4518" s="3"/>
    </row>
    <row r="4519" spans="1:36" x14ac:dyDescent="0.25">
      <c r="A4519" s="1"/>
      <c r="B4519" s="2"/>
      <c r="AA4519" s="3"/>
      <c r="AD4519" s="3"/>
      <c r="AG4519" s="3"/>
      <c r="AJ4519" s="3"/>
    </row>
    <row r="4520" spans="1:36" x14ac:dyDescent="0.25">
      <c r="A4520" s="1"/>
      <c r="B4520" s="2"/>
      <c r="AA4520" s="3"/>
      <c r="AD4520" s="3"/>
      <c r="AG4520" s="3"/>
      <c r="AJ4520" s="3"/>
    </row>
    <row r="4521" spans="1:36" x14ac:dyDescent="0.25">
      <c r="A4521" s="1"/>
      <c r="B4521" s="2"/>
      <c r="AA4521" s="3"/>
      <c r="AD4521" s="3"/>
      <c r="AG4521" s="3"/>
      <c r="AJ4521" s="3"/>
    </row>
    <row r="4522" spans="1:36" x14ac:dyDescent="0.25">
      <c r="A4522" s="1"/>
      <c r="B4522" s="2"/>
      <c r="AA4522" s="3"/>
      <c r="AD4522" s="3"/>
      <c r="AG4522" s="3"/>
      <c r="AJ4522" s="3"/>
    </row>
    <row r="4523" spans="1:36" x14ac:dyDescent="0.25">
      <c r="A4523" s="1"/>
      <c r="B4523" s="2"/>
      <c r="AA4523" s="3"/>
      <c r="AD4523" s="3"/>
      <c r="AG4523" s="3"/>
      <c r="AJ4523" s="3"/>
    </row>
    <row r="4524" spans="1:36" x14ac:dyDescent="0.25">
      <c r="A4524" s="1"/>
      <c r="B4524" s="2"/>
      <c r="AA4524" s="3"/>
      <c r="AD4524" s="3"/>
      <c r="AG4524" s="3"/>
      <c r="AJ4524" s="3"/>
    </row>
    <row r="4525" spans="1:36" x14ac:dyDescent="0.25">
      <c r="A4525" s="1"/>
      <c r="B4525" s="2"/>
      <c r="AA4525" s="3"/>
      <c r="AD4525" s="3"/>
      <c r="AG4525" s="3"/>
      <c r="AJ4525" s="3"/>
    </row>
    <row r="4526" spans="1:36" x14ac:dyDescent="0.25">
      <c r="A4526" s="1"/>
      <c r="B4526" s="2"/>
      <c r="AA4526" s="3"/>
      <c r="AD4526" s="3"/>
      <c r="AG4526" s="3"/>
      <c r="AJ4526" s="3"/>
    </row>
    <row r="4527" spans="1:36" x14ac:dyDescent="0.25">
      <c r="A4527" s="1"/>
      <c r="B4527" s="2"/>
      <c r="AA4527" s="3"/>
      <c r="AD4527" s="3"/>
      <c r="AG4527" s="3"/>
      <c r="AJ4527" s="3"/>
    </row>
    <row r="4528" spans="1:36" x14ac:dyDescent="0.25">
      <c r="A4528" s="1"/>
      <c r="B4528" s="2"/>
      <c r="AA4528" s="3"/>
      <c r="AD4528" s="3"/>
      <c r="AG4528" s="3"/>
      <c r="AJ4528" s="3"/>
    </row>
    <row r="4529" spans="1:36" x14ac:dyDescent="0.25">
      <c r="A4529" s="1"/>
      <c r="B4529" s="2"/>
      <c r="AA4529" s="3"/>
      <c r="AD4529" s="3"/>
      <c r="AG4529" s="3"/>
      <c r="AJ4529" s="3"/>
    </row>
    <row r="4530" spans="1:36" x14ac:dyDescent="0.25">
      <c r="A4530" s="1"/>
      <c r="B4530" s="2"/>
      <c r="AA4530" s="3"/>
      <c r="AD4530" s="3"/>
      <c r="AG4530" s="3"/>
      <c r="AJ4530" s="3"/>
    </row>
    <row r="4531" spans="1:36" x14ac:dyDescent="0.25">
      <c r="A4531" s="1"/>
      <c r="B4531" s="2"/>
      <c r="AA4531" s="3"/>
      <c r="AD4531" s="3"/>
      <c r="AG4531" s="3"/>
      <c r="AJ4531" s="3"/>
    </row>
    <row r="4532" spans="1:36" x14ac:dyDescent="0.25">
      <c r="A4532" s="1"/>
      <c r="B4532" s="2"/>
      <c r="AA4532" s="3"/>
      <c r="AD4532" s="3"/>
      <c r="AG4532" s="3"/>
      <c r="AJ4532" s="3"/>
    </row>
    <row r="4533" spans="1:36" x14ac:dyDescent="0.25">
      <c r="A4533" s="1"/>
      <c r="B4533" s="2"/>
      <c r="AA4533" s="3"/>
      <c r="AD4533" s="3"/>
      <c r="AG4533" s="3"/>
      <c r="AJ4533" s="3"/>
    </row>
    <row r="4534" spans="1:36" x14ac:dyDescent="0.25">
      <c r="A4534" s="1"/>
      <c r="B4534" s="2"/>
      <c r="AA4534" s="3"/>
      <c r="AD4534" s="3"/>
      <c r="AG4534" s="3"/>
      <c r="AJ4534" s="3"/>
    </row>
    <row r="4535" spans="1:36" x14ac:dyDescent="0.25">
      <c r="A4535" s="1"/>
      <c r="B4535" s="2"/>
      <c r="AA4535" s="3"/>
      <c r="AD4535" s="3"/>
      <c r="AG4535" s="3"/>
      <c r="AJ4535" s="3"/>
    </row>
    <row r="4536" spans="1:36" x14ac:dyDescent="0.25">
      <c r="A4536" s="1"/>
      <c r="B4536" s="2"/>
      <c r="AA4536" s="3"/>
      <c r="AD4536" s="3"/>
      <c r="AG4536" s="3"/>
      <c r="AJ4536" s="3"/>
    </row>
    <row r="4537" spans="1:36" x14ac:dyDescent="0.25">
      <c r="A4537" s="1"/>
      <c r="B4537" s="2"/>
      <c r="AA4537" s="3"/>
      <c r="AD4537" s="3"/>
      <c r="AG4537" s="3"/>
      <c r="AJ4537" s="3"/>
    </row>
    <row r="4538" spans="1:36" x14ac:dyDescent="0.25">
      <c r="A4538" s="1"/>
      <c r="B4538" s="2"/>
      <c r="AA4538" s="3"/>
      <c r="AD4538" s="3"/>
      <c r="AG4538" s="3"/>
      <c r="AJ4538" s="3"/>
    </row>
    <row r="4539" spans="1:36" x14ac:dyDescent="0.25">
      <c r="A4539" s="1"/>
      <c r="B4539" s="2"/>
      <c r="AA4539" s="3"/>
      <c r="AD4539" s="3"/>
      <c r="AG4539" s="3"/>
      <c r="AJ4539" s="3"/>
    </row>
    <row r="4540" spans="1:36" x14ac:dyDescent="0.25">
      <c r="A4540" s="1"/>
      <c r="B4540" s="2"/>
      <c r="AA4540" s="3"/>
      <c r="AD4540" s="3"/>
      <c r="AG4540" s="3"/>
      <c r="AJ4540" s="3"/>
    </row>
    <row r="4541" spans="1:36" x14ac:dyDescent="0.25">
      <c r="A4541" s="1"/>
      <c r="B4541" s="2"/>
      <c r="AA4541" s="3"/>
      <c r="AD4541" s="3"/>
      <c r="AG4541" s="3"/>
      <c r="AJ4541" s="3"/>
    </row>
    <row r="4542" spans="1:36" x14ac:dyDescent="0.25">
      <c r="A4542" s="1"/>
      <c r="B4542" s="2"/>
      <c r="AA4542" s="3"/>
      <c r="AD4542" s="3"/>
      <c r="AG4542" s="3"/>
      <c r="AJ4542" s="3"/>
    </row>
    <row r="4543" spans="1:36" x14ac:dyDescent="0.25">
      <c r="A4543" s="1"/>
      <c r="B4543" s="2"/>
      <c r="AA4543" s="3"/>
      <c r="AD4543" s="3"/>
      <c r="AG4543" s="3"/>
      <c r="AJ4543" s="3"/>
    </row>
    <row r="4544" spans="1:36" x14ac:dyDescent="0.25">
      <c r="A4544" s="1"/>
      <c r="B4544" s="2"/>
      <c r="AA4544" s="3"/>
      <c r="AD4544" s="3"/>
      <c r="AG4544" s="3"/>
      <c r="AJ4544" s="3"/>
    </row>
    <row r="4545" spans="1:36" x14ac:dyDescent="0.25">
      <c r="A4545" s="1"/>
      <c r="B4545" s="2"/>
      <c r="AA4545" s="3"/>
      <c r="AD4545" s="3"/>
      <c r="AG4545" s="3"/>
      <c r="AJ4545" s="3"/>
    </row>
    <row r="4546" spans="1:36" x14ac:dyDescent="0.25">
      <c r="A4546" s="1"/>
      <c r="B4546" s="2"/>
      <c r="AA4546" s="3"/>
      <c r="AD4546" s="3"/>
      <c r="AG4546" s="3"/>
      <c r="AJ4546" s="3"/>
    </row>
    <row r="4547" spans="1:36" x14ac:dyDescent="0.25">
      <c r="A4547" s="1"/>
      <c r="B4547" s="2"/>
      <c r="AA4547" s="3"/>
      <c r="AD4547" s="3"/>
      <c r="AG4547" s="3"/>
      <c r="AJ4547" s="3"/>
    </row>
    <row r="4548" spans="1:36" x14ac:dyDescent="0.25">
      <c r="A4548" s="1"/>
      <c r="B4548" s="2"/>
      <c r="AA4548" s="3"/>
      <c r="AD4548" s="3"/>
      <c r="AG4548" s="3"/>
      <c r="AJ4548" s="3"/>
    </row>
    <row r="4549" spans="1:36" x14ac:dyDescent="0.25">
      <c r="A4549" s="1"/>
      <c r="B4549" s="2"/>
      <c r="AA4549" s="3"/>
      <c r="AD4549" s="3"/>
      <c r="AG4549" s="3"/>
      <c r="AJ4549" s="3"/>
    </row>
    <row r="4550" spans="1:36" x14ac:dyDescent="0.25">
      <c r="A4550" s="1"/>
      <c r="B4550" s="2"/>
      <c r="AA4550" s="3"/>
      <c r="AD4550" s="3"/>
      <c r="AG4550" s="3"/>
      <c r="AJ4550" s="3"/>
    </row>
    <row r="4551" spans="1:36" x14ac:dyDescent="0.25">
      <c r="A4551" s="1"/>
      <c r="B4551" s="2"/>
      <c r="AA4551" s="3"/>
      <c r="AD4551" s="3"/>
      <c r="AG4551" s="3"/>
      <c r="AJ4551" s="3"/>
    </row>
    <row r="4552" spans="1:36" x14ac:dyDescent="0.25">
      <c r="A4552" s="1"/>
      <c r="B4552" s="2"/>
      <c r="AA4552" s="3"/>
      <c r="AD4552" s="3"/>
      <c r="AG4552" s="3"/>
      <c r="AJ4552" s="3"/>
    </row>
    <row r="4553" spans="1:36" x14ac:dyDescent="0.25">
      <c r="A4553" s="1"/>
      <c r="B4553" s="2"/>
      <c r="AA4553" s="3"/>
      <c r="AD4553" s="3"/>
      <c r="AG4553" s="3"/>
      <c r="AJ4553" s="3"/>
    </row>
    <row r="4554" spans="1:36" x14ac:dyDescent="0.25">
      <c r="A4554" s="1"/>
      <c r="B4554" s="2"/>
      <c r="AA4554" s="3"/>
      <c r="AD4554" s="3"/>
      <c r="AG4554" s="3"/>
      <c r="AJ4554" s="3"/>
    </row>
    <row r="4555" spans="1:36" x14ac:dyDescent="0.25">
      <c r="A4555" s="1"/>
      <c r="B4555" s="2"/>
      <c r="AA4555" s="3"/>
      <c r="AD4555" s="3"/>
      <c r="AG4555" s="3"/>
      <c r="AJ4555" s="3"/>
    </row>
    <row r="4556" spans="1:36" x14ac:dyDescent="0.25">
      <c r="A4556" s="1"/>
      <c r="B4556" s="2"/>
      <c r="AA4556" s="3"/>
      <c r="AD4556" s="3"/>
      <c r="AG4556" s="3"/>
      <c r="AJ4556" s="3"/>
    </row>
    <row r="4557" spans="1:36" x14ac:dyDescent="0.25">
      <c r="A4557" s="1"/>
      <c r="B4557" s="2"/>
      <c r="AA4557" s="3"/>
      <c r="AD4557" s="3"/>
      <c r="AG4557" s="3"/>
      <c r="AJ4557" s="3"/>
    </row>
    <row r="4558" spans="1:36" x14ac:dyDescent="0.25">
      <c r="A4558" s="1"/>
      <c r="B4558" s="2"/>
      <c r="AA4558" s="3"/>
      <c r="AD4558" s="3"/>
      <c r="AG4558" s="3"/>
      <c r="AJ4558" s="3"/>
    </row>
    <row r="4559" spans="1:36" x14ac:dyDescent="0.25">
      <c r="A4559" s="1"/>
      <c r="B4559" s="2"/>
      <c r="AA4559" s="3"/>
      <c r="AD4559" s="3"/>
      <c r="AG4559" s="3"/>
      <c r="AJ4559" s="3"/>
    </row>
    <row r="4560" spans="1:36" x14ac:dyDescent="0.25">
      <c r="A4560" s="1"/>
      <c r="B4560" s="2"/>
      <c r="AA4560" s="3"/>
      <c r="AD4560" s="3"/>
      <c r="AG4560" s="3"/>
      <c r="AJ4560" s="3"/>
    </row>
    <row r="4561" spans="1:36" x14ac:dyDescent="0.25">
      <c r="A4561" s="1"/>
      <c r="B4561" s="2"/>
      <c r="AA4561" s="3"/>
      <c r="AD4561" s="3"/>
      <c r="AG4561" s="3"/>
      <c r="AJ4561" s="3"/>
    </row>
    <row r="4562" spans="1:36" x14ac:dyDescent="0.25">
      <c r="A4562" s="1"/>
      <c r="B4562" s="2"/>
      <c r="AA4562" s="3"/>
      <c r="AD4562" s="3"/>
      <c r="AG4562" s="3"/>
      <c r="AJ4562" s="3"/>
    </row>
    <row r="4563" spans="1:36" x14ac:dyDescent="0.25">
      <c r="A4563" s="1"/>
      <c r="B4563" s="2"/>
      <c r="AA4563" s="3"/>
      <c r="AD4563" s="3"/>
      <c r="AG4563" s="3"/>
      <c r="AJ4563" s="3"/>
    </row>
    <row r="4564" spans="1:36" x14ac:dyDescent="0.25">
      <c r="A4564" s="1"/>
      <c r="B4564" s="2"/>
      <c r="AA4564" s="3"/>
      <c r="AD4564" s="3"/>
      <c r="AG4564" s="3"/>
      <c r="AJ4564" s="3"/>
    </row>
    <row r="4565" spans="1:36" x14ac:dyDescent="0.25">
      <c r="A4565" s="1"/>
      <c r="B4565" s="2"/>
      <c r="AA4565" s="3"/>
      <c r="AD4565" s="3"/>
      <c r="AG4565" s="3"/>
      <c r="AJ4565" s="3"/>
    </row>
    <row r="4566" spans="1:36" x14ac:dyDescent="0.25">
      <c r="A4566" s="1"/>
      <c r="B4566" s="2"/>
      <c r="AA4566" s="3"/>
      <c r="AD4566" s="3"/>
      <c r="AG4566" s="3"/>
      <c r="AJ4566" s="3"/>
    </row>
    <row r="4567" spans="1:36" x14ac:dyDescent="0.25">
      <c r="A4567" s="1"/>
      <c r="B4567" s="2"/>
      <c r="AA4567" s="3"/>
      <c r="AD4567" s="3"/>
      <c r="AG4567" s="3"/>
      <c r="AJ4567" s="3"/>
    </row>
    <row r="4568" spans="1:36" x14ac:dyDescent="0.25">
      <c r="A4568" s="1"/>
      <c r="B4568" s="2"/>
      <c r="AA4568" s="3"/>
      <c r="AD4568" s="3"/>
      <c r="AG4568" s="3"/>
      <c r="AJ4568" s="3"/>
    </row>
    <row r="4569" spans="1:36" x14ac:dyDescent="0.25">
      <c r="A4569" s="1"/>
      <c r="B4569" s="2"/>
      <c r="AA4569" s="3"/>
      <c r="AD4569" s="3"/>
      <c r="AG4569" s="3"/>
      <c r="AJ4569" s="3"/>
    </row>
    <row r="4570" spans="1:36" x14ac:dyDescent="0.25">
      <c r="A4570" s="1"/>
      <c r="B4570" s="2"/>
      <c r="AA4570" s="3"/>
      <c r="AD4570" s="3"/>
      <c r="AG4570" s="3"/>
      <c r="AJ4570" s="3"/>
    </row>
    <row r="4571" spans="1:36" x14ac:dyDescent="0.25">
      <c r="A4571" s="1"/>
      <c r="B4571" s="2"/>
      <c r="AA4571" s="3"/>
      <c r="AD4571" s="3"/>
      <c r="AG4571" s="3"/>
      <c r="AJ4571" s="3"/>
    </row>
    <row r="4572" spans="1:36" x14ac:dyDescent="0.25">
      <c r="A4572" s="1"/>
      <c r="B4572" s="2"/>
      <c r="AA4572" s="3"/>
      <c r="AD4572" s="3"/>
      <c r="AG4572" s="3"/>
      <c r="AJ4572" s="3"/>
    </row>
    <row r="4573" spans="1:36" x14ac:dyDescent="0.25">
      <c r="A4573" s="1"/>
      <c r="B4573" s="2"/>
      <c r="AA4573" s="3"/>
      <c r="AD4573" s="3"/>
      <c r="AG4573" s="3"/>
      <c r="AJ4573" s="3"/>
    </row>
    <row r="4574" spans="1:36" x14ac:dyDescent="0.25">
      <c r="A4574" s="1"/>
      <c r="B4574" s="2"/>
      <c r="AA4574" s="3"/>
      <c r="AD4574" s="3"/>
      <c r="AG4574" s="3"/>
      <c r="AJ4574" s="3"/>
    </row>
    <row r="4575" spans="1:36" x14ac:dyDescent="0.25">
      <c r="A4575" s="1"/>
      <c r="B4575" s="2"/>
      <c r="AA4575" s="3"/>
      <c r="AD4575" s="3"/>
      <c r="AG4575" s="3"/>
      <c r="AJ4575" s="3"/>
    </row>
    <row r="4576" spans="1:36" x14ac:dyDescent="0.25">
      <c r="A4576" s="1"/>
      <c r="B4576" s="2"/>
      <c r="AA4576" s="3"/>
      <c r="AD4576" s="3"/>
      <c r="AG4576" s="3"/>
      <c r="AJ4576" s="3"/>
    </row>
    <row r="4577" spans="1:36" x14ac:dyDescent="0.25">
      <c r="A4577" s="1"/>
      <c r="B4577" s="2"/>
      <c r="AA4577" s="3"/>
      <c r="AD4577" s="3"/>
      <c r="AG4577" s="3"/>
      <c r="AJ4577" s="3"/>
    </row>
    <row r="4578" spans="1:36" x14ac:dyDescent="0.25">
      <c r="A4578" s="1"/>
      <c r="B4578" s="2"/>
      <c r="AA4578" s="3"/>
      <c r="AD4578" s="3"/>
      <c r="AG4578" s="3"/>
      <c r="AJ4578" s="3"/>
    </row>
    <row r="4579" spans="1:36" x14ac:dyDescent="0.25">
      <c r="A4579" s="1"/>
      <c r="B4579" s="2"/>
      <c r="AA4579" s="3"/>
      <c r="AD4579" s="3"/>
      <c r="AG4579" s="3"/>
      <c r="AJ4579" s="3"/>
    </row>
    <row r="4580" spans="1:36" x14ac:dyDescent="0.25">
      <c r="A4580" s="1"/>
      <c r="B4580" s="2"/>
      <c r="AA4580" s="3"/>
      <c r="AD4580" s="3"/>
      <c r="AG4580" s="3"/>
      <c r="AJ4580" s="3"/>
    </row>
    <row r="4581" spans="1:36" x14ac:dyDescent="0.25">
      <c r="A4581" s="1"/>
      <c r="B4581" s="2"/>
      <c r="AA4581" s="3"/>
      <c r="AD4581" s="3"/>
      <c r="AG4581" s="3"/>
      <c r="AJ4581" s="3"/>
    </row>
    <row r="4582" spans="1:36" x14ac:dyDescent="0.25">
      <c r="A4582" s="1"/>
      <c r="B4582" s="2"/>
      <c r="AA4582" s="3"/>
      <c r="AD4582" s="3"/>
      <c r="AG4582" s="3"/>
      <c r="AJ4582" s="3"/>
    </row>
    <row r="4583" spans="1:36" x14ac:dyDescent="0.25">
      <c r="A4583" s="1"/>
      <c r="B4583" s="2"/>
      <c r="AA4583" s="3"/>
      <c r="AD4583" s="3"/>
      <c r="AG4583" s="3"/>
      <c r="AJ4583" s="3"/>
    </row>
    <row r="4584" spans="1:36" x14ac:dyDescent="0.25">
      <c r="A4584" s="1"/>
      <c r="B4584" s="2"/>
      <c r="AA4584" s="3"/>
      <c r="AD4584" s="3"/>
      <c r="AG4584" s="3"/>
      <c r="AJ4584" s="3"/>
    </row>
    <row r="4585" spans="1:36" x14ac:dyDescent="0.25">
      <c r="A4585" s="1"/>
      <c r="B4585" s="2"/>
      <c r="AA4585" s="3"/>
      <c r="AD4585" s="3"/>
      <c r="AG4585" s="3"/>
      <c r="AJ4585" s="3"/>
    </row>
    <row r="4586" spans="1:36" x14ac:dyDescent="0.25">
      <c r="A4586" s="1"/>
      <c r="B4586" s="2"/>
      <c r="AA4586" s="3"/>
      <c r="AD4586" s="3"/>
      <c r="AG4586" s="3"/>
      <c r="AJ4586" s="3"/>
    </row>
    <row r="4587" spans="1:36" x14ac:dyDescent="0.25">
      <c r="A4587" s="1"/>
      <c r="B4587" s="2"/>
      <c r="AA4587" s="3"/>
      <c r="AD4587" s="3"/>
      <c r="AG4587" s="3"/>
      <c r="AJ4587" s="3"/>
    </row>
    <row r="4588" spans="1:36" x14ac:dyDescent="0.25">
      <c r="A4588" s="1"/>
      <c r="B4588" s="2"/>
      <c r="AA4588" s="3"/>
      <c r="AD4588" s="3"/>
      <c r="AG4588" s="3"/>
      <c r="AJ4588" s="3"/>
    </row>
    <row r="4589" spans="1:36" x14ac:dyDescent="0.25">
      <c r="A4589" s="1"/>
      <c r="B4589" s="2"/>
      <c r="AA4589" s="3"/>
      <c r="AD4589" s="3"/>
      <c r="AG4589" s="3"/>
      <c r="AJ4589" s="3"/>
    </row>
    <row r="4590" spans="1:36" x14ac:dyDescent="0.25">
      <c r="A4590" s="1"/>
      <c r="B4590" s="2"/>
      <c r="AA4590" s="3"/>
      <c r="AD4590" s="3"/>
      <c r="AG4590" s="3"/>
      <c r="AJ4590" s="3"/>
    </row>
    <row r="4591" spans="1:36" x14ac:dyDescent="0.25">
      <c r="A4591" s="1"/>
      <c r="B4591" s="2"/>
      <c r="AA4591" s="3"/>
      <c r="AD4591" s="3"/>
      <c r="AG4591" s="3"/>
      <c r="AJ4591" s="3"/>
    </row>
    <row r="4592" spans="1:36" x14ac:dyDescent="0.25">
      <c r="A4592" s="1"/>
      <c r="B4592" s="2"/>
      <c r="AA4592" s="3"/>
      <c r="AD4592" s="3"/>
      <c r="AG4592" s="3"/>
      <c r="AJ4592" s="3"/>
    </row>
    <row r="4593" spans="1:36" x14ac:dyDescent="0.25">
      <c r="A4593" s="1"/>
      <c r="B4593" s="2"/>
      <c r="AA4593" s="3"/>
      <c r="AD4593" s="3"/>
      <c r="AG4593" s="3"/>
      <c r="AJ4593" s="3"/>
    </row>
    <row r="4594" spans="1:36" x14ac:dyDescent="0.25">
      <c r="A4594" s="1"/>
      <c r="B4594" s="2"/>
      <c r="AA4594" s="3"/>
      <c r="AD4594" s="3"/>
      <c r="AG4594" s="3"/>
      <c r="AJ4594" s="3"/>
    </row>
    <row r="4595" spans="1:36" x14ac:dyDescent="0.25">
      <c r="A4595" s="1"/>
      <c r="B4595" s="2"/>
      <c r="AA4595" s="3"/>
      <c r="AD4595" s="3"/>
      <c r="AG4595" s="3"/>
      <c r="AJ4595" s="3"/>
    </row>
    <row r="4596" spans="1:36" x14ac:dyDescent="0.25">
      <c r="A4596" s="1"/>
      <c r="B4596" s="2"/>
      <c r="AA4596" s="3"/>
      <c r="AD4596" s="3"/>
      <c r="AG4596" s="3"/>
      <c r="AJ4596" s="3"/>
    </row>
    <row r="4597" spans="1:36" x14ac:dyDescent="0.25">
      <c r="A4597" s="1"/>
      <c r="B4597" s="2"/>
      <c r="AA4597" s="3"/>
      <c r="AD4597" s="3"/>
      <c r="AG4597" s="3"/>
      <c r="AJ4597" s="3"/>
    </row>
    <row r="4598" spans="1:36" x14ac:dyDescent="0.25">
      <c r="A4598" s="1"/>
      <c r="B4598" s="2"/>
      <c r="AA4598" s="3"/>
      <c r="AD4598" s="3"/>
      <c r="AG4598" s="3"/>
      <c r="AJ4598" s="3"/>
    </row>
    <row r="4599" spans="1:36" x14ac:dyDescent="0.25">
      <c r="A4599" s="1"/>
      <c r="B4599" s="2"/>
      <c r="AA4599" s="3"/>
      <c r="AD4599" s="3"/>
      <c r="AG4599" s="3"/>
      <c r="AJ4599" s="3"/>
    </row>
    <row r="4600" spans="1:36" x14ac:dyDescent="0.25">
      <c r="A4600" s="1"/>
      <c r="B4600" s="2"/>
      <c r="AA4600" s="3"/>
      <c r="AD4600" s="3"/>
      <c r="AG4600" s="3"/>
      <c r="AJ4600" s="3"/>
    </row>
    <row r="4601" spans="1:36" x14ac:dyDescent="0.25">
      <c r="A4601" s="1"/>
      <c r="B4601" s="2"/>
      <c r="AA4601" s="3"/>
      <c r="AD4601" s="3"/>
      <c r="AG4601" s="3"/>
      <c r="AJ4601" s="3"/>
    </row>
    <row r="4602" spans="1:36" x14ac:dyDescent="0.25">
      <c r="A4602" s="1"/>
      <c r="B4602" s="2"/>
      <c r="AA4602" s="3"/>
      <c r="AD4602" s="3"/>
      <c r="AG4602" s="3"/>
      <c r="AJ4602" s="3"/>
    </row>
    <row r="4603" spans="1:36" x14ac:dyDescent="0.25">
      <c r="A4603" s="1"/>
      <c r="B4603" s="2"/>
      <c r="AA4603" s="3"/>
      <c r="AD4603" s="3"/>
      <c r="AG4603" s="3"/>
      <c r="AJ4603" s="3"/>
    </row>
    <row r="4604" spans="1:36" x14ac:dyDescent="0.25">
      <c r="A4604" s="1"/>
      <c r="B4604" s="2"/>
      <c r="AA4604" s="3"/>
      <c r="AD4604" s="3"/>
      <c r="AG4604" s="3"/>
      <c r="AJ4604" s="3"/>
    </row>
    <row r="4605" spans="1:36" x14ac:dyDescent="0.25">
      <c r="A4605" s="1"/>
      <c r="B4605" s="2"/>
      <c r="AA4605" s="3"/>
      <c r="AD4605" s="3"/>
      <c r="AG4605" s="3"/>
      <c r="AJ4605" s="3"/>
    </row>
    <row r="4606" spans="1:36" x14ac:dyDescent="0.25">
      <c r="A4606" s="1"/>
      <c r="B4606" s="2"/>
      <c r="AA4606" s="3"/>
      <c r="AD4606" s="3"/>
      <c r="AG4606" s="3"/>
      <c r="AJ4606" s="3"/>
    </row>
    <row r="4607" spans="1:36" x14ac:dyDescent="0.25">
      <c r="A4607" s="1"/>
      <c r="B4607" s="2"/>
      <c r="AA4607" s="3"/>
      <c r="AD4607" s="3"/>
      <c r="AG4607" s="3"/>
      <c r="AJ4607" s="3"/>
    </row>
    <row r="4608" spans="1:36" x14ac:dyDescent="0.25">
      <c r="A4608" s="1"/>
      <c r="B4608" s="2"/>
      <c r="AA4608" s="3"/>
      <c r="AD4608" s="3"/>
      <c r="AG4608" s="3"/>
      <c r="AJ4608" s="3"/>
    </row>
    <row r="4609" spans="1:36" x14ac:dyDescent="0.25">
      <c r="A4609" s="1"/>
      <c r="B4609" s="2"/>
      <c r="AA4609" s="3"/>
      <c r="AD4609" s="3"/>
      <c r="AG4609" s="3"/>
      <c r="AJ4609" s="3"/>
    </row>
    <row r="4610" spans="1:36" x14ac:dyDescent="0.25">
      <c r="A4610" s="1"/>
      <c r="B4610" s="2"/>
      <c r="AA4610" s="3"/>
      <c r="AD4610" s="3"/>
      <c r="AG4610" s="3"/>
      <c r="AJ4610" s="3"/>
    </row>
    <row r="4611" spans="1:36" x14ac:dyDescent="0.25">
      <c r="A4611" s="1"/>
      <c r="B4611" s="2"/>
      <c r="AA4611" s="3"/>
      <c r="AD4611" s="3"/>
      <c r="AG4611" s="3"/>
      <c r="AJ4611" s="3"/>
    </row>
    <row r="4612" spans="1:36" x14ac:dyDescent="0.25">
      <c r="A4612" s="1"/>
      <c r="B4612" s="2"/>
      <c r="AA4612" s="3"/>
      <c r="AD4612" s="3"/>
      <c r="AG4612" s="3"/>
      <c r="AJ4612" s="3"/>
    </row>
    <row r="4613" spans="1:36" x14ac:dyDescent="0.25">
      <c r="A4613" s="1"/>
      <c r="B4613" s="2"/>
      <c r="AA4613" s="3"/>
      <c r="AD4613" s="3"/>
      <c r="AG4613" s="3"/>
      <c r="AJ4613" s="3"/>
    </row>
    <row r="4614" spans="1:36" x14ac:dyDescent="0.25">
      <c r="A4614" s="1"/>
      <c r="B4614" s="2"/>
      <c r="AA4614" s="3"/>
      <c r="AD4614" s="3"/>
      <c r="AG4614" s="3"/>
      <c r="AJ4614" s="3"/>
    </row>
    <row r="4615" spans="1:36" x14ac:dyDescent="0.25">
      <c r="A4615" s="1"/>
      <c r="B4615" s="2"/>
      <c r="AA4615" s="3"/>
      <c r="AD4615" s="3"/>
      <c r="AG4615" s="3"/>
      <c r="AJ4615" s="3"/>
    </row>
    <row r="4616" spans="1:36" x14ac:dyDescent="0.25">
      <c r="A4616" s="1"/>
      <c r="B4616" s="2"/>
      <c r="AA4616" s="3"/>
      <c r="AD4616" s="3"/>
      <c r="AG4616" s="3"/>
      <c r="AJ4616" s="3"/>
    </row>
    <row r="4617" spans="1:36" x14ac:dyDescent="0.25">
      <c r="A4617" s="1"/>
      <c r="B4617" s="2"/>
      <c r="AA4617" s="3"/>
      <c r="AD4617" s="3"/>
      <c r="AG4617" s="3"/>
      <c r="AJ4617" s="3"/>
    </row>
    <row r="4618" spans="1:36" x14ac:dyDescent="0.25">
      <c r="A4618" s="1"/>
      <c r="B4618" s="2"/>
      <c r="AA4618" s="3"/>
      <c r="AD4618" s="3"/>
      <c r="AG4618" s="3"/>
      <c r="AJ4618" s="3"/>
    </row>
    <row r="4619" spans="1:36" x14ac:dyDescent="0.25">
      <c r="A4619" s="1"/>
      <c r="B4619" s="2"/>
      <c r="AA4619" s="3"/>
      <c r="AD4619" s="3"/>
      <c r="AG4619" s="3"/>
      <c r="AJ4619" s="3"/>
    </row>
    <row r="4620" spans="1:36" x14ac:dyDescent="0.25">
      <c r="A4620" s="1"/>
      <c r="B4620" s="2"/>
      <c r="AA4620" s="3"/>
      <c r="AD4620" s="3"/>
      <c r="AG4620" s="3"/>
      <c r="AJ4620" s="3"/>
    </row>
    <row r="4621" spans="1:36" x14ac:dyDescent="0.25">
      <c r="A4621" s="1"/>
      <c r="B4621" s="2"/>
      <c r="AA4621" s="3"/>
      <c r="AD4621" s="3"/>
      <c r="AG4621" s="3"/>
      <c r="AJ4621" s="3"/>
    </row>
    <row r="4622" spans="1:36" x14ac:dyDescent="0.25">
      <c r="A4622" s="1"/>
      <c r="B4622" s="2"/>
      <c r="AA4622" s="3"/>
      <c r="AD4622" s="3"/>
      <c r="AG4622" s="3"/>
      <c r="AJ4622" s="3"/>
    </row>
    <row r="4623" spans="1:36" x14ac:dyDescent="0.25">
      <c r="A4623" s="1"/>
      <c r="B4623" s="2"/>
      <c r="AA4623" s="3"/>
      <c r="AD4623" s="3"/>
      <c r="AG4623" s="3"/>
      <c r="AJ4623" s="3"/>
    </row>
    <row r="4624" spans="1:36" x14ac:dyDescent="0.25">
      <c r="A4624" s="1"/>
      <c r="B4624" s="2"/>
      <c r="AA4624" s="3"/>
      <c r="AD4624" s="3"/>
      <c r="AG4624" s="3"/>
      <c r="AJ4624" s="3"/>
    </row>
    <row r="4625" spans="1:36" x14ac:dyDescent="0.25">
      <c r="A4625" s="1"/>
      <c r="B4625" s="2"/>
      <c r="AA4625" s="3"/>
      <c r="AD4625" s="3"/>
      <c r="AG4625" s="3"/>
      <c r="AJ4625" s="3"/>
    </row>
    <row r="4626" spans="1:36" x14ac:dyDescent="0.25">
      <c r="A4626" s="1"/>
      <c r="B4626" s="2"/>
      <c r="AA4626" s="3"/>
      <c r="AD4626" s="3"/>
      <c r="AG4626" s="3"/>
      <c r="AJ4626" s="3"/>
    </row>
    <row r="4627" spans="1:36" x14ac:dyDescent="0.25">
      <c r="A4627" s="1"/>
      <c r="B4627" s="2"/>
      <c r="AA4627" s="3"/>
      <c r="AD4627" s="3"/>
      <c r="AG4627" s="3"/>
      <c r="AJ4627" s="3"/>
    </row>
    <row r="4628" spans="1:36" x14ac:dyDescent="0.25">
      <c r="A4628" s="1"/>
      <c r="B4628" s="2"/>
      <c r="AA4628" s="3"/>
      <c r="AD4628" s="3"/>
      <c r="AG4628" s="3"/>
      <c r="AJ4628" s="3"/>
    </row>
    <row r="4629" spans="1:36" x14ac:dyDescent="0.25">
      <c r="A4629" s="1"/>
      <c r="B4629" s="2"/>
      <c r="AA4629" s="3"/>
      <c r="AD4629" s="3"/>
      <c r="AG4629" s="3"/>
      <c r="AJ4629" s="3"/>
    </row>
    <row r="4630" spans="1:36" x14ac:dyDescent="0.25">
      <c r="A4630" s="1"/>
      <c r="B4630" s="2"/>
      <c r="AA4630" s="3"/>
      <c r="AD4630" s="3"/>
      <c r="AG4630" s="3"/>
      <c r="AJ4630" s="3"/>
    </row>
    <row r="4631" spans="1:36" x14ac:dyDescent="0.25">
      <c r="A4631" s="1"/>
      <c r="B4631" s="2"/>
      <c r="AA4631" s="3"/>
      <c r="AD4631" s="3"/>
      <c r="AG4631" s="3"/>
      <c r="AJ4631" s="3"/>
    </row>
    <row r="4632" spans="1:36" x14ac:dyDescent="0.25">
      <c r="A4632" s="1"/>
      <c r="B4632" s="2"/>
      <c r="AA4632" s="3"/>
      <c r="AD4632" s="3"/>
      <c r="AG4632" s="3"/>
      <c r="AJ4632" s="3"/>
    </row>
    <row r="4633" spans="1:36" x14ac:dyDescent="0.25">
      <c r="A4633" s="1"/>
      <c r="B4633" s="2"/>
      <c r="AA4633" s="3"/>
      <c r="AD4633" s="3"/>
      <c r="AG4633" s="3"/>
      <c r="AJ4633" s="3"/>
    </row>
    <row r="4634" spans="1:36" x14ac:dyDescent="0.25">
      <c r="A4634" s="1"/>
      <c r="B4634" s="2"/>
      <c r="AA4634" s="3"/>
      <c r="AD4634" s="3"/>
      <c r="AG4634" s="3"/>
      <c r="AJ4634" s="3"/>
    </row>
    <row r="4635" spans="1:36" x14ac:dyDescent="0.25">
      <c r="A4635" s="1"/>
      <c r="B4635" s="2"/>
      <c r="AA4635" s="3"/>
      <c r="AD4635" s="3"/>
      <c r="AG4635" s="3"/>
      <c r="AJ4635" s="3"/>
    </row>
    <row r="4636" spans="1:36" x14ac:dyDescent="0.25">
      <c r="A4636" s="1"/>
      <c r="B4636" s="2"/>
      <c r="AA4636" s="3"/>
      <c r="AD4636" s="3"/>
      <c r="AG4636" s="3"/>
      <c r="AJ4636" s="3"/>
    </row>
    <row r="4637" spans="1:36" x14ac:dyDescent="0.25">
      <c r="A4637" s="1"/>
      <c r="B4637" s="2"/>
      <c r="AA4637" s="3"/>
      <c r="AD4637" s="3"/>
      <c r="AG4637" s="3"/>
      <c r="AJ4637" s="3"/>
    </row>
    <row r="4638" spans="1:36" x14ac:dyDescent="0.25">
      <c r="A4638" s="1"/>
      <c r="B4638" s="2"/>
      <c r="AA4638" s="3"/>
      <c r="AD4638" s="3"/>
      <c r="AG4638" s="3"/>
      <c r="AJ4638" s="3"/>
    </row>
    <row r="4639" spans="1:36" x14ac:dyDescent="0.25">
      <c r="A4639" s="1"/>
      <c r="B4639" s="2"/>
      <c r="AA4639" s="3"/>
      <c r="AD4639" s="3"/>
      <c r="AG4639" s="3"/>
      <c r="AJ4639" s="3"/>
    </row>
    <row r="4640" spans="1:36" x14ac:dyDescent="0.25">
      <c r="A4640" s="1"/>
      <c r="B4640" s="2"/>
      <c r="AA4640" s="3"/>
      <c r="AD4640" s="3"/>
      <c r="AG4640" s="3"/>
      <c r="AJ4640" s="3"/>
    </row>
    <row r="4641" spans="1:36" x14ac:dyDescent="0.25">
      <c r="A4641" s="1"/>
      <c r="B4641" s="2"/>
      <c r="AA4641" s="3"/>
      <c r="AD4641" s="3"/>
      <c r="AG4641" s="3"/>
      <c r="AJ4641" s="3"/>
    </row>
    <row r="4642" spans="1:36" x14ac:dyDescent="0.25">
      <c r="A4642" s="1"/>
      <c r="B4642" s="2"/>
      <c r="AA4642" s="3"/>
      <c r="AD4642" s="3"/>
      <c r="AG4642" s="3"/>
      <c r="AJ4642" s="3"/>
    </row>
    <row r="4643" spans="1:36" x14ac:dyDescent="0.25">
      <c r="A4643" s="1"/>
      <c r="B4643" s="2"/>
      <c r="AA4643" s="3"/>
      <c r="AD4643" s="3"/>
      <c r="AG4643" s="3"/>
      <c r="AJ4643" s="3"/>
    </row>
    <row r="4644" spans="1:36" x14ac:dyDescent="0.25">
      <c r="A4644" s="1"/>
      <c r="B4644" s="2"/>
      <c r="AA4644" s="3"/>
      <c r="AD4644" s="3"/>
      <c r="AG4644" s="3"/>
      <c r="AJ4644" s="3"/>
    </row>
    <row r="4645" spans="1:36" x14ac:dyDescent="0.25">
      <c r="A4645" s="1"/>
      <c r="B4645" s="2"/>
      <c r="AA4645" s="3"/>
      <c r="AD4645" s="3"/>
      <c r="AG4645" s="3"/>
      <c r="AJ4645" s="3"/>
    </row>
    <row r="4646" spans="1:36" x14ac:dyDescent="0.25">
      <c r="A4646" s="1"/>
      <c r="B4646" s="2"/>
      <c r="AA4646" s="3"/>
      <c r="AD4646" s="3"/>
      <c r="AG4646" s="3"/>
      <c r="AJ4646" s="3"/>
    </row>
    <row r="4647" spans="1:36" x14ac:dyDescent="0.25">
      <c r="A4647" s="1"/>
      <c r="B4647" s="2"/>
      <c r="AA4647" s="3"/>
      <c r="AD4647" s="3"/>
      <c r="AG4647" s="3"/>
      <c r="AJ4647" s="3"/>
    </row>
    <row r="4648" spans="1:36" x14ac:dyDescent="0.25">
      <c r="A4648" s="1"/>
      <c r="B4648" s="2"/>
      <c r="AA4648" s="3"/>
      <c r="AD4648" s="3"/>
      <c r="AG4648" s="3"/>
      <c r="AJ4648" s="3"/>
    </row>
    <row r="4649" spans="1:36" x14ac:dyDescent="0.25">
      <c r="A4649" s="1"/>
      <c r="B4649" s="2"/>
      <c r="AA4649" s="3"/>
      <c r="AD4649" s="3"/>
      <c r="AG4649" s="3"/>
      <c r="AJ4649" s="3"/>
    </row>
    <row r="4650" spans="1:36" x14ac:dyDescent="0.25">
      <c r="A4650" s="1"/>
      <c r="B4650" s="2"/>
      <c r="AA4650" s="3"/>
      <c r="AD4650" s="3"/>
      <c r="AG4650" s="3"/>
      <c r="AJ4650" s="3"/>
    </row>
    <row r="4651" spans="1:36" x14ac:dyDescent="0.25">
      <c r="A4651" s="1"/>
      <c r="B4651" s="2"/>
      <c r="AA4651" s="3"/>
      <c r="AD4651" s="3"/>
      <c r="AG4651" s="3"/>
      <c r="AJ4651" s="3"/>
    </row>
    <row r="4652" spans="1:36" x14ac:dyDescent="0.25">
      <c r="A4652" s="1"/>
      <c r="B4652" s="2"/>
      <c r="AA4652" s="3"/>
      <c r="AD4652" s="3"/>
      <c r="AG4652" s="3"/>
      <c r="AJ4652" s="3"/>
    </row>
    <row r="4653" spans="1:36" x14ac:dyDescent="0.25">
      <c r="A4653" s="1"/>
      <c r="B4653" s="2"/>
      <c r="AA4653" s="3"/>
      <c r="AD4653" s="3"/>
      <c r="AG4653" s="3"/>
      <c r="AJ4653" s="3"/>
    </row>
    <row r="4654" spans="1:36" x14ac:dyDescent="0.25">
      <c r="A4654" s="1"/>
      <c r="B4654" s="2"/>
      <c r="AA4654" s="3"/>
      <c r="AD4654" s="3"/>
      <c r="AG4654" s="3"/>
      <c r="AJ4654" s="3"/>
    </row>
    <row r="4655" spans="1:36" x14ac:dyDescent="0.25">
      <c r="A4655" s="1"/>
      <c r="B4655" s="2"/>
      <c r="AA4655" s="3"/>
      <c r="AD4655" s="3"/>
      <c r="AG4655" s="3"/>
      <c r="AJ4655" s="3"/>
    </row>
    <row r="4656" spans="1:36" x14ac:dyDescent="0.25">
      <c r="A4656" s="1"/>
      <c r="B4656" s="2"/>
      <c r="AA4656" s="3"/>
      <c r="AD4656" s="3"/>
      <c r="AG4656" s="3"/>
      <c r="AJ4656" s="3"/>
    </row>
    <row r="4657" spans="1:36" x14ac:dyDescent="0.25">
      <c r="A4657" s="1"/>
      <c r="B4657" s="2"/>
      <c r="AA4657" s="3"/>
      <c r="AD4657" s="3"/>
      <c r="AG4657" s="3"/>
      <c r="AJ4657" s="3"/>
    </row>
    <row r="4658" spans="1:36" x14ac:dyDescent="0.25">
      <c r="A4658" s="1"/>
      <c r="B4658" s="2"/>
      <c r="AA4658" s="3"/>
      <c r="AD4658" s="3"/>
      <c r="AG4658" s="3"/>
      <c r="AJ4658" s="3"/>
    </row>
    <row r="4659" spans="1:36" x14ac:dyDescent="0.25">
      <c r="A4659" s="1"/>
      <c r="B4659" s="2"/>
      <c r="AA4659" s="3"/>
      <c r="AD4659" s="3"/>
      <c r="AG4659" s="3"/>
      <c r="AJ4659" s="3"/>
    </row>
    <row r="4660" spans="1:36" x14ac:dyDescent="0.25">
      <c r="A4660" s="1"/>
      <c r="B4660" s="2"/>
      <c r="AA4660" s="3"/>
      <c r="AD4660" s="3"/>
      <c r="AG4660" s="3"/>
      <c r="AJ4660" s="3"/>
    </row>
    <row r="4661" spans="1:36" x14ac:dyDescent="0.25">
      <c r="A4661" s="1"/>
      <c r="B4661" s="2"/>
      <c r="AA4661" s="3"/>
      <c r="AD4661" s="3"/>
      <c r="AG4661" s="3"/>
      <c r="AJ4661" s="3"/>
    </row>
    <row r="4662" spans="1:36" x14ac:dyDescent="0.25">
      <c r="A4662" s="1"/>
      <c r="B4662" s="2"/>
      <c r="AA4662" s="3"/>
      <c r="AD4662" s="3"/>
      <c r="AG4662" s="3"/>
      <c r="AJ4662" s="3"/>
    </row>
    <row r="4663" spans="1:36" x14ac:dyDescent="0.25">
      <c r="A4663" s="1"/>
      <c r="B4663" s="2"/>
      <c r="AA4663" s="3"/>
      <c r="AD4663" s="3"/>
      <c r="AG4663" s="3"/>
      <c r="AJ4663" s="3"/>
    </row>
    <row r="4664" spans="1:36" x14ac:dyDescent="0.25">
      <c r="A4664" s="1"/>
      <c r="B4664" s="2"/>
      <c r="AA4664" s="3"/>
      <c r="AD4664" s="3"/>
      <c r="AG4664" s="3"/>
      <c r="AJ4664" s="3"/>
    </row>
    <row r="4665" spans="1:36" x14ac:dyDescent="0.25">
      <c r="A4665" s="1"/>
      <c r="B4665" s="2"/>
      <c r="AA4665" s="3"/>
      <c r="AD4665" s="3"/>
      <c r="AG4665" s="3"/>
      <c r="AJ4665" s="3"/>
    </row>
    <row r="4666" spans="1:36" x14ac:dyDescent="0.25">
      <c r="A4666" s="1"/>
      <c r="B4666" s="2"/>
      <c r="AA4666" s="3"/>
      <c r="AD4666" s="3"/>
      <c r="AG4666" s="3"/>
      <c r="AJ4666" s="3"/>
    </row>
    <row r="4667" spans="1:36" x14ac:dyDescent="0.25">
      <c r="A4667" s="1"/>
      <c r="B4667" s="2"/>
      <c r="AA4667" s="3"/>
      <c r="AD4667" s="3"/>
      <c r="AG4667" s="3"/>
      <c r="AJ4667" s="3"/>
    </row>
    <row r="4668" spans="1:36" x14ac:dyDescent="0.25">
      <c r="A4668" s="1"/>
      <c r="B4668" s="2"/>
      <c r="AA4668" s="3"/>
      <c r="AD4668" s="3"/>
      <c r="AG4668" s="3"/>
      <c r="AJ4668" s="3"/>
    </row>
    <row r="4669" spans="1:36" x14ac:dyDescent="0.25">
      <c r="A4669" s="1"/>
      <c r="B4669" s="2"/>
      <c r="AA4669" s="3"/>
      <c r="AD4669" s="3"/>
      <c r="AG4669" s="3"/>
      <c r="AJ4669" s="3"/>
    </row>
    <row r="4670" spans="1:36" x14ac:dyDescent="0.25">
      <c r="A4670" s="1"/>
      <c r="B4670" s="2"/>
      <c r="AA4670" s="3"/>
      <c r="AD4670" s="3"/>
      <c r="AG4670" s="3"/>
      <c r="AJ4670" s="3"/>
    </row>
    <row r="4671" spans="1:36" x14ac:dyDescent="0.25">
      <c r="A4671" s="1"/>
      <c r="B4671" s="2"/>
      <c r="AA4671" s="3"/>
      <c r="AD4671" s="3"/>
      <c r="AG4671" s="3"/>
      <c r="AJ4671" s="3"/>
    </row>
    <row r="4672" spans="1:36" x14ac:dyDescent="0.25">
      <c r="A4672" s="1"/>
      <c r="B4672" s="2"/>
      <c r="AA4672" s="3"/>
      <c r="AD4672" s="3"/>
      <c r="AG4672" s="3"/>
      <c r="AJ4672" s="3"/>
    </row>
    <row r="4673" spans="1:36" x14ac:dyDescent="0.25">
      <c r="A4673" s="1"/>
      <c r="B4673" s="2"/>
      <c r="AA4673" s="3"/>
      <c r="AD4673" s="3"/>
      <c r="AG4673" s="3"/>
      <c r="AJ4673" s="3"/>
    </row>
    <row r="4674" spans="1:36" x14ac:dyDescent="0.25">
      <c r="A4674" s="1"/>
      <c r="B4674" s="2"/>
      <c r="AA4674" s="3"/>
      <c r="AD4674" s="3"/>
      <c r="AG4674" s="3"/>
      <c r="AJ4674" s="3"/>
    </row>
    <row r="4675" spans="1:36" x14ac:dyDescent="0.25">
      <c r="A4675" s="1"/>
      <c r="B4675" s="2"/>
      <c r="AA4675" s="3"/>
      <c r="AD4675" s="3"/>
      <c r="AG4675" s="3"/>
      <c r="AJ4675" s="3"/>
    </row>
    <row r="4676" spans="1:36" x14ac:dyDescent="0.25">
      <c r="A4676" s="1"/>
      <c r="B4676" s="2"/>
      <c r="AA4676" s="3"/>
      <c r="AD4676" s="3"/>
      <c r="AG4676" s="3"/>
      <c r="AJ4676" s="3"/>
    </row>
    <row r="4677" spans="1:36" x14ac:dyDescent="0.25">
      <c r="A4677" s="1"/>
      <c r="B4677" s="2"/>
      <c r="AA4677" s="3"/>
      <c r="AD4677" s="3"/>
      <c r="AG4677" s="3"/>
      <c r="AJ4677" s="3"/>
    </row>
    <row r="4678" spans="1:36" x14ac:dyDescent="0.25">
      <c r="A4678" s="1"/>
      <c r="B4678" s="2"/>
      <c r="AA4678" s="3"/>
      <c r="AD4678" s="3"/>
      <c r="AG4678" s="3"/>
      <c r="AJ4678" s="3"/>
    </row>
    <row r="4679" spans="1:36" x14ac:dyDescent="0.25">
      <c r="A4679" s="1"/>
      <c r="B4679" s="2"/>
      <c r="AA4679" s="3"/>
      <c r="AD4679" s="3"/>
      <c r="AG4679" s="3"/>
      <c r="AJ4679" s="3"/>
    </row>
    <row r="4680" spans="1:36" x14ac:dyDescent="0.25">
      <c r="A4680" s="1"/>
      <c r="B4680" s="2"/>
      <c r="AA4680" s="3"/>
      <c r="AD4680" s="3"/>
      <c r="AG4680" s="3"/>
      <c r="AJ4680" s="3"/>
    </row>
    <row r="4681" spans="1:36" x14ac:dyDescent="0.25">
      <c r="A4681" s="1"/>
      <c r="B4681" s="2"/>
      <c r="AA4681" s="3"/>
      <c r="AD4681" s="3"/>
      <c r="AG4681" s="3"/>
      <c r="AJ4681" s="3"/>
    </row>
    <row r="4682" spans="1:36" x14ac:dyDescent="0.25">
      <c r="A4682" s="1"/>
      <c r="B4682" s="2"/>
      <c r="AA4682" s="3"/>
      <c r="AD4682" s="3"/>
      <c r="AG4682" s="3"/>
      <c r="AJ4682" s="3"/>
    </row>
    <row r="4683" spans="1:36" x14ac:dyDescent="0.25">
      <c r="A4683" s="1"/>
      <c r="B4683" s="2"/>
      <c r="AA4683" s="3"/>
      <c r="AD4683" s="3"/>
      <c r="AG4683" s="3"/>
      <c r="AJ4683" s="3"/>
    </row>
    <row r="4684" spans="1:36" x14ac:dyDescent="0.25">
      <c r="A4684" s="1"/>
      <c r="B4684" s="2"/>
      <c r="AA4684" s="3"/>
      <c r="AD4684" s="3"/>
      <c r="AG4684" s="3"/>
      <c r="AJ4684" s="3"/>
    </row>
    <row r="4685" spans="1:36" x14ac:dyDescent="0.25">
      <c r="A4685" s="1"/>
      <c r="B4685" s="2"/>
      <c r="AA4685" s="3"/>
      <c r="AD4685" s="3"/>
      <c r="AG4685" s="3"/>
      <c r="AJ4685" s="3"/>
    </row>
    <row r="4686" spans="1:36" x14ac:dyDescent="0.25">
      <c r="A4686" s="1"/>
      <c r="B4686" s="2"/>
      <c r="AA4686" s="3"/>
      <c r="AD4686" s="3"/>
      <c r="AG4686" s="3"/>
      <c r="AJ4686" s="3"/>
    </row>
    <row r="4687" spans="1:36" x14ac:dyDescent="0.25">
      <c r="A4687" s="1"/>
      <c r="B4687" s="2"/>
      <c r="AA4687" s="3"/>
      <c r="AD4687" s="3"/>
      <c r="AG4687" s="3"/>
      <c r="AJ4687" s="3"/>
    </row>
    <row r="4688" spans="1:36" x14ac:dyDescent="0.25">
      <c r="A4688" s="1"/>
      <c r="B4688" s="2"/>
      <c r="AA4688" s="3"/>
      <c r="AD4688" s="3"/>
      <c r="AG4688" s="3"/>
      <c r="AJ4688" s="3"/>
    </row>
    <row r="4689" spans="1:36" x14ac:dyDescent="0.25">
      <c r="A4689" s="1"/>
      <c r="B4689" s="2"/>
      <c r="AA4689" s="3"/>
      <c r="AD4689" s="3"/>
      <c r="AG4689" s="3"/>
      <c r="AJ4689" s="3"/>
    </row>
    <row r="4690" spans="1:36" x14ac:dyDescent="0.25">
      <c r="A4690" s="1"/>
      <c r="B4690" s="2"/>
      <c r="AA4690" s="3"/>
      <c r="AD4690" s="3"/>
      <c r="AG4690" s="3"/>
      <c r="AJ4690" s="3"/>
    </row>
    <row r="4691" spans="1:36" x14ac:dyDescent="0.25">
      <c r="A4691" s="1"/>
      <c r="B4691" s="2"/>
      <c r="AA4691" s="3"/>
      <c r="AD4691" s="3"/>
      <c r="AG4691" s="3"/>
      <c r="AJ4691" s="3"/>
    </row>
    <row r="4692" spans="1:36" x14ac:dyDescent="0.25">
      <c r="A4692" s="1"/>
      <c r="B4692" s="2"/>
      <c r="AA4692" s="3"/>
      <c r="AD4692" s="3"/>
      <c r="AG4692" s="3"/>
      <c r="AJ4692" s="3"/>
    </row>
    <row r="4693" spans="1:36" x14ac:dyDescent="0.25">
      <c r="A4693" s="1"/>
      <c r="B4693" s="2"/>
      <c r="AA4693" s="3"/>
      <c r="AD4693" s="3"/>
      <c r="AG4693" s="3"/>
      <c r="AJ4693" s="3"/>
    </row>
    <row r="4694" spans="1:36" x14ac:dyDescent="0.25">
      <c r="A4694" s="1"/>
      <c r="B4694" s="2"/>
      <c r="AA4694" s="3"/>
      <c r="AD4694" s="3"/>
      <c r="AG4694" s="3"/>
      <c r="AJ4694" s="3"/>
    </row>
    <row r="4695" spans="1:36" x14ac:dyDescent="0.25">
      <c r="A4695" s="1"/>
      <c r="B4695" s="2"/>
      <c r="AA4695" s="3"/>
      <c r="AD4695" s="3"/>
      <c r="AG4695" s="3"/>
      <c r="AJ4695" s="3"/>
    </row>
    <row r="4696" spans="1:36" x14ac:dyDescent="0.25">
      <c r="A4696" s="1"/>
      <c r="B4696" s="2"/>
      <c r="AA4696" s="3"/>
      <c r="AD4696" s="3"/>
      <c r="AG4696" s="3"/>
      <c r="AJ4696" s="3"/>
    </row>
    <row r="4697" spans="1:36" x14ac:dyDescent="0.25">
      <c r="A4697" s="1"/>
      <c r="B4697" s="2"/>
      <c r="AA4697" s="3"/>
      <c r="AD4697" s="3"/>
      <c r="AG4697" s="3"/>
      <c r="AJ4697" s="3"/>
    </row>
    <row r="4698" spans="1:36" x14ac:dyDescent="0.25">
      <c r="A4698" s="1"/>
      <c r="B4698" s="2"/>
      <c r="AA4698" s="3"/>
      <c r="AD4698" s="3"/>
      <c r="AG4698" s="3"/>
      <c r="AJ4698" s="3"/>
    </row>
    <row r="4699" spans="1:36" x14ac:dyDescent="0.25">
      <c r="A4699" s="1"/>
      <c r="B4699" s="2"/>
      <c r="AA4699" s="3"/>
      <c r="AD4699" s="3"/>
      <c r="AG4699" s="3"/>
      <c r="AJ4699" s="3"/>
    </row>
    <row r="4700" spans="1:36" x14ac:dyDescent="0.25">
      <c r="A4700" s="1"/>
      <c r="B4700" s="2"/>
      <c r="AA4700" s="3"/>
      <c r="AD4700" s="3"/>
      <c r="AG4700" s="3"/>
      <c r="AJ4700" s="3"/>
    </row>
    <row r="4701" spans="1:36" x14ac:dyDescent="0.25">
      <c r="A4701" s="1"/>
      <c r="B4701" s="2"/>
      <c r="AA4701" s="3"/>
      <c r="AD4701" s="3"/>
      <c r="AG4701" s="3"/>
      <c r="AJ4701" s="3"/>
    </row>
    <row r="4702" spans="1:36" x14ac:dyDescent="0.25">
      <c r="A4702" s="1"/>
      <c r="B4702" s="2"/>
      <c r="AA4702" s="3"/>
      <c r="AD4702" s="3"/>
      <c r="AG4702" s="3"/>
      <c r="AJ4702" s="3"/>
    </row>
    <row r="4703" spans="1:36" x14ac:dyDescent="0.25">
      <c r="A4703" s="1"/>
      <c r="B4703" s="2"/>
      <c r="AA4703" s="3"/>
      <c r="AD4703" s="3"/>
      <c r="AG4703" s="3"/>
      <c r="AJ4703" s="3"/>
    </row>
    <row r="4704" spans="1:36" x14ac:dyDescent="0.25">
      <c r="A4704" s="1"/>
      <c r="B4704" s="2"/>
      <c r="AA4704" s="3"/>
      <c r="AD4704" s="3"/>
      <c r="AG4704" s="3"/>
      <c r="AJ4704" s="3"/>
    </row>
    <row r="4705" spans="1:36" x14ac:dyDescent="0.25">
      <c r="A4705" s="1"/>
      <c r="B4705" s="2"/>
      <c r="AA4705" s="3"/>
      <c r="AD4705" s="3"/>
      <c r="AG4705" s="3"/>
      <c r="AJ4705" s="3"/>
    </row>
    <row r="4706" spans="1:36" x14ac:dyDescent="0.25">
      <c r="A4706" s="1"/>
      <c r="B4706" s="2"/>
      <c r="AA4706" s="3"/>
      <c r="AD4706" s="3"/>
      <c r="AG4706" s="3"/>
      <c r="AJ4706" s="3"/>
    </row>
    <row r="4707" spans="1:36" x14ac:dyDescent="0.25">
      <c r="A4707" s="1"/>
      <c r="B4707" s="2"/>
      <c r="AA4707" s="3"/>
      <c r="AD4707" s="3"/>
      <c r="AG4707" s="3"/>
      <c r="AJ4707" s="3"/>
    </row>
    <row r="4708" spans="1:36" x14ac:dyDescent="0.25">
      <c r="A4708" s="1"/>
      <c r="B4708" s="2"/>
      <c r="AA4708" s="3"/>
      <c r="AD4708" s="3"/>
      <c r="AG4708" s="3"/>
      <c r="AJ4708" s="3"/>
    </row>
    <row r="4709" spans="1:36" x14ac:dyDescent="0.25">
      <c r="A4709" s="1"/>
      <c r="B4709" s="2"/>
      <c r="AA4709" s="3"/>
      <c r="AD4709" s="3"/>
      <c r="AG4709" s="3"/>
      <c r="AJ4709" s="3"/>
    </row>
    <row r="4710" spans="1:36" x14ac:dyDescent="0.25">
      <c r="A4710" s="1"/>
      <c r="B4710" s="2"/>
      <c r="AA4710" s="3"/>
      <c r="AD4710" s="3"/>
      <c r="AG4710" s="3"/>
      <c r="AJ4710" s="3"/>
    </row>
    <row r="4711" spans="1:36" x14ac:dyDescent="0.25">
      <c r="A4711" s="1"/>
      <c r="B4711" s="2"/>
      <c r="AA4711" s="3"/>
      <c r="AD4711" s="3"/>
      <c r="AG4711" s="3"/>
      <c r="AJ4711" s="3"/>
    </row>
    <row r="4712" spans="1:36" x14ac:dyDescent="0.25">
      <c r="A4712" s="1"/>
      <c r="B4712" s="2"/>
      <c r="AA4712" s="3"/>
      <c r="AD4712" s="3"/>
      <c r="AG4712" s="3"/>
      <c r="AJ4712" s="3"/>
    </row>
    <row r="4713" spans="1:36" x14ac:dyDescent="0.25">
      <c r="A4713" s="1"/>
      <c r="B4713" s="2"/>
      <c r="AA4713" s="3"/>
      <c r="AD4713" s="3"/>
      <c r="AG4713" s="3"/>
      <c r="AJ4713" s="3"/>
    </row>
    <row r="4714" spans="1:36" x14ac:dyDescent="0.25">
      <c r="A4714" s="1"/>
      <c r="B4714" s="2"/>
      <c r="AA4714" s="3"/>
      <c r="AD4714" s="3"/>
      <c r="AG4714" s="3"/>
      <c r="AJ4714" s="3"/>
    </row>
    <row r="4715" spans="1:36" x14ac:dyDescent="0.25">
      <c r="A4715" s="1"/>
      <c r="B4715" s="2"/>
      <c r="AA4715" s="3"/>
      <c r="AD4715" s="3"/>
      <c r="AG4715" s="3"/>
      <c r="AJ4715" s="3"/>
    </row>
    <row r="4716" spans="1:36" x14ac:dyDescent="0.25">
      <c r="A4716" s="1"/>
      <c r="B4716" s="2"/>
      <c r="AA4716" s="3"/>
      <c r="AD4716" s="3"/>
      <c r="AG4716" s="3"/>
      <c r="AJ4716" s="3"/>
    </row>
    <row r="4717" spans="1:36" x14ac:dyDescent="0.25">
      <c r="A4717" s="1"/>
      <c r="B4717" s="2"/>
      <c r="AA4717" s="3"/>
      <c r="AD4717" s="3"/>
      <c r="AG4717" s="3"/>
      <c r="AJ4717" s="3"/>
    </row>
    <row r="4718" spans="1:36" x14ac:dyDescent="0.25">
      <c r="A4718" s="1"/>
      <c r="B4718" s="2"/>
      <c r="AA4718" s="3"/>
      <c r="AD4718" s="3"/>
      <c r="AG4718" s="3"/>
      <c r="AJ4718" s="3"/>
    </row>
    <row r="4719" spans="1:36" x14ac:dyDescent="0.25">
      <c r="A4719" s="1"/>
      <c r="B4719" s="2"/>
      <c r="AA4719" s="3"/>
      <c r="AD4719" s="3"/>
      <c r="AG4719" s="3"/>
      <c r="AJ4719" s="3"/>
    </row>
    <row r="4720" spans="1:36" x14ac:dyDescent="0.25">
      <c r="A4720" s="1"/>
      <c r="B4720" s="2"/>
      <c r="AA4720" s="3"/>
      <c r="AD4720" s="3"/>
      <c r="AG4720" s="3"/>
      <c r="AJ4720" s="3"/>
    </row>
    <row r="4721" spans="1:36" x14ac:dyDescent="0.25">
      <c r="A4721" s="1"/>
      <c r="B4721" s="2"/>
      <c r="AA4721" s="3"/>
      <c r="AD4721" s="3"/>
      <c r="AG4721" s="3"/>
      <c r="AJ4721" s="3"/>
    </row>
    <row r="4722" spans="1:36" x14ac:dyDescent="0.25">
      <c r="A4722" s="1"/>
      <c r="B4722" s="2"/>
      <c r="AA4722" s="3"/>
      <c r="AD4722" s="3"/>
      <c r="AG4722" s="3"/>
      <c r="AJ4722" s="3"/>
    </row>
    <row r="4723" spans="1:36" x14ac:dyDescent="0.25">
      <c r="A4723" s="1"/>
      <c r="B4723" s="2"/>
      <c r="AA4723" s="3"/>
      <c r="AD4723" s="3"/>
      <c r="AG4723" s="3"/>
      <c r="AJ4723" s="3"/>
    </row>
    <row r="4724" spans="1:36" x14ac:dyDescent="0.25">
      <c r="A4724" s="1"/>
      <c r="B4724" s="2"/>
      <c r="AA4724" s="3"/>
      <c r="AD4724" s="3"/>
      <c r="AG4724" s="3"/>
      <c r="AJ4724" s="3"/>
    </row>
    <row r="4725" spans="1:36" x14ac:dyDescent="0.25">
      <c r="A4725" s="1"/>
      <c r="B4725" s="2"/>
      <c r="AA4725" s="3"/>
      <c r="AD4725" s="3"/>
      <c r="AG4725" s="3"/>
      <c r="AJ4725" s="3"/>
    </row>
    <row r="4726" spans="1:36" x14ac:dyDescent="0.25">
      <c r="A4726" s="1"/>
      <c r="B4726" s="2"/>
      <c r="AA4726" s="3"/>
      <c r="AD4726" s="3"/>
      <c r="AG4726" s="3"/>
      <c r="AJ4726" s="3"/>
    </row>
    <row r="4727" spans="1:36" x14ac:dyDescent="0.25">
      <c r="A4727" s="1"/>
      <c r="B4727" s="2"/>
      <c r="AA4727" s="3"/>
      <c r="AD4727" s="3"/>
      <c r="AG4727" s="3"/>
      <c r="AJ4727" s="3"/>
    </row>
    <row r="4728" spans="1:36" x14ac:dyDescent="0.25">
      <c r="A4728" s="1"/>
      <c r="B4728" s="2"/>
      <c r="AA4728" s="3"/>
      <c r="AD4728" s="3"/>
      <c r="AG4728" s="3"/>
      <c r="AJ4728" s="3"/>
    </row>
    <row r="4729" spans="1:36" x14ac:dyDescent="0.25">
      <c r="A4729" s="1"/>
      <c r="B4729" s="2"/>
      <c r="AA4729" s="3"/>
      <c r="AD4729" s="3"/>
      <c r="AG4729" s="3"/>
      <c r="AJ4729" s="3"/>
    </row>
    <row r="4730" spans="1:36" x14ac:dyDescent="0.25">
      <c r="A4730" s="1"/>
      <c r="B4730" s="2"/>
      <c r="AA4730" s="3"/>
      <c r="AD4730" s="3"/>
      <c r="AG4730" s="3"/>
      <c r="AJ4730" s="3"/>
    </row>
    <row r="4731" spans="1:36" x14ac:dyDescent="0.25">
      <c r="A4731" s="1"/>
      <c r="B4731" s="2"/>
      <c r="AA4731" s="3"/>
      <c r="AD4731" s="3"/>
      <c r="AG4731" s="3"/>
      <c r="AJ4731" s="3"/>
    </row>
    <row r="4732" spans="1:36" x14ac:dyDescent="0.25">
      <c r="A4732" s="1"/>
      <c r="B4732" s="2"/>
      <c r="AA4732" s="3"/>
      <c r="AD4732" s="3"/>
      <c r="AG4732" s="3"/>
      <c r="AJ4732" s="3"/>
    </row>
    <row r="4733" spans="1:36" x14ac:dyDescent="0.25">
      <c r="A4733" s="1"/>
      <c r="B4733" s="2"/>
      <c r="AA4733" s="3"/>
      <c r="AD4733" s="3"/>
      <c r="AG4733" s="3"/>
      <c r="AJ4733" s="3"/>
    </row>
    <row r="4734" spans="1:36" x14ac:dyDescent="0.25">
      <c r="A4734" s="1"/>
      <c r="B4734" s="2"/>
      <c r="AA4734" s="3"/>
      <c r="AD4734" s="3"/>
      <c r="AG4734" s="3"/>
      <c r="AJ4734" s="3"/>
    </row>
    <row r="4735" spans="1:36" x14ac:dyDescent="0.25">
      <c r="A4735" s="1"/>
      <c r="B4735" s="2"/>
      <c r="AA4735" s="3"/>
      <c r="AD4735" s="3"/>
      <c r="AG4735" s="3"/>
      <c r="AJ4735" s="3"/>
    </row>
    <row r="4736" spans="1:36" x14ac:dyDescent="0.25">
      <c r="A4736" s="1"/>
      <c r="B4736" s="2"/>
      <c r="AA4736" s="3"/>
      <c r="AD4736" s="3"/>
      <c r="AG4736" s="3"/>
      <c r="AJ4736" s="3"/>
    </row>
    <row r="4737" spans="1:36" x14ac:dyDescent="0.25">
      <c r="A4737" s="1"/>
      <c r="B4737" s="2"/>
      <c r="AA4737" s="3"/>
      <c r="AD4737" s="3"/>
      <c r="AG4737" s="3"/>
      <c r="AJ4737" s="3"/>
    </row>
    <row r="4738" spans="1:36" x14ac:dyDescent="0.25">
      <c r="A4738" s="1"/>
      <c r="B4738" s="2"/>
      <c r="AA4738" s="3"/>
      <c r="AD4738" s="3"/>
      <c r="AG4738" s="3"/>
      <c r="AJ4738" s="3"/>
    </row>
    <row r="4739" spans="1:36" x14ac:dyDescent="0.25">
      <c r="A4739" s="1"/>
      <c r="B4739" s="2"/>
      <c r="AA4739" s="3"/>
      <c r="AD4739" s="3"/>
      <c r="AG4739" s="3"/>
      <c r="AJ4739" s="3"/>
    </row>
    <row r="4740" spans="1:36" x14ac:dyDescent="0.25">
      <c r="A4740" s="1"/>
      <c r="B4740" s="2"/>
      <c r="AA4740" s="3"/>
      <c r="AD4740" s="3"/>
      <c r="AG4740" s="3"/>
      <c r="AJ4740" s="3"/>
    </row>
    <row r="4741" spans="1:36" x14ac:dyDescent="0.25">
      <c r="A4741" s="1"/>
      <c r="B4741" s="2"/>
      <c r="AA4741" s="3"/>
      <c r="AD4741" s="3"/>
      <c r="AG4741" s="3"/>
      <c r="AJ4741" s="3"/>
    </row>
    <row r="4742" spans="1:36" x14ac:dyDescent="0.25">
      <c r="A4742" s="1"/>
      <c r="B4742" s="2"/>
      <c r="AA4742" s="3"/>
      <c r="AD4742" s="3"/>
      <c r="AG4742" s="3"/>
      <c r="AJ4742" s="3"/>
    </row>
    <row r="4743" spans="1:36" x14ac:dyDescent="0.25">
      <c r="A4743" s="1"/>
      <c r="B4743" s="2"/>
      <c r="AA4743" s="3"/>
      <c r="AD4743" s="3"/>
      <c r="AG4743" s="3"/>
      <c r="AJ4743" s="3"/>
    </row>
    <row r="4744" spans="1:36" x14ac:dyDescent="0.25">
      <c r="A4744" s="1"/>
      <c r="B4744" s="2"/>
      <c r="AA4744" s="3"/>
      <c r="AD4744" s="3"/>
      <c r="AG4744" s="3"/>
      <c r="AJ4744" s="3"/>
    </row>
    <row r="4745" spans="1:36" x14ac:dyDescent="0.25">
      <c r="A4745" s="1"/>
      <c r="B4745" s="2"/>
      <c r="AA4745" s="3"/>
      <c r="AD4745" s="3"/>
      <c r="AG4745" s="3"/>
      <c r="AJ4745" s="3"/>
    </row>
    <row r="4746" spans="1:36" x14ac:dyDescent="0.25">
      <c r="A4746" s="1"/>
      <c r="B4746" s="2"/>
      <c r="AA4746" s="3"/>
      <c r="AD4746" s="3"/>
      <c r="AG4746" s="3"/>
      <c r="AJ4746" s="3"/>
    </row>
    <row r="4747" spans="1:36" x14ac:dyDescent="0.25">
      <c r="A4747" s="1"/>
      <c r="B4747" s="2"/>
      <c r="AA4747" s="3"/>
      <c r="AD4747" s="3"/>
      <c r="AG4747" s="3"/>
      <c r="AJ4747" s="3"/>
    </row>
    <row r="4748" spans="1:36" x14ac:dyDescent="0.25">
      <c r="A4748" s="1"/>
      <c r="B4748" s="2"/>
      <c r="AA4748" s="3"/>
      <c r="AD4748" s="3"/>
      <c r="AG4748" s="3"/>
      <c r="AJ4748" s="3"/>
    </row>
    <row r="4749" spans="1:36" x14ac:dyDescent="0.25">
      <c r="A4749" s="1"/>
      <c r="B4749" s="2"/>
      <c r="AA4749" s="3"/>
      <c r="AD4749" s="3"/>
      <c r="AG4749" s="3"/>
      <c r="AJ4749" s="3"/>
    </row>
    <row r="4750" spans="1:36" x14ac:dyDescent="0.25">
      <c r="A4750" s="1"/>
      <c r="B4750" s="2"/>
      <c r="AA4750" s="3"/>
      <c r="AD4750" s="3"/>
      <c r="AG4750" s="3"/>
      <c r="AJ4750" s="3"/>
    </row>
    <row r="4751" spans="1:36" x14ac:dyDescent="0.25">
      <c r="A4751" s="1"/>
      <c r="B4751" s="2"/>
      <c r="AA4751" s="3"/>
      <c r="AD4751" s="3"/>
      <c r="AG4751" s="3"/>
      <c r="AJ4751" s="3"/>
    </row>
    <row r="4752" spans="1:36" x14ac:dyDescent="0.25">
      <c r="A4752" s="1"/>
      <c r="B4752" s="2"/>
      <c r="AA4752" s="3"/>
      <c r="AD4752" s="3"/>
      <c r="AG4752" s="3"/>
      <c r="AJ4752" s="3"/>
    </row>
    <row r="4753" spans="1:36" x14ac:dyDescent="0.25">
      <c r="A4753" s="1"/>
      <c r="B4753" s="2"/>
      <c r="AA4753" s="3"/>
      <c r="AD4753" s="3"/>
      <c r="AG4753" s="3"/>
      <c r="AJ4753" s="3"/>
    </row>
    <row r="4754" spans="1:36" x14ac:dyDescent="0.25">
      <c r="A4754" s="1"/>
      <c r="B4754" s="2"/>
      <c r="AA4754" s="3"/>
      <c r="AD4754" s="3"/>
      <c r="AG4754" s="3"/>
      <c r="AJ4754" s="3"/>
    </row>
    <row r="4755" spans="1:36" x14ac:dyDescent="0.25">
      <c r="A4755" s="1"/>
      <c r="B4755" s="2"/>
      <c r="AA4755" s="3"/>
      <c r="AD4755" s="3"/>
      <c r="AG4755" s="3"/>
      <c r="AJ4755" s="3"/>
    </row>
    <row r="4756" spans="1:36" x14ac:dyDescent="0.25">
      <c r="A4756" s="1"/>
      <c r="B4756" s="2"/>
      <c r="AA4756" s="3"/>
      <c r="AD4756" s="3"/>
      <c r="AG4756" s="3"/>
      <c r="AJ4756" s="3"/>
    </row>
    <row r="4757" spans="1:36" x14ac:dyDescent="0.25">
      <c r="A4757" s="1"/>
      <c r="B4757" s="2"/>
      <c r="AA4757" s="3"/>
      <c r="AD4757" s="3"/>
      <c r="AG4757" s="3"/>
      <c r="AJ4757" s="3"/>
    </row>
    <row r="4758" spans="1:36" x14ac:dyDescent="0.25">
      <c r="A4758" s="1"/>
      <c r="B4758" s="2"/>
      <c r="AA4758" s="3"/>
      <c r="AD4758" s="3"/>
      <c r="AG4758" s="3"/>
      <c r="AJ4758" s="3"/>
    </row>
    <row r="4759" spans="1:36" x14ac:dyDescent="0.25">
      <c r="A4759" s="1"/>
      <c r="B4759" s="2"/>
      <c r="AA4759" s="3"/>
      <c r="AD4759" s="3"/>
      <c r="AG4759" s="3"/>
      <c r="AJ4759" s="3"/>
    </row>
    <row r="4760" spans="1:36" x14ac:dyDescent="0.25">
      <c r="A4760" s="1"/>
      <c r="B4760" s="2"/>
      <c r="AA4760" s="3"/>
      <c r="AD4760" s="3"/>
      <c r="AG4760" s="3"/>
      <c r="AJ4760" s="3"/>
    </row>
    <row r="4761" spans="1:36" x14ac:dyDescent="0.25">
      <c r="A4761" s="1"/>
      <c r="B4761" s="2"/>
      <c r="AA4761" s="3"/>
      <c r="AD4761" s="3"/>
      <c r="AG4761" s="3"/>
      <c r="AJ4761" s="3"/>
    </row>
    <row r="4762" spans="1:36" x14ac:dyDescent="0.25">
      <c r="A4762" s="1"/>
      <c r="B4762" s="2"/>
      <c r="AA4762" s="3"/>
      <c r="AD4762" s="3"/>
      <c r="AG4762" s="3"/>
      <c r="AJ4762" s="3"/>
    </row>
    <row r="4763" spans="1:36" x14ac:dyDescent="0.25">
      <c r="A4763" s="1"/>
      <c r="B4763" s="2"/>
      <c r="AA4763" s="3"/>
      <c r="AD4763" s="3"/>
      <c r="AG4763" s="3"/>
      <c r="AJ4763" s="3"/>
    </row>
    <row r="4764" spans="1:36" x14ac:dyDescent="0.25">
      <c r="A4764" s="1"/>
      <c r="B4764" s="2"/>
      <c r="AA4764" s="3"/>
      <c r="AD4764" s="3"/>
      <c r="AG4764" s="3"/>
      <c r="AJ4764" s="3"/>
    </row>
    <row r="4765" spans="1:36" x14ac:dyDescent="0.25">
      <c r="A4765" s="1"/>
      <c r="B4765" s="2"/>
      <c r="AA4765" s="3"/>
      <c r="AD4765" s="3"/>
      <c r="AG4765" s="3"/>
      <c r="AJ4765" s="3"/>
    </row>
    <row r="4766" spans="1:36" x14ac:dyDescent="0.25">
      <c r="A4766" s="1"/>
      <c r="B4766" s="2"/>
      <c r="AA4766" s="3"/>
      <c r="AD4766" s="3"/>
      <c r="AG4766" s="3"/>
      <c r="AJ4766" s="3"/>
    </row>
    <row r="4767" spans="1:36" x14ac:dyDescent="0.25">
      <c r="A4767" s="1"/>
      <c r="B4767" s="2"/>
      <c r="AA4767" s="3"/>
      <c r="AD4767" s="3"/>
      <c r="AG4767" s="3"/>
      <c r="AJ4767" s="3"/>
    </row>
    <row r="4768" spans="1:36" x14ac:dyDescent="0.25">
      <c r="A4768" s="1"/>
      <c r="B4768" s="2"/>
      <c r="AA4768" s="3"/>
      <c r="AD4768" s="3"/>
      <c r="AG4768" s="3"/>
      <c r="AJ4768" s="3"/>
    </row>
    <row r="4769" spans="1:36" x14ac:dyDescent="0.25">
      <c r="A4769" s="1"/>
      <c r="B4769" s="2"/>
      <c r="AA4769" s="3"/>
      <c r="AD4769" s="3"/>
      <c r="AG4769" s="3"/>
      <c r="AJ4769" s="3"/>
    </row>
    <row r="4770" spans="1:36" x14ac:dyDescent="0.25">
      <c r="A4770" s="1"/>
      <c r="B4770" s="2"/>
      <c r="AA4770" s="3"/>
      <c r="AD4770" s="3"/>
      <c r="AG4770" s="3"/>
      <c r="AJ4770" s="3"/>
    </row>
    <row r="4771" spans="1:36" x14ac:dyDescent="0.25">
      <c r="A4771" s="1"/>
      <c r="B4771" s="2"/>
      <c r="AA4771" s="3"/>
      <c r="AD4771" s="3"/>
      <c r="AG4771" s="3"/>
      <c r="AJ4771" s="3"/>
    </row>
    <row r="4772" spans="1:36" x14ac:dyDescent="0.25">
      <c r="A4772" s="1"/>
      <c r="B4772" s="2"/>
      <c r="AA4772" s="3"/>
      <c r="AD4772" s="3"/>
      <c r="AG4772" s="3"/>
      <c r="AJ4772" s="3"/>
    </row>
    <row r="4773" spans="1:36" x14ac:dyDescent="0.25">
      <c r="A4773" s="1"/>
      <c r="B4773" s="2"/>
      <c r="AA4773" s="3"/>
      <c r="AD4773" s="3"/>
      <c r="AG4773" s="3"/>
      <c r="AJ4773" s="3"/>
    </row>
    <row r="4774" spans="1:36" x14ac:dyDescent="0.25">
      <c r="A4774" s="1"/>
      <c r="B4774" s="2"/>
      <c r="AA4774" s="3"/>
      <c r="AD4774" s="3"/>
      <c r="AG4774" s="3"/>
      <c r="AJ4774" s="3"/>
    </row>
    <row r="4775" spans="1:36" x14ac:dyDescent="0.25">
      <c r="A4775" s="1"/>
      <c r="B4775" s="2"/>
      <c r="AA4775" s="3"/>
      <c r="AD4775" s="3"/>
      <c r="AG4775" s="3"/>
      <c r="AJ4775" s="3"/>
    </row>
    <row r="4776" spans="1:36" x14ac:dyDescent="0.25">
      <c r="A4776" s="1"/>
      <c r="B4776" s="2"/>
      <c r="AA4776" s="3"/>
      <c r="AD4776" s="3"/>
      <c r="AG4776" s="3"/>
      <c r="AJ4776" s="3"/>
    </row>
    <row r="4777" spans="1:36" x14ac:dyDescent="0.25">
      <c r="A4777" s="1"/>
      <c r="B4777" s="2"/>
      <c r="AA4777" s="3"/>
      <c r="AD4777" s="3"/>
      <c r="AG4777" s="3"/>
      <c r="AJ4777" s="3"/>
    </row>
    <row r="4778" spans="1:36" x14ac:dyDescent="0.25">
      <c r="A4778" s="1"/>
      <c r="B4778" s="2"/>
      <c r="AA4778" s="3"/>
      <c r="AD4778" s="3"/>
      <c r="AG4778" s="3"/>
      <c r="AJ4778" s="3"/>
    </row>
    <row r="4779" spans="1:36" x14ac:dyDescent="0.25">
      <c r="A4779" s="1"/>
      <c r="B4779" s="2"/>
      <c r="AA4779" s="3"/>
      <c r="AD4779" s="3"/>
      <c r="AG4779" s="3"/>
      <c r="AJ4779" s="3"/>
    </row>
    <row r="4780" spans="1:36" x14ac:dyDescent="0.25">
      <c r="A4780" s="1"/>
      <c r="B4780" s="2"/>
      <c r="AA4780" s="3"/>
      <c r="AD4780" s="3"/>
      <c r="AG4780" s="3"/>
      <c r="AJ4780" s="3"/>
    </row>
    <row r="4781" spans="1:36" x14ac:dyDescent="0.25">
      <c r="A4781" s="1"/>
      <c r="B4781" s="2"/>
      <c r="AA4781" s="3"/>
      <c r="AD4781" s="3"/>
      <c r="AG4781" s="3"/>
      <c r="AJ4781" s="3"/>
    </row>
    <row r="4782" spans="1:36" x14ac:dyDescent="0.25">
      <c r="A4782" s="1"/>
      <c r="B4782" s="2"/>
      <c r="AA4782" s="3"/>
      <c r="AD4782" s="3"/>
      <c r="AG4782" s="3"/>
      <c r="AJ4782" s="3"/>
    </row>
    <row r="4783" spans="1:36" x14ac:dyDescent="0.25">
      <c r="A4783" s="1"/>
      <c r="B4783" s="2"/>
      <c r="AA4783" s="3"/>
      <c r="AD4783" s="3"/>
      <c r="AG4783" s="3"/>
      <c r="AJ4783" s="3"/>
    </row>
    <row r="4784" spans="1:36" x14ac:dyDescent="0.25">
      <c r="A4784" s="1"/>
      <c r="B4784" s="2"/>
      <c r="AA4784" s="3"/>
      <c r="AD4784" s="3"/>
      <c r="AG4784" s="3"/>
      <c r="AJ4784" s="3"/>
    </row>
    <row r="4785" spans="1:36" x14ac:dyDescent="0.25">
      <c r="A4785" s="1"/>
      <c r="B4785" s="2"/>
      <c r="AA4785" s="3"/>
      <c r="AD4785" s="3"/>
      <c r="AG4785" s="3"/>
      <c r="AJ4785" s="3"/>
    </row>
    <row r="4786" spans="1:36" x14ac:dyDescent="0.25">
      <c r="A4786" s="1"/>
      <c r="B4786" s="2"/>
      <c r="AA4786" s="3"/>
      <c r="AD4786" s="3"/>
      <c r="AG4786" s="3"/>
      <c r="AJ4786" s="3"/>
    </row>
    <row r="4787" spans="1:36" x14ac:dyDescent="0.25">
      <c r="A4787" s="1"/>
      <c r="B4787" s="2"/>
      <c r="AA4787" s="3"/>
      <c r="AD4787" s="3"/>
      <c r="AG4787" s="3"/>
      <c r="AJ4787" s="3"/>
    </row>
    <row r="4788" spans="1:36" x14ac:dyDescent="0.25">
      <c r="A4788" s="1"/>
      <c r="B4788" s="2"/>
      <c r="AA4788" s="3"/>
      <c r="AD4788" s="3"/>
      <c r="AG4788" s="3"/>
      <c r="AJ4788" s="3"/>
    </row>
    <row r="4789" spans="1:36" x14ac:dyDescent="0.25">
      <c r="A4789" s="1"/>
      <c r="B4789" s="2"/>
      <c r="AA4789" s="3"/>
      <c r="AD4789" s="3"/>
      <c r="AG4789" s="3"/>
      <c r="AJ4789" s="3"/>
    </row>
    <row r="4790" spans="1:36" x14ac:dyDescent="0.25">
      <c r="A4790" s="1"/>
      <c r="B4790" s="2"/>
      <c r="AA4790" s="3"/>
      <c r="AD4790" s="3"/>
      <c r="AG4790" s="3"/>
      <c r="AJ4790" s="3"/>
    </row>
    <row r="4791" spans="1:36" x14ac:dyDescent="0.25">
      <c r="A4791" s="1"/>
      <c r="B4791" s="2"/>
      <c r="AA4791" s="3"/>
      <c r="AD4791" s="3"/>
      <c r="AG4791" s="3"/>
      <c r="AJ4791" s="3"/>
    </row>
    <row r="4792" spans="1:36" x14ac:dyDescent="0.25">
      <c r="A4792" s="1"/>
      <c r="B4792" s="2"/>
      <c r="AA4792" s="3"/>
      <c r="AD4792" s="3"/>
      <c r="AG4792" s="3"/>
      <c r="AJ4792" s="3"/>
    </row>
    <row r="4793" spans="1:36" x14ac:dyDescent="0.25">
      <c r="A4793" s="1"/>
      <c r="B4793" s="2"/>
      <c r="AA4793" s="3"/>
      <c r="AD4793" s="3"/>
      <c r="AG4793" s="3"/>
      <c r="AJ4793" s="3"/>
    </row>
    <row r="4794" spans="1:36" x14ac:dyDescent="0.25">
      <c r="A4794" s="1"/>
      <c r="B4794" s="2"/>
      <c r="AA4794" s="3"/>
      <c r="AD4794" s="3"/>
      <c r="AG4794" s="3"/>
      <c r="AJ4794" s="3"/>
    </row>
    <row r="4795" spans="1:36" x14ac:dyDescent="0.25">
      <c r="A4795" s="1"/>
      <c r="B4795" s="2"/>
      <c r="AA4795" s="3"/>
      <c r="AD4795" s="3"/>
      <c r="AG4795" s="3"/>
      <c r="AJ4795" s="3"/>
    </row>
    <row r="4796" spans="1:36" x14ac:dyDescent="0.25">
      <c r="A4796" s="1"/>
      <c r="B4796" s="2"/>
      <c r="AA4796" s="3"/>
      <c r="AD4796" s="3"/>
      <c r="AG4796" s="3"/>
      <c r="AJ4796" s="3"/>
    </row>
    <row r="4797" spans="1:36" x14ac:dyDescent="0.25">
      <c r="A4797" s="1"/>
      <c r="B4797" s="2"/>
      <c r="AA4797" s="3"/>
      <c r="AD4797" s="3"/>
      <c r="AG4797" s="3"/>
      <c r="AJ4797" s="3"/>
    </row>
    <row r="4798" spans="1:36" x14ac:dyDescent="0.25">
      <c r="A4798" s="1"/>
      <c r="B4798" s="2"/>
      <c r="AA4798" s="3"/>
      <c r="AD4798" s="3"/>
      <c r="AG4798" s="3"/>
      <c r="AJ4798" s="3"/>
    </row>
    <row r="4799" spans="1:36" x14ac:dyDescent="0.25">
      <c r="A4799" s="1"/>
      <c r="B4799" s="2"/>
      <c r="AA4799" s="3"/>
      <c r="AD4799" s="3"/>
      <c r="AG4799" s="3"/>
      <c r="AJ4799" s="3"/>
    </row>
    <row r="4800" spans="1:36" x14ac:dyDescent="0.25">
      <c r="A4800" s="1"/>
      <c r="B4800" s="2"/>
      <c r="AA4800" s="3"/>
      <c r="AD4800" s="3"/>
      <c r="AG4800" s="3"/>
      <c r="AJ4800" s="3"/>
    </row>
    <row r="4801" spans="1:36" x14ac:dyDescent="0.25">
      <c r="A4801" s="1"/>
      <c r="B4801" s="2"/>
      <c r="AA4801" s="3"/>
      <c r="AD4801" s="3"/>
      <c r="AG4801" s="3"/>
      <c r="AJ4801" s="3"/>
    </row>
    <row r="4802" spans="1:36" x14ac:dyDescent="0.25">
      <c r="A4802" s="1"/>
      <c r="B4802" s="2"/>
      <c r="AA4802" s="3"/>
      <c r="AD4802" s="3"/>
      <c r="AG4802" s="3"/>
      <c r="AJ4802" s="3"/>
    </row>
    <row r="4803" spans="1:36" x14ac:dyDescent="0.25">
      <c r="A4803" s="1"/>
      <c r="B4803" s="2"/>
      <c r="AA4803" s="3"/>
      <c r="AD4803" s="3"/>
      <c r="AG4803" s="3"/>
      <c r="AJ4803" s="3"/>
    </row>
    <row r="4804" spans="1:36" x14ac:dyDescent="0.25">
      <c r="A4804" s="1"/>
      <c r="B4804" s="2"/>
      <c r="AA4804" s="3"/>
      <c r="AD4804" s="3"/>
      <c r="AG4804" s="3"/>
      <c r="AJ4804" s="3"/>
    </row>
    <row r="4805" spans="1:36" x14ac:dyDescent="0.25">
      <c r="A4805" s="1"/>
      <c r="B4805" s="2"/>
      <c r="AA4805" s="3"/>
      <c r="AD4805" s="3"/>
      <c r="AG4805" s="3"/>
      <c r="AJ4805" s="3"/>
    </row>
    <row r="4806" spans="1:36" x14ac:dyDescent="0.25">
      <c r="A4806" s="1"/>
      <c r="B4806" s="2"/>
      <c r="AA4806" s="3"/>
      <c r="AD4806" s="3"/>
      <c r="AG4806" s="3"/>
      <c r="AJ4806" s="3"/>
    </row>
    <row r="4807" spans="1:36" x14ac:dyDescent="0.25">
      <c r="A4807" s="1"/>
      <c r="B4807" s="2"/>
      <c r="AA4807" s="3"/>
      <c r="AD4807" s="3"/>
      <c r="AG4807" s="3"/>
      <c r="AJ4807" s="3"/>
    </row>
    <row r="4808" spans="1:36" x14ac:dyDescent="0.25">
      <c r="A4808" s="1"/>
      <c r="B4808" s="2"/>
      <c r="AA4808" s="3"/>
      <c r="AD4808" s="3"/>
      <c r="AG4808" s="3"/>
      <c r="AJ4808" s="3"/>
    </row>
    <row r="4809" spans="1:36" x14ac:dyDescent="0.25">
      <c r="A4809" s="1"/>
      <c r="B4809" s="2"/>
      <c r="AA4809" s="3"/>
      <c r="AD4809" s="3"/>
      <c r="AG4809" s="3"/>
      <c r="AJ4809" s="3"/>
    </row>
    <row r="4810" spans="1:36" x14ac:dyDescent="0.25">
      <c r="A4810" s="1"/>
      <c r="B4810" s="2"/>
      <c r="AA4810" s="3"/>
      <c r="AD4810" s="3"/>
      <c r="AG4810" s="3"/>
      <c r="AJ4810" s="3"/>
    </row>
    <row r="4811" spans="1:36" x14ac:dyDescent="0.25">
      <c r="A4811" s="1"/>
      <c r="B4811" s="2"/>
      <c r="AA4811" s="3"/>
      <c r="AD4811" s="3"/>
      <c r="AG4811" s="3"/>
      <c r="AJ4811" s="3"/>
    </row>
    <row r="4812" spans="1:36" x14ac:dyDescent="0.25">
      <c r="A4812" s="1"/>
      <c r="B4812" s="2"/>
      <c r="AA4812" s="3"/>
      <c r="AD4812" s="3"/>
      <c r="AG4812" s="3"/>
      <c r="AJ4812" s="3"/>
    </row>
    <row r="4813" spans="1:36" x14ac:dyDescent="0.25">
      <c r="A4813" s="1"/>
      <c r="B4813" s="2"/>
      <c r="AA4813" s="3"/>
      <c r="AD4813" s="3"/>
      <c r="AG4813" s="3"/>
      <c r="AJ4813" s="3"/>
    </row>
    <row r="4814" spans="1:36" x14ac:dyDescent="0.25">
      <c r="A4814" s="1"/>
      <c r="B4814" s="2"/>
      <c r="AA4814" s="3"/>
      <c r="AD4814" s="3"/>
      <c r="AG4814" s="3"/>
      <c r="AJ4814" s="3"/>
    </row>
    <row r="4815" spans="1:36" x14ac:dyDescent="0.25">
      <c r="A4815" s="1"/>
      <c r="B4815" s="2"/>
      <c r="AA4815" s="3"/>
      <c r="AD4815" s="3"/>
      <c r="AG4815" s="3"/>
      <c r="AJ4815" s="3"/>
    </row>
    <row r="4816" spans="1:36" x14ac:dyDescent="0.25">
      <c r="A4816" s="1"/>
      <c r="B4816" s="2"/>
      <c r="AA4816" s="3"/>
      <c r="AD4816" s="3"/>
      <c r="AG4816" s="3"/>
      <c r="AJ4816" s="3"/>
    </row>
    <row r="4817" spans="1:36" x14ac:dyDescent="0.25">
      <c r="A4817" s="1"/>
      <c r="B4817" s="2"/>
      <c r="AA4817" s="3"/>
      <c r="AD4817" s="3"/>
      <c r="AG4817" s="3"/>
      <c r="AJ4817" s="3"/>
    </row>
    <row r="4818" spans="1:36" x14ac:dyDescent="0.25">
      <c r="A4818" s="1"/>
      <c r="B4818" s="2"/>
      <c r="AA4818" s="3"/>
      <c r="AD4818" s="3"/>
      <c r="AG4818" s="3"/>
      <c r="AJ4818" s="3"/>
    </row>
    <row r="4819" spans="1:36" x14ac:dyDescent="0.25">
      <c r="A4819" s="1"/>
      <c r="B4819" s="2"/>
      <c r="AA4819" s="3"/>
      <c r="AD4819" s="3"/>
      <c r="AG4819" s="3"/>
      <c r="AJ4819" s="3"/>
    </row>
    <row r="4820" spans="1:36" x14ac:dyDescent="0.25">
      <c r="A4820" s="1"/>
      <c r="B4820" s="2"/>
      <c r="AA4820" s="3"/>
      <c r="AD4820" s="3"/>
      <c r="AG4820" s="3"/>
      <c r="AJ4820" s="3"/>
    </row>
    <row r="4821" spans="1:36" x14ac:dyDescent="0.25">
      <c r="A4821" s="1"/>
      <c r="B4821" s="2"/>
      <c r="AA4821" s="3"/>
      <c r="AD4821" s="3"/>
      <c r="AG4821" s="3"/>
      <c r="AJ4821" s="3"/>
    </row>
    <row r="4822" spans="1:36" x14ac:dyDescent="0.25">
      <c r="A4822" s="1"/>
      <c r="B4822" s="2"/>
      <c r="AA4822" s="3"/>
      <c r="AD4822" s="3"/>
      <c r="AG4822" s="3"/>
      <c r="AJ4822" s="3"/>
    </row>
    <row r="4823" spans="1:36" x14ac:dyDescent="0.25">
      <c r="A4823" s="1"/>
      <c r="B4823" s="2"/>
      <c r="AA4823" s="3"/>
      <c r="AD4823" s="3"/>
      <c r="AG4823" s="3"/>
      <c r="AJ4823" s="3"/>
    </row>
    <row r="4824" spans="1:36" x14ac:dyDescent="0.25">
      <c r="A4824" s="1"/>
      <c r="B4824" s="2"/>
      <c r="AA4824" s="3"/>
      <c r="AD4824" s="3"/>
      <c r="AG4824" s="3"/>
      <c r="AJ4824" s="3"/>
    </row>
    <row r="4825" spans="1:36" x14ac:dyDescent="0.25">
      <c r="A4825" s="1"/>
      <c r="B4825" s="2"/>
      <c r="AA4825" s="3"/>
      <c r="AD4825" s="3"/>
      <c r="AG4825" s="3"/>
      <c r="AJ4825" s="3"/>
    </row>
    <row r="4826" spans="1:36" x14ac:dyDescent="0.25">
      <c r="A4826" s="1"/>
      <c r="B4826" s="2"/>
      <c r="AA4826" s="3"/>
      <c r="AD4826" s="3"/>
      <c r="AG4826" s="3"/>
      <c r="AJ4826" s="3"/>
    </row>
    <row r="4827" spans="1:36" x14ac:dyDescent="0.25">
      <c r="A4827" s="1"/>
      <c r="B4827" s="2"/>
      <c r="AA4827" s="3"/>
      <c r="AD4827" s="3"/>
      <c r="AG4827" s="3"/>
      <c r="AJ4827" s="3"/>
    </row>
    <row r="4828" spans="1:36" x14ac:dyDescent="0.25">
      <c r="A4828" s="1"/>
      <c r="B4828" s="2"/>
      <c r="AA4828" s="3"/>
      <c r="AD4828" s="3"/>
      <c r="AG4828" s="3"/>
      <c r="AJ4828" s="3"/>
    </row>
    <row r="4829" spans="1:36" x14ac:dyDescent="0.25">
      <c r="A4829" s="1"/>
      <c r="B4829" s="2"/>
      <c r="AA4829" s="3"/>
      <c r="AD4829" s="3"/>
      <c r="AG4829" s="3"/>
      <c r="AJ4829" s="3"/>
    </row>
    <row r="4830" spans="1:36" x14ac:dyDescent="0.25">
      <c r="A4830" s="1"/>
      <c r="B4830" s="2"/>
      <c r="AA4830" s="3"/>
      <c r="AD4830" s="3"/>
      <c r="AG4830" s="3"/>
      <c r="AJ4830" s="3"/>
    </row>
    <row r="4831" spans="1:36" x14ac:dyDescent="0.25">
      <c r="A4831" s="1"/>
      <c r="B4831" s="2"/>
      <c r="AA4831" s="3"/>
      <c r="AD4831" s="3"/>
      <c r="AG4831" s="3"/>
      <c r="AJ4831" s="3"/>
    </row>
    <row r="4832" spans="1:36" x14ac:dyDescent="0.25">
      <c r="A4832" s="1"/>
      <c r="B4832" s="2"/>
      <c r="AA4832" s="3"/>
      <c r="AD4832" s="3"/>
      <c r="AG4832" s="3"/>
      <c r="AJ4832" s="3"/>
    </row>
    <row r="4833" spans="1:36" x14ac:dyDescent="0.25">
      <c r="A4833" s="1"/>
      <c r="B4833" s="2"/>
      <c r="AA4833" s="3"/>
      <c r="AD4833" s="3"/>
      <c r="AG4833" s="3"/>
      <c r="AJ4833" s="3"/>
    </row>
    <row r="4834" spans="1:36" x14ac:dyDescent="0.25">
      <c r="A4834" s="1"/>
      <c r="B4834" s="2"/>
      <c r="AA4834" s="3"/>
      <c r="AD4834" s="3"/>
      <c r="AG4834" s="3"/>
      <c r="AJ4834" s="3"/>
    </row>
    <row r="4835" spans="1:36" x14ac:dyDescent="0.25">
      <c r="A4835" s="1"/>
      <c r="B4835" s="2"/>
      <c r="AA4835" s="3"/>
      <c r="AD4835" s="3"/>
      <c r="AG4835" s="3"/>
      <c r="AJ4835" s="3"/>
    </row>
    <row r="4836" spans="1:36" x14ac:dyDescent="0.25">
      <c r="A4836" s="1"/>
      <c r="B4836" s="2"/>
      <c r="AA4836" s="3"/>
      <c r="AD4836" s="3"/>
      <c r="AG4836" s="3"/>
      <c r="AJ4836" s="3"/>
    </row>
    <row r="4837" spans="1:36" x14ac:dyDescent="0.25">
      <c r="A4837" s="1"/>
      <c r="B4837" s="2"/>
      <c r="AA4837" s="3"/>
      <c r="AD4837" s="3"/>
      <c r="AG4837" s="3"/>
      <c r="AJ4837" s="3"/>
    </row>
    <row r="4838" spans="1:36" x14ac:dyDescent="0.25">
      <c r="A4838" s="1"/>
      <c r="B4838" s="2"/>
      <c r="AA4838" s="3"/>
      <c r="AD4838" s="3"/>
      <c r="AG4838" s="3"/>
      <c r="AJ4838" s="3"/>
    </row>
    <row r="4839" spans="1:36" x14ac:dyDescent="0.25">
      <c r="A4839" s="1"/>
      <c r="B4839" s="2"/>
      <c r="AA4839" s="3"/>
      <c r="AD4839" s="3"/>
      <c r="AG4839" s="3"/>
      <c r="AJ4839" s="3"/>
    </row>
    <row r="4840" spans="1:36" x14ac:dyDescent="0.25">
      <c r="A4840" s="1"/>
      <c r="B4840" s="2"/>
      <c r="AA4840" s="3"/>
      <c r="AD4840" s="3"/>
      <c r="AG4840" s="3"/>
      <c r="AJ4840" s="3"/>
    </row>
    <row r="4841" spans="1:36" x14ac:dyDescent="0.25">
      <c r="A4841" s="1"/>
      <c r="B4841" s="2"/>
      <c r="AA4841" s="3"/>
      <c r="AD4841" s="3"/>
      <c r="AG4841" s="3"/>
      <c r="AJ4841" s="3"/>
    </row>
    <row r="4842" spans="1:36" x14ac:dyDescent="0.25">
      <c r="A4842" s="1"/>
      <c r="B4842" s="2"/>
      <c r="AA4842" s="3"/>
      <c r="AD4842" s="3"/>
      <c r="AG4842" s="3"/>
      <c r="AJ4842" s="3"/>
    </row>
    <row r="4843" spans="1:36" x14ac:dyDescent="0.25">
      <c r="A4843" s="1"/>
      <c r="B4843" s="2"/>
      <c r="AA4843" s="3"/>
      <c r="AD4843" s="3"/>
      <c r="AG4843" s="3"/>
      <c r="AJ4843" s="3"/>
    </row>
    <row r="4844" spans="1:36" x14ac:dyDescent="0.25">
      <c r="A4844" s="1"/>
      <c r="B4844" s="2"/>
      <c r="AA4844" s="3"/>
      <c r="AD4844" s="3"/>
      <c r="AG4844" s="3"/>
      <c r="AJ4844" s="3"/>
    </row>
    <row r="4845" spans="1:36" x14ac:dyDescent="0.25">
      <c r="A4845" s="1"/>
      <c r="B4845" s="2"/>
      <c r="AA4845" s="3"/>
      <c r="AD4845" s="3"/>
      <c r="AG4845" s="3"/>
      <c r="AJ4845" s="3"/>
    </row>
    <row r="4846" spans="1:36" x14ac:dyDescent="0.25">
      <c r="A4846" s="1"/>
      <c r="B4846" s="2"/>
      <c r="AA4846" s="3"/>
      <c r="AD4846" s="3"/>
      <c r="AG4846" s="3"/>
      <c r="AJ4846" s="3"/>
    </row>
    <row r="4847" spans="1:36" x14ac:dyDescent="0.25">
      <c r="A4847" s="1"/>
      <c r="B4847" s="2"/>
      <c r="AA4847" s="3"/>
      <c r="AD4847" s="3"/>
      <c r="AG4847" s="3"/>
      <c r="AJ4847" s="3"/>
    </row>
    <row r="4848" spans="1:36" x14ac:dyDescent="0.25">
      <c r="A4848" s="1"/>
      <c r="B4848" s="2"/>
      <c r="AA4848" s="3"/>
      <c r="AD4848" s="3"/>
      <c r="AG4848" s="3"/>
      <c r="AJ4848" s="3"/>
    </row>
    <row r="4849" spans="1:36" x14ac:dyDescent="0.25">
      <c r="A4849" s="1"/>
      <c r="B4849" s="2"/>
      <c r="AA4849" s="3"/>
      <c r="AD4849" s="3"/>
      <c r="AG4849" s="3"/>
      <c r="AJ4849" s="3"/>
    </row>
    <row r="4850" spans="1:36" x14ac:dyDescent="0.25">
      <c r="A4850" s="1"/>
      <c r="B4850" s="2"/>
      <c r="AA4850" s="3"/>
      <c r="AD4850" s="3"/>
      <c r="AG4850" s="3"/>
      <c r="AJ4850" s="3"/>
    </row>
    <row r="4851" spans="1:36" x14ac:dyDescent="0.25">
      <c r="A4851" s="1"/>
      <c r="B4851" s="2"/>
      <c r="AA4851" s="3"/>
      <c r="AD4851" s="3"/>
      <c r="AG4851" s="3"/>
      <c r="AJ4851" s="3"/>
    </row>
    <row r="4852" spans="1:36" x14ac:dyDescent="0.25">
      <c r="A4852" s="1"/>
      <c r="B4852" s="2"/>
      <c r="AA4852" s="3"/>
      <c r="AD4852" s="3"/>
      <c r="AG4852" s="3"/>
      <c r="AJ4852" s="3"/>
    </row>
    <row r="4853" spans="1:36" x14ac:dyDescent="0.25">
      <c r="A4853" s="1"/>
      <c r="B4853" s="2"/>
      <c r="AA4853" s="3"/>
      <c r="AD4853" s="3"/>
      <c r="AG4853" s="3"/>
      <c r="AJ4853" s="3"/>
    </row>
    <row r="4854" spans="1:36" x14ac:dyDescent="0.25">
      <c r="A4854" s="1"/>
      <c r="B4854" s="2"/>
      <c r="AA4854" s="3"/>
      <c r="AD4854" s="3"/>
      <c r="AG4854" s="3"/>
      <c r="AJ4854" s="3"/>
    </row>
    <row r="4855" spans="1:36" x14ac:dyDescent="0.25">
      <c r="A4855" s="1"/>
      <c r="B4855" s="2"/>
      <c r="AA4855" s="3"/>
      <c r="AD4855" s="3"/>
      <c r="AG4855" s="3"/>
      <c r="AJ4855" s="3"/>
    </row>
    <row r="4856" spans="1:36" x14ac:dyDescent="0.25">
      <c r="A4856" s="1"/>
      <c r="B4856" s="2"/>
      <c r="AA4856" s="3"/>
      <c r="AD4856" s="3"/>
      <c r="AG4856" s="3"/>
      <c r="AJ4856" s="3"/>
    </row>
    <row r="4857" spans="1:36" x14ac:dyDescent="0.25">
      <c r="A4857" s="1"/>
      <c r="B4857" s="2"/>
      <c r="AA4857" s="3"/>
      <c r="AD4857" s="3"/>
      <c r="AG4857" s="3"/>
      <c r="AJ4857" s="3"/>
    </row>
    <row r="4858" spans="1:36" x14ac:dyDescent="0.25">
      <c r="A4858" s="1"/>
      <c r="B4858" s="2"/>
      <c r="AA4858" s="3"/>
      <c r="AD4858" s="3"/>
      <c r="AG4858" s="3"/>
      <c r="AJ4858" s="3"/>
    </row>
    <row r="4859" spans="1:36" x14ac:dyDescent="0.25">
      <c r="A4859" s="1"/>
      <c r="B4859" s="2"/>
      <c r="AA4859" s="3"/>
      <c r="AD4859" s="3"/>
      <c r="AG4859" s="3"/>
      <c r="AJ4859" s="3"/>
    </row>
    <row r="4860" spans="1:36" x14ac:dyDescent="0.25">
      <c r="A4860" s="1"/>
      <c r="B4860" s="2"/>
      <c r="AA4860" s="3"/>
      <c r="AD4860" s="3"/>
      <c r="AG4860" s="3"/>
      <c r="AJ4860" s="3"/>
    </row>
    <row r="4861" spans="1:36" x14ac:dyDescent="0.25">
      <c r="A4861" s="1"/>
      <c r="B4861" s="2"/>
      <c r="AA4861" s="3"/>
      <c r="AD4861" s="3"/>
      <c r="AG4861" s="3"/>
      <c r="AJ4861" s="3"/>
    </row>
    <row r="4862" spans="1:36" x14ac:dyDescent="0.25">
      <c r="A4862" s="1"/>
      <c r="B4862" s="2"/>
      <c r="AA4862" s="3"/>
      <c r="AD4862" s="3"/>
      <c r="AG4862" s="3"/>
      <c r="AJ4862" s="3"/>
    </row>
    <row r="4863" spans="1:36" x14ac:dyDescent="0.25">
      <c r="A4863" s="1"/>
      <c r="B4863" s="2"/>
      <c r="AA4863" s="3"/>
      <c r="AD4863" s="3"/>
      <c r="AG4863" s="3"/>
      <c r="AJ4863" s="3"/>
    </row>
    <row r="4864" spans="1:36" x14ac:dyDescent="0.25">
      <c r="A4864" s="1"/>
      <c r="B4864" s="2"/>
      <c r="AA4864" s="3"/>
      <c r="AD4864" s="3"/>
      <c r="AG4864" s="3"/>
      <c r="AJ4864" s="3"/>
    </row>
    <row r="4865" spans="1:36" x14ac:dyDescent="0.25">
      <c r="A4865" s="1"/>
      <c r="B4865" s="2"/>
      <c r="AA4865" s="3"/>
      <c r="AD4865" s="3"/>
      <c r="AG4865" s="3"/>
      <c r="AJ4865" s="3"/>
    </row>
    <row r="4866" spans="1:36" x14ac:dyDescent="0.25">
      <c r="A4866" s="1"/>
      <c r="B4866" s="2"/>
      <c r="AA4866" s="3"/>
      <c r="AD4866" s="3"/>
      <c r="AG4866" s="3"/>
      <c r="AJ4866" s="3"/>
    </row>
    <row r="4867" spans="1:36" x14ac:dyDescent="0.25">
      <c r="A4867" s="1"/>
      <c r="B4867" s="2"/>
      <c r="AA4867" s="3"/>
      <c r="AD4867" s="3"/>
      <c r="AG4867" s="3"/>
      <c r="AJ4867" s="3"/>
    </row>
    <row r="4868" spans="1:36" x14ac:dyDescent="0.25">
      <c r="A4868" s="1"/>
      <c r="B4868" s="2"/>
      <c r="AA4868" s="3"/>
      <c r="AD4868" s="3"/>
      <c r="AG4868" s="3"/>
      <c r="AJ4868" s="3"/>
    </row>
    <row r="4869" spans="1:36" x14ac:dyDescent="0.25">
      <c r="A4869" s="1"/>
      <c r="B4869" s="2"/>
      <c r="AA4869" s="3"/>
      <c r="AD4869" s="3"/>
      <c r="AG4869" s="3"/>
      <c r="AJ4869" s="3"/>
    </row>
    <row r="4870" spans="1:36" x14ac:dyDescent="0.25">
      <c r="A4870" s="1"/>
      <c r="B4870" s="2"/>
      <c r="AA4870" s="3"/>
      <c r="AD4870" s="3"/>
      <c r="AG4870" s="3"/>
      <c r="AJ4870" s="3"/>
    </row>
    <row r="4871" spans="1:36" x14ac:dyDescent="0.25">
      <c r="A4871" s="1"/>
      <c r="B4871" s="2"/>
      <c r="AA4871" s="3"/>
      <c r="AD4871" s="3"/>
      <c r="AG4871" s="3"/>
      <c r="AJ4871" s="3"/>
    </row>
    <row r="4872" spans="1:36" x14ac:dyDescent="0.25">
      <c r="A4872" s="1"/>
      <c r="B4872" s="2"/>
      <c r="AA4872" s="3"/>
      <c r="AD4872" s="3"/>
      <c r="AG4872" s="3"/>
      <c r="AJ4872" s="3"/>
    </row>
    <row r="4873" spans="1:36" x14ac:dyDescent="0.25">
      <c r="A4873" s="1"/>
      <c r="B4873" s="2"/>
      <c r="AA4873" s="3"/>
      <c r="AD4873" s="3"/>
      <c r="AG4873" s="3"/>
      <c r="AJ4873" s="3"/>
    </row>
    <row r="4874" spans="1:36" x14ac:dyDescent="0.25">
      <c r="A4874" s="1"/>
      <c r="B4874" s="2"/>
      <c r="AA4874" s="3"/>
      <c r="AD4874" s="3"/>
      <c r="AG4874" s="3"/>
      <c r="AJ4874" s="3"/>
    </row>
    <row r="4875" spans="1:36" x14ac:dyDescent="0.25">
      <c r="A4875" s="1"/>
      <c r="B4875" s="2"/>
      <c r="AA4875" s="3"/>
      <c r="AD4875" s="3"/>
      <c r="AG4875" s="3"/>
      <c r="AJ4875" s="3"/>
    </row>
    <row r="4876" spans="1:36" x14ac:dyDescent="0.25">
      <c r="A4876" s="1"/>
      <c r="B4876" s="2"/>
      <c r="AA4876" s="3"/>
      <c r="AD4876" s="3"/>
      <c r="AG4876" s="3"/>
      <c r="AJ4876" s="3"/>
    </row>
    <row r="4877" spans="1:36" x14ac:dyDescent="0.25">
      <c r="A4877" s="1"/>
      <c r="B4877" s="2"/>
      <c r="AA4877" s="3"/>
      <c r="AD4877" s="3"/>
      <c r="AG4877" s="3"/>
      <c r="AJ4877" s="3"/>
    </row>
    <row r="4878" spans="1:36" x14ac:dyDescent="0.25">
      <c r="A4878" s="1"/>
      <c r="B4878" s="2"/>
      <c r="AA4878" s="3"/>
      <c r="AD4878" s="3"/>
      <c r="AG4878" s="3"/>
      <c r="AJ4878" s="3"/>
    </row>
    <row r="4879" spans="1:36" x14ac:dyDescent="0.25">
      <c r="A4879" s="1"/>
      <c r="B4879" s="2"/>
      <c r="AA4879" s="3"/>
      <c r="AD4879" s="3"/>
      <c r="AG4879" s="3"/>
      <c r="AJ4879" s="3"/>
    </row>
    <row r="4880" spans="1:36" x14ac:dyDescent="0.25">
      <c r="A4880" s="1"/>
      <c r="B4880" s="2"/>
      <c r="AA4880" s="3"/>
      <c r="AD4880" s="3"/>
      <c r="AG4880" s="3"/>
      <c r="AJ4880" s="3"/>
    </row>
    <row r="4881" spans="1:36" x14ac:dyDescent="0.25">
      <c r="A4881" s="1"/>
      <c r="B4881" s="2"/>
      <c r="AA4881" s="3"/>
      <c r="AD4881" s="3"/>
      <c r="AG4881" s="3"/>
      <c r="AJ4881" s="3"/>
    </row>
    <row r="4882" spans="1:36" x14ac:dyDescent="0.25">
      <c r="A4882" s="1"/>
      <c r="B4882" s="2"/>
      <c r="AA4882" s="3"/>
      <c r="AD4882" s="3"/>
      <c r="AG4882" s="3"/>
      <c r="AJ4882" s="3"/>
    </row>
    <row r="4883" spans="1:36" x14ac:dyDescent="0.25">
      <c r="A4883" s="1"/>
      <c r="B4883" s="2"/>
      <c r="AA4883" s="3"/>
      <c r="AD4883" s="3"/>
      <c r="AG4883" s="3"/>
      <c r="AJ4883" s="3"/>
    </row>
    <row r="4884" spans="1:36" x14ac:dyDescent="0.25">
      <c r="A4884" s="1"/>
      <c r="B4884" s="2"/>
      <c r="AA4884" s="3"/>
      <c r="AD4884" s="3"/>
      <c r="AG4884" s="3"/>
      <c r="AJ4884" s="3"/>
    </row>
    <row r="4885" spans="1:36" x14ac:dyDescent="0.25">
      <c r="A4885" s="1"/>
      <c r="B4885" s="2"/>
      <c r="AA4885" s="3"/>
      <c r="AD4885" s="3"/>
      <c r="AG4885" s="3"/>
      <c r="AJ4885" s="3"/>
    </row>
    <row r="4886" spans="1:36" x14ac:dyDescent="0.25">
      <c r="A4886" s="1"/>
      <c r="B4886" s="2"/>
      <c r="AA4886" s="3"/>
      <c r="AD4886" s="3"/>
      <c r="AG4886" s="3"/>
      <c r="AJ4886" s="3"/>
    </row>
    <row r="4887" spans="1:36" x14ac:dyDescent="0.25">
      <c r="A4887" s="1"/>
      <c r="B4887" s="2"/>
      <c r="AA4887" s="3"/>
      <c r="AD4887" s="3"/>
      <c r="AG4887" s="3"/>
      <c r="AJ4887" s="3"/>
    </row>
    <row r="4888" spans="1:36" x14ac:dyDescent="0.25">
      <c r="A4888" s="1"/>
      <c r="B4888" s="2"/>
      <c r="AA4888" s="3"/>
      <c r="AD4888" s="3"/>
      <c r="AG4888" s="3"/>
      <c r="AJ4888" s="3"/>
    </row>
    <row r="4889" spans="1:36" x14ac:dyDescent="0.25">
      <c r="A4889" s="1"/>
      <c r="B4889" s="2"/>
      <c r="AA4889" s="3"/>
      <c r="AD4889" s="3"/>
      <c r="AG4889" s="3"/>
      <c r="AJ4889" s="3"/>
    </row>
    <row r="4890" spans="1:36" x14ac:dyDescent="0.25">
      <c r="A4890" s="1"/>
      <c r="B4890" s="2"/>
      <c r="AA4890" s="3"/>
      <c r="AD4890" s="3"/>
      <c r="AG4890" s="3"/>
      <c r="AJ4890" s="3"/>
    </row>
    <row r="4891" spans="1:36" x14ac:dyDescent="0.25">
      <c r="A4891" s="1"/>
      <c r="B4891" s="2"/>
      <c r="AA4891" s="3"/>
      <c r="AD4891" s="3"/>
      <c r="AG4891" s="3"/>
      <c r="AJ4891" s="3"/>
    </row>
    <row r="4892" spans="1:36" x14ac:dyDescent="0.25">
      <c r="A4892" s="1"/>
      <c r="B4892" s="2"/>
      <c r="AA4892" s="3"/>
      <c r="AD4892" s="3"/>
      <c r="AG4892" s="3"/>
      <c r="AJ4892" s="3"/>
    </row>
    <row r="4893" spans="1:36" x14ac:dyDescent="0.25">
      <c r="A4893" s="1"/>
      <c r="B4893" s="2"/>
      <c r="AA4893" s="3"/>
      <c r="AD4893" s="3"/>
      <c r="AG4893" s="3"/>
      <c r="AJ4893" s="3"/>
    </row>
    <row r="4894" spans="1:36" x14ac:dyDescent="0.25">
      <c r="A4894" s="1"/>
      <c r="B4894" s="2"/>
      <c r="AA4894" s="3"/>
      <c r="AD4894" s="3"/>
      <c r="AG4894" s="3"/>
      <c r="AJ4894" s="3"/>
    </row>
    <row r="4895" spans="1:36" x14ac:dyDescent="0.25">
      <c r="A4895" s="1"/>
      <c r="B4895" s="2"/>
      <c r="AA4895" s="3"/>
      <c r="AD4895" s="3"/>
      <c r="AG4895" s="3"/>
      <c r="AJ4895" s="3"/>
    </row>
    <row r="4896" spans="1:36" x14ac:dyDescent="0.25">
      <c r="A4896" s="1"/>
      <c r="B4896" s="2"/>
      <c r="AA4896" s="3"/>
      <c r="AD4896" s="3"/>
      <c r="AG4896" s="3"/>
      <c r="AJ4896" s="3"/>
    </row>
    <row r="4897" spans="1:36" x14ac:dyDescent="0.25">
      <c r="A4897" s="1"/>
      <c r="B4897" s="2"/>
      <c r="AA4897" s="3"/>
      <c r="AD4897" s="3"/>
      <c r="AG4897" s="3"/>
      <c r="AJ4897" s="3"/>
    </row>
    <row r="4898" spans="1:36" x14ac:dyDescent="0.25">
      <c r="A4898" s="1"/>
      <c r="B4898" s="2"/>
      <c r="AA4898" s="3"/>
      <c r="AD4898" s="3"/>
      <c r="AG4898" s="3"/>
      <c r="AJ4898" s="3"/>
    </row>
    <row r="4899" spans="1:36" x14ac:dyDescent="0.25">
      <c r="A4899" s="1"/>
      <c r="B4899" s="2"/>
      <c r="AA4899" s="3"/>
      <c r="AD4899" s="3"/>
      <c r="AG4899" s="3"/>
      <c r="AJ4899" s="3"/>
    </row>
    <row r="4900" spans="1:36" x14ac:dyDescent="0.25">
      <c r="A4900" s="1"/>
      <c r="B4900" s="2"/>
      <c r="AA4900" s="3"/>
      <c r="AD4900" s="3"/>
      <c r="AG4900" s="3"/>
      <c r="AJ4900" s="3"/>
    </row>
    <row r="4901" spans="1:36" x14ac:dyDescent="0.25">
      <c r="A4901" s="1"/>
      <c r="B4901" s="2"/>
      <c r="AA4901" s="3"/>
      <c r="AD4901" s="3"/>
      <c r="AG4901" s="3"/>
      <c r="AJ4901" s="3"/>
    </row>
    <row r="4902" spans="1:36" x14ac:dyDescent="0.25">
      <c r="A4902" s="1"/>
      <c r="B4902" s="2"/>
      <c r="AA4902" s="3"/>
      <c r="AD4902" s="3"/>
      <c r="AG4902" s="3"/>
      <c r="AJ4902" s="3"/>
    </row>
    <row r="4903" spans="1:36" x14ac:dyDescent="0.25">
      <c r="A4903" s="1"/>
      <c r="B4903" s="2"/>
      <c r="AA4903" s="3"/>
      <c r="AD4903" s="3"/>
      <c r="AG4903" s="3"/>
      <c r="AJ4903" s="3"/>
    </row>
    <row r="4904" spans="1:36" x14ac:dyDescent="0.25">
      <c r="A4904" s="1"/>
      <c r="B4904" s="2"/>
      <c r="AA4904" s="3"/>
      <c r="AD4904" s="3"/>
      <c r="AG4904" s="3"/>
      <c r="AJ4904" s="3"/>
    </row>
    <row r="4905" spans="1:36" x14ac:dyDescent="0.25">
      <c r="A4905" s="1"/>
      <c r="B4905" s="2"/>
      <c r="AA4905" s="3"/>
      <c r="AD4905" s="3"/>
      <c r="AG4905" s="3"/>
      <c r="AJ4905" s="3"/>
    </row>
    <row r="4906" spans="1:36" x14ac:dyDescent="0.25">
      <c r="A4906" s="1"/>
      <c r="B4906" s="2"/>
      <c r="AA4906" s="3"/>
      <c r="AD4906" s="3"/>
      <c r="AG4906" s="3"/>
      <c r="AJ4906" s="3"/>
    </row>
    <row r="4907" spans="1:36" x14ac:dyDescent="0.25">
      <c r="A4907" s="1"/>
      <c r="B4907" s="2"/>
      <c r="AA4907" s="3"/>
      <c r="AD4907" s="3"/>
      <c r="AG4907" s="3"/>
      <c r="AJ4907" s="3"/>
    </row>
    <row r="4908" spans="1:36" x14ac:dyDescent="0.25">
      <c r="A4908" s="1"/>
      <c r="B4908" s="2"/>
      <c r="AA4908" s="3"/>
      <c r="AD4908" s="3"/>
      <c r="AG4908" s="3"/>
      <c r="AJ4908" s="3"/>
    </row>
    <row r="4909" spans="1:36" x14ac:dyDescent="0.25">
      <c r="A4909" s="1"/>
      <c r="B4909" s="2"/>
      <c r="AA4909" s="3"/>
      <c r="AD4909" s="3"/>
      <c r="AG4909" s="3"/>
      <c r="AJ4909" s="3"/>
    </row>
    <row r="4910" spans="1:36" x14ac:dyDescent="0.25">
      <c r="A4910" s="1"/>
      <c r="B4910" s="2"/>
      <c r="AA4910" s="3"/>
      <c r="AD4910" s="3"/>
      <c r="AG4910" s="3"/>
      <c r="AJ4910" s="3"/>
    </row>
    <row r="4911" spans="1:36" x14ac:dyDescent="0.25">
      <c r="A4911" s="1"/>
      <c r="B4911" s="2"/>
      <c r="AA4911" s="3"/>
      <c r="AD4911" s="3"/>
      <c r="AG4911" s="3"/>
      <c r="AJ4911" s="3"/>
    </row>
    <row r="4912" spans="1:36" x14ac:dyDescent="0.25">
      <c r="A4912" s="1"/>
      <c r="B4912" s="2"/>
      <c r="AA4912" s="3"/>
      <c r="AD4912" s="3"/>
      <c r="AG4912" s="3"/>
      <c r="AJ4912" s="3"/>
    </row>
    <row r="4913" spans="1:36" x14ac:dyDescent="0.25">
      <c r="A4913" s="1"/>
      <c r="B4913" s="2"/>
      <c r="AA4913" s="3"/>
      <c r="AD4913" s="3"/>
      <c r="AG4913" s="3"/>
      <c r="AJ4913" s="3"/>
    </row>
    <row r="4914" spans="1:36" x14ac:dyDescent="0.25">
      <c r="A4914" s="1"/>
      <c r="B4914" s="2"/>
      <c r="AA4914" s="3"/>
      <c r="AD4914" s="3"/>
      <c r="AG4914" s="3"/>
      <c r="AJ4914" s="3"/>
    </row>
    <row r="4915" spans="1:36" x14ac:dyDescent="0.25">
      <c r="A4915" s="1"/>
      <c r="B4915" s="2"/>
      <c r="AA4915" s="3"/>
      <c r="AD4915" s="3"/>
      <c r="AG4915" s="3"/>
      <c r="AJ4915" s="3"/>
    </row>
    <row r="4916" spans="1:36" x14ac:dyDescent="0.25">
      <c r="A4916" s="1"/>
      <c r="B4916" s="2"/>
      <c r="AA4916" s="3"/>
      <c r="AD4916" s="3"/>
      <c r="AG4916" s="3"/>
      <c r="AJ4916" s="3"/>
    </row>
    <row r="4917" spans="1:36" x14ac:dyDescent="0.25">
      <c r="A4917" s="1"/>
      <c r="B4917" s="2"/>
      <c r="AA4917" s="3"/>
      <c r="AD4917" s="3"/>
      <c r="AG4917" s="3"/>
      <c r="AJ4917" s="3"/>
    </row>
    <row r="4918" spans="1:36" x14ac:dyDescent="0.25">
      <c r="A4918" s="1"/>
      <c r="B4918" s="2"/>
      <c r="AA4918" s="3"/>
      <c r="AD4918" s="3"/>
      <c r="AG4918" s="3"/>
      <c r="AJ4918" s="3"/>
    </row>
    <row r="4919" spans="1:36" x14ac:dyDescent="0.25">
      <c r="A4919" s="1"/>
      <c r="B4919" s="2"/>
      <c r="AA4919" s="3"/>
      <c r="AD4919" s="3"/>
      <c r="AG4919" s="3"/>
      <c r="AJ4919" s="3"/>
    </row>
    <row r="4920" spans="1:36" x14ac:dyDescent="0.25">
      <c r="A4920" s="1"/>
      <c r="B4920" s="2"/>
      <c r="AA4920" s="3"/>
      <c r="AD4920" s="3"/>
      <c r="AG4920" s="3"/>
      <c r="AJ4920" s="3"/>
    </row>
    <row r="4921" spans="1:36" x14ac:dyDescent="0.25">
      <c r="A4921" s="1"/>
      <c r="B4921" s="2"/>
      <c r="AA4921" s="3"/>
      <c r="AD4921" s="3"/>
      <c r="AG4921" s="3"/>
      <c r="AJ4921" s="3"/>
    </row>
    <row r="4922" spans="1:36" x14ac:dyDescent="0.25">
      <c r="A4922" s="1"/>
      <c r="B4922" s="2"/>
      <c r="AA4922" s="3"/>
      <c r="AD4922" s="3"/>
      <c r="AG4922" s="3"/>
      <c r="AJ4922" s="3"/>
    </row>
    <row r="4923" spans="1:36" x14ac:dyDescent="0.25">
      <c r="A4923" s="1"/>
      <c r="B4923" s="2"/>
      <c r="AA4923" s="3"/>
      <c r="AD4923" s="3"/>
      <c r="AG4923" s="3"/>
      <c r="AJ4923" s="3"/>
    </row>
    <row r="4924" spans="1:36" x14ac:dyDescent="0.25">
      <c r="A4924" s="1"/>
      <c r="B4924" s="2"/>
      <c r="AA4924" s="3"/>
      <c r="AD4924" s="3"/>
      <c r="AG4924" s="3"/>
      <c r="AJ4924" s="3"/>
    </row>
    <row r="4925" spans="1:36" x14ac:dyDescent="0.25">
      <c r="A4925" s="1"/>
      <c r="B4925" s="2"/>
      <c r="AA4925" s="3"/>
      <c r="AD4925" s="3"/>
      <c r="AG4925" s="3"/>
      <c r="AJ4925" s="3"/>
    </row>
    <row r="4926" spans="1:36" x14ac:dyDescent="0.25">
      <c r="A4926" s="1"/>
      <c r="B4926" s="2"/>
      <c r="AA4926" s="3"/>
      <c r="AD4926" s="3"/>
      <c r="AG4926" s="3"/>
      <c r="AJ4926" s="3"/>
    </row>
    <row r="4927" spans="1:36" x14ac:dyDescent="0.25">
      <c r="A4927" s="1"/>
      <c r="B4927" s="2"/>
      <c r="AA4927" s="3"/>
      <c r="AD4927" s="3"/>
      <c r="AG4927" s="3"/>
      <c r="AJ4927" s="3"/>
    </row>
    <row r="4928" spans="1:36" x14ac:dyDescent="0.25">
      <c r="A4928" s="1"/>
      <c r="B4928" s="2"/>
      <c r="AA4928" s="3"/>
      <c r="AD4928" s="3"/>
      <c r="AG4928" s="3"/>
      <c r="AJ4928" s="3"/>
    </row>
    <row r="4929" spans="1:36" x14ac:dyDescent="0.25">
      <c r="A4929" s="1"/>
      <c r="B4929" s="2"/>
      <c r="AA4929" s="3"/>
      <c r="AD4929" s="3"/>
      <c r="AG4929" s="3"/>
      <c r="AJ4929" s="3"/>
    </row>
    <row r="4930" spans="1:36" x14ac:dyDescent="0.25">
      <c r="A4930" s="1"/>
      <c r="B4930" s="2"/>
      <c r="AA4930" s="3"/>
      <c r="AD4930" s="3"/>
      <c r="AG4930" s="3"/>
      <c r="AJ4930" s="3"/>
    </row>
    <row r="4931" spans="1:36" x14ac:dyDescent="0.25">
      <c r="A4931" s="1"/>
      <c r="B4931" s="2"/>
      <c r="AA4931" s="3"/>
      <c r="AD4931" s="3"/>
      <c r="AG4931" s="3"/>
      <c r="AJ4931" s="3"/>
    </row>
    <row r="4932" spans="1:36" x14ac:dyDescent="0.25">
      <c r="A4932" s="1"/>
      <c r="B4932" s="2"/>
      <c r="AA4932" s="3"/>
      <c r="AD4932" s="3"/>
      <c r="AG4932" s="3"/>
      <c r="AJ4932" s="3"/>
    </row>
    <row r="4933" spans="1:36" x14ac:dyDescent="0.25">
      <c r="A4933" s="1"/>
      <c r="B4933" s="2"/>
      <c r="AA4933" s="3"/>
      <c r="AD4933" s="3"/>
      <c r="AG4933" s="3"/>
      <c r="AJ4933" s="3"/>
    </row>
    <row r="4934" spans="1:36" x14ac:dyDescent="0.25">
      <c r="A4934" s="1"/>
      <c r="B4934" s="2"/>
      <c r="AA4934" s="3"/>
      <c r="AD4934" s="3"/>
      <c r="AG4934" s="3"/>
      <c r="AJ4934" s="3"/>
    </row>
    <row r="4935" spans="1:36" x14ac:dyDescent="0.25">
      <c r="A4935" s="1"/>
      <c r="B4935" s="2"/>
      <c r="AA4935" s="3"/>
      <c r="AD4935" s="3"/>
      <c r="AG4935" s="3"/>
      <c r="AJ4935" s="3"/>
    </row>
    <row r="4936" spans="1:36" x14ac:dyDescent="0.25">
      <c r="A4936" s="1"/>
      <c r="B4936" s="2"/>
      <c r="AA4936" s="3"/>
      <c r="AD4936" s="3"/>
      <c r="AG4936" s="3"/>
      <c r="AJ4936" s="3"/>
    </row>
    <row r="4937" spans="1:36" x14ac:dyDescent="0.25">
      <c r="A4937" s="1"/>
      <c r="B4937" s="2"/>
      <c r="AA4937" s="3"/>
      <c r="AD4937" s="3"/>
      <c r="AG4937" s="3"/>
      <c r="AJ4937" s="3"/>
    </row>
    <row r="4938" spans="1:36" x14ac:dyDescent="0.25">
      <c r="A4938" s="1"/>
      <c r="B4938" s="2"/>
      <c r="AA4938" s="3"/>
      <c r="AD4938" s="3"/>
      <c r="AG4938" s="3"/>
      <c r="AJ4938" s="3"/>
    </row>
    <row r="4939" spans="1:36" x14ac:dyDescent="0.25">
      <c r="A4939" s="1"/>
      <c r="B4939" s="2"/>
      <c r="AA4939" s="3"/>
      <c r="AD4939" s="3"/>
      <c r="AG4939" s="3"/>
      <c r="AJ4939" s="3"/>
    </row>
    <row r="4940" spans="1:36" x14ac:dyDescent="0.25">
      <c r="A4940" s="1"/>
      <c r="B4940" s="2"/>
      <c r="AA4940" s="3"/>
      <c r="AD4940" s="3"/>
      <c r="AG4940" s="3"/>
      <c r="AJ4940" s="3"/>
    </row>
    <row r="4941" spans="1:36" x14ac:dyDescent="0.25">
      <c r="A4941" s="1"/>
      <c r="B4941" s="2"/>
      <c r="AA4941" s="3"/>
      <c r="AD4941" s="3"/>
      <c r="AG4941" s="3"/>
      <c r="AJ4941" s="3"/>
    </row>
    <row r="4942" spans="1:36" x14ac:dyDescent="0.25">
      <c r="A4942" s="1"/>
      <c r="B4942" s="2"/>
      <c r="AA4942" s="3"/>
      <c r="AD4942" s="3"/>
      <c r="AG4942" s="3"/>
      <c r="AJ4942" s="3"/>
    </row>
    <row r="4943" spans="1:36" x14ac:dyDescent="0.25">
      <c r="A4943" s="1"/>
      <c r="B4943" s="2"/>
      <c r="AA4943" s="3"/>
      <c r="AD4943" s="3"/>
      <c r="AG4943" s="3"/>
      <c r="AJ4943" s="3"/>
    </row>
    <row r="4944" spans="1:36" x14ac:dyDescent="0.25">
      <c r="A4944" s="1"/>
      <c r="B4944" s="2"/>
      <c r="AA4944" s="3"/>
      <c r="AD4944" s="3"/>
      <c r="AG4944" s="3"/>
      <c r="AJ4944" s="3"/>
    </row>
    <row r="4945" spans="1:36" x14ac:dyDescent="0.25">
      <c r="A4945" s="1"/>
      <c r="B4945" s="2"/>
      <c r="AA4945" s="3"/>
      <c r="AD4945" s="3"/>
      <c r="AG4945" s="3"/>
      <c r="AJ4945" s="3"/>
    </row>
    <row r="4946" spans="1:36" x14ac:dyDescent="0.25">
      <c r="A4946" s="1"/>
      <c r="B4946" s="2"/>
      <c r="AA4946" s="3"/>
      <c r="AD4946" s="3"/>
      <c r="AG4946" s="3"/>
      <c r="AJ4946" s="3"/>
    </row>
    <row r="4947" spans="1:36" x14ac:dyDescent="0.25">
      <c r="A4947" s="1"/>
      <c r="B4947" s="2"/>
      <c r="AA4947" s="3"/>
      <c r="AD4947" s="3"/>
      <c r="AG4947" s="3"/>
      <c r="AJ4947" s="3"/>
    </row>
    <row r="4948" spans="1:36" x14ac:dyDescent="0.25">
      <c r="A4948" s="1"/>
      <c r="B4948" s="2"/>
      <c r="AA4948" s="3"/>
      <c r="AD4948" s="3"/>
      <c r="AG4948" s="3"/>
      <c r="AJ4948" s="3"/>
    </row>
    <row r="4949" spans="1:36" x14ac:dyDescent="0.25">
      <c r="A4949" s="1"/>
      <c r="B4949" s="2"/>
      <c r="AA4949" s="3"/>
      <c r="AD4949" s="3"/>
      <c r="AG4949" s="3"/>
      <c r="AJ4949" s="3"/>
    </row>
    <row r="4950" spans="1:36" x14ac:dyDescent="0.25">
      <c r="A4950" s="1"/>
      <c r="B4950" s="2"/>
      <c r="AA4950" s="3"/>
      <c r="AD4950" s="3"/>
      <c r="AG4950" s="3"/>
      <c r="AJ4950" s="3"/>
    </row>
    <row r="4951" spans="1:36" x14ac:dyDescent="0.25">
      <c r="A4951" s="1"/>
      <c r="B4951" s="2"/>
      <c r="AA4951" s="3"/>
      <c r="AD4951" s="3"/>
      <c r="AG4951" s="3"/>
      <c r="AJ4951" s="3"/>
    </row>
    <row r="4952" spans="1:36" x14ac:dyDescent="0.25">
      <c r="A4952" s="1"/>
      <c r="B4952" s="2"/>
      <c r="AA4952" s="3"/>
      <c r="AD4952" s="3"/>
      <c r="AG4952" s="3"/>
      <c r="AJ4952" s="3"/>
    </row>
    <row r="4953" spans="1:36" x14ac:dyDescent="0.25">
      <c r="A4953" s="1"/>
      <c r="B4953" s="2"/>
      <c r="AA4953" s="3"/>
      <c r="AD4953" s="3"/>
      <c r="AG4953" s="3"/>
      <c r="AJ4953" s="3"/>
    </row>
    <row r="4954" spans="1:36" x14ac:dyDescent="0.25">
      <c r="A4954" s="1"/>
      <c r="B4954" s="2"/>
      <c r="AA4954" s="3"/>
      <c r="AD4954" s="3"/>
      <c r="AG4954" s="3"/>
      <c r="AJ4954" s="3"/>
    </row>
    <row r="4955" spans="1:36" x14ac:dyDescent="0.25">
      <c r="A4955" s="1"/>
      <c r="B4955" s="2"/>
      <c r="AA4955" s="3"/>
      <c r="AD4955" s="3"/>
      <c r="AG4955" s="3"/>
      <c r="AJ4955" s="3"/>
    </row>
    <row r="4956" spans="1:36" x14ac:dyDescent="0.25">
      <c r="A4956" s="1"/>
      <c r="B4956" s="2"/>
      <c r="AA4956" s="3"/>
      <c r="AD4956" s="3"/>
      <c r="AG4956" s="3"/>
      <c r="AJ4956" s="3"/>
    </row>
    <row r="4957" spans="1:36" x14ac:dyDescent="0.25">
      <c r="A4957" s="1"/>
      <c r="B4957" s="2"/>
      <c r="AA4957" s="3"/>
      <c r="AD4957" s="3"/>
      <c r="AG4957" s="3"/>
      <c r="AJ4957" s="3"/>
    </row>
    <row r="4958" spans="1:36" x14ac:dyDescent="0.25">
      <c r="A4958" s="1"/>
      <c r="B4958" s="2"/>
      <c r="AA4958" s="3"/>
      <c r="AD4958" s="3"/>
      <c r="AG4958" s="3"/>
      <c r="AJ4958" s="3"/>
    </row>
    <row r="4959" spans="1:36" x14ac:dyDescent="0.25">
      <c r="A4959" s="1"/>
      <c r="B4959" s="2"/>
      <c r="AA4959" s="3"/>
      <c r="AD4959" s="3"/>
      <c r="AG4959" s="3"/>
      <c r="AJ4959" s="3"/>
    </row>
    <row r="4960" spans="1:36" x14ac:dyDescent="0.25">
      <c r="A4960" s="1"/>
      <c r="B4960" s="2"/>
      <c r="AA4960" s="3"/>
      <c r="AD4960" s="3"/>
      <c r="AG4960" s="3"/>
      <c r="AJ4960" s="3"/>
    </row>
    <row r="4961" spans="1:36" x14ac:dyDescent="0.25">
      <c r="A4961" s="1"/>
      <c r="B4961" s="2"/>
      <c r="AA4961" s="3"/>
      <c r="AD4961" s="3"/>
      <c r="AG4961" s="3"/>
      <c r="AJ4961" s="3"/>
    </row>
    <row r="4962" spans="1:36" x14ac:dyDescent="0.25">
      <c r="A4962" s="1"/>
      <c r="B4962" s="2"/>
      <c r="AA4962" s="3"/>
      <c r="AD4962" s="3"/>
      <c r="AG4962" s="3"/>
      <c r="AJ4962" s="3"/>
    </row>
    <row r="4963" spans="1:36" x14ac:dyDescent="0.25">
      <c r="A4963" s="1"/>
      <c r="B4963" s="2"/>
      <c r="AA4963" s="3"/>
      <c r="AD4963" s="3"/>
      <c r="AG4963" s="3"/>
      <c r="AJ4963" s="3"/>
    </row>
    <row r="4964" spans="1:36" x14ac:dyDescent="0.25">
      <c r="A4964" s="1"/>
      <c r="B4964" s="2"/>
      <c r="AA4964" s="3"/>
      <c r="AD4964" s="3"/>
      <c r="AG4964" s="3"/>
      <c r="AJ4964" s="3"/>
    </row>
    <row r="4965" spans="1:36" x14ac:dyDescent="0.25">
      <c r="A4965" s="1"/>
      <c r="B4965" s="2"/>
      <c r="AA4965" s="3"/>
      <c r="AD4965" s="3"/>
      <c r="AG4965" s="3"/>
      <c r="AJ4965" s="3"/>
    </row>
    <row r="4966" spans="1:36" x14ac:dyDescent="0.25">
      <c r="A4966" s="1"/>
      <c r="B4966" s="2"/>
      <c r="AA4966" s="3"/>
      <c r="AD4966" s="3"/>
      <c r="AG4966" s="3"/>
      <c r="AJ4966" s="3"/>
    </row>
    <row r="4967" spans="1:36" x14ac:dyDescent="0.25">
      <c r="A4967" s="1"/>
      <c r="B4967" s="2"/>
      <c r="AA4967" s="3"/>
      <c r="AD4967" s="3"/>
      <c r="AG4967" s="3"/>
      <c r="AJ4967" s="3"/>
    </row>
    <row r="4968" spans="1:36" x14ac:dyDescent="0.25">
      <c r="A4968" s="1"/>
      <c r="B4968" s="2"/>
      <c r="AA4968" s="3"/>
      <c r="AD4968" s="3"/>
      <c r="AG4968" s="3"/>
      <c r="AJ4968" s="3"/>
    </row>
    <row r="4969" spans="1:36" x14ac:dyDescent="0.25">
      <c r="A4969" s="1"/>
      <c r="B4969" s="2"/>
      <c r="AA4969" s="3"/>
      <c r="AD4969" s="3"/>
      <c r="AG4969" s="3"/>
      <c r="AJ4969" s="3"/>
    </row>
    <row r="4970" spans="1:36" x14ac:dyDescent="0.25">
      <c r="A4970" s="1"/>
      <c r="B4970" s="2"/>
      <c r="AA4970" s="3"/>
      <c r="AD4970" s="3"/>
      <c r="AG4970" s="3"/>
      <c r="AJ4970" s="3"/>
    </row>
    <row r="4971" spans="1:36" x14ac:dyDescent="0.25">
      <c r="A4971" s="1"/>
      <c r="B4971" s="2"/>
      <c r="AA4971" s="3"/>
      <c r="AD4971" s="3"/>
      <c r="AG4971" s="3"/>
      <c r="AJ4971" s="3"/>
    </row>
    <row r="4972" spans="1:36" x14ac:dyDescent="0.25">
      <c r="A4972" s="1"/>
      <c r="B4972" s="2"/>
      <c r="AA4972" s="3"/>
      <c r="AD4972" s="3"/>
      <c r="AG4972" s="3"/>
      <c r="AJ4972" s="3"/>
    </row>
    <row r="4973" spans="1:36" x14ac:dyDescent="0.25">
      <c r="A4973" s="1"/>
      <c r="B4973" s="2"/>
      <c r="AA4973" s="3"/>
      <c r="AD4973" s="3"/>
      <c r="AG4973" s="3"/>
      <c r="AJ4973" s="3"/>
    </row>
    <row r="4974" spans="1:36" x14ac:dyDescent="0.25">
      <c r="A4974" s="1"/>
      <c r="B4974" s="2"/>
      <c r="AA4974" s="3"/>
      <c r="AD4974" s="3"/>
      <c r="AG4974" s="3"/>
      <c r="AJ4974" s="3"/>
    </row>
    <row r="4975" spans="1:36" x14ac:dyDescent="0.25">
      <c r="A4975" s="1"/>
      <c r="B4975" s="2"/>
      <c r="AA4975" s="3"/>
      <c r="AD4975" s="3"/>
      <c r="AG4975" s="3"/>
      <c r="AJ4975" s="3"/>
    </row>
    <row r="4976" spans="1:36" x14ac:dyDescent="0.25">
      <c r="A4976" s="1"/>
      <c r="B4976" s="2"/>
      <c r="AA4976" s="3"/>
      <c r="AD4976" s="3"/>
      <c r="AG4976" s="3"/>
      <c r="AJ4976" s="3"/>
    </row>
    <row r="4977" spans="1:36" x14ac:dyDescent="0.25">
      <c r="A4977" s="1"/>
      <c r="B4977" s="2"/>
      <c r="AA4977" s="3"/>
      <c r="AD4977" s="3"/>
      <c r="AG4977" s="3"/>
      <c r="AJ4977" s="3"/>
    </row>
    <row r="4978" spans="1:36" x14ac:dyDescent="0.25">
      <c r="A4978" s="1"/>
      <c r="B4978" s="2"/>
      <c r="AA4978" s="3"/>
      <c r="AD4978" s="3"/>
      <c r="AG4978" s="3"/>
      <c r="AJ4978" s="3"/>
    </row>
    <row r="4979" spans="1:36" x14ac:dyDescent="0.25">
      <c r="A4979" s="1"/>
      <c r="B4979" s="2"/>
      <c r="AA4979" s="3"/>
      <c r="AD4979" s="3"/>
      <c r="AG4979" s="3"/>
      <c r="AJ4979" s="3"/>
    </row>
    <row r="4980" spans="1:36" x14ac:dyDescent="0.25">
      <c r="A4980" s="1"/>
      <c r="B4980" s="2"/>
      <c r="AA4980" s="3"/>
      <c r="AD4980" s="3"/>
      <c r="AG4980" s="3"/>
      <c r="AJ4980" s="3"/>
    </row>
    <row r="4981" spans="1:36" x14ac:dyDescent="0.25">
      <c r="A4981" s="1"/>
      <c r="B4981" s="2"/>
      <c r="AA4981" s="3"/>
      <c r="AD4981" s="3"/>
      <c r="AG4981" s="3"/>
      <c r="AJ4981" s="3"/>
    </row>
    <row r="4982" spans="1:36" x14ac:dyDescent="0.25">
      <c r="A4982" s="1"/>
      <c r="B4982" s="2"/>
      <c r="AA4982" s="3"/>
      <c r="AD4982" s="3"/>
      <c r="AG4982" s="3"/>
      <c r="AJ4982" s="3"/>
    </row>
    <row r="4983" spans="1:36" x14ac:dyDescent="0.25">
      <c r="A4983" s="1"/>
      <c r="B4983" s="2"/>
      <c r="AA4983" s="3"/>
      <c r="AD4983" s="3"/>
      <c r="AG4983" s="3"/>
      <c r="AJ4983" s="3"/>
    </row>
    <row r="4984" spans="1:36" x14ac:dyDescent="0.25">
      <c r="A4984" s="1"/>
      <c r="B4984" s="2"/>
      <c r="AA4984" s="3"/>
      <c r="AD4984" s="3"/>
      <c r="AG4984" s="3"/>
      <c r="AJ4984" s="3"/>
    </row>
    <row r="4985" spans="1:36" x14ac:dyDescent="0.25">
      <c r="A4985" s="1"/>
      <c r="B4985" s="2"/>
      <c r="AA4985" s="3"/>
      <c r="AD4985" s="3"/>
      <c r="AG4985" s="3"/>
      <c r="AJ4985" s="3"/>
    </row>
    <row r="4986" spans="1:36" x14ac:dyDescent="0.25">
      <c r="A4986" s="1"/>
      <c r="B4986" s="2"/>
      <c r="AA4986" s="3"/>
      <c r="AD4986" s="3"/>
      <c r="AG4986" s="3"/>
      <c r="AJ4986" s="3"/>
    </row>
    <row r="4987" spans="1:36" x14ac:dyDescent="0.25">
      <c r="A4987" s="1"/>
      <c r="B4987" s="2"/>
      <c r="AA4987" s="3"/>
      <c r="AD4987" s="3"/>
      <c r="AG4987" s="3"/>
      <c r="AJ4987" s="3"/>
    </row>
    <row r="4988" spans="1:36" x14ac:dyDescent="0.25">
      <c r="A4988" s="1"/>
      <c r="B4988" s="2"/>
      <c r="AA4988" s="3"/>
      <c r="AD4988" s="3"/>
      <c r="AG4988" s="3"/>
      <c r="AJ4988" s="3"/>
    </row>
    <row r="4989" spans="1:36" x14ac:dyDescent="0.25">
      <c r="A4989" s="1"/>
      <c r="B4989" s="2"/>
      <c r="AA4989" s="3"/>
      <c r="AD4989" s="3"/>
      <c r="AG4989" s="3"/>
      <c r="AJ4989" s="3"/>
    </row>
    <row r="4990" spans="1:36" x14ac:dyDescent="0.25">
      <c r="A4990" s="1"/>
      <c r="B4990" s="2"/>
      <c r="AA4990" s="3"/>
      <c r="AD4990" s="3"/>
      <c r="AG4990" s="3"/>
      <c r="AJ4990" s="3"/>
    </row>
    <row r="4991" spans="1:36" x14ac:dyDescent="0.25">
      <c r="A4991" s="1"/>
      <c r="B4991" s="2"/>
      <c r="AA4991" s="3"/>
      <c r="AD4991" s="3"/>
      <c r="AG4991" s="3"/>
      <c r="AJ4991" s="3"/>
    </row>
    <row r="4992" spans="1:36" x14ac:dyDescent="0.25">
      <c r="A4992" s="1"/>
      <c r="B4992" s="2"/>
      <c r="AA4992" s="3"/>
      <c r="AD4992" s="3"/>
      <c r="AG4992" s="3"/>
      <c r="AJ4992" s="3"/>
    </row>
    <row r="4993" spans="1:36" x14ac:dyDescent="0.25">
      <c r="A4993" s="1"/>
      <c r="B4993" s="2"/>
      <c r="AA4993" s="3"/>
      <c r="AD4993" s="3"/>
      <c r="AG4993" s="3"/>
      <c r="AJ4993" s="3"/>
    </row>
    <row r="4994" spans="1:36" x14ac:dyDescent="0.25">
      <c r="A4994" s="1"/>
      <c r="B4994" s="2"/>
      <c r="AA4994" s="3"/>
      <c r="AD4994" s="3"/>
      <c r="AG4994" s="3"/>
      <c r="AJ4994" s="3"/>
    </row>
    <row r="4995" spans="1:36" x14ac:dyDescent="0.25">
      <c r="A4995" s="1"/>
      <c r="B4995" s="2"/>
      <c r="AA4995" s="3"/>
      <c r="AD4995" s="3"/>
      <c r="AG4995" s="3"/>
      <c r="AJ4995" s="3"/>
    </row>
    <row r="4996" spans="1:36" x14ac:dyDescent="0.25">
      <c r="A4996" s="1"/>
      <c r="B4996" s="2"/>
      <c r="AA4996" s="3"/>
      <c r="AD4996" s="3"/>
      <c r="AG4996" s="3"/>
      <c r="AJ4996" s="3"/>
    </row>
    <row r="4997" spans="1:36" x14ac:dyDescent="0.25">
      <c r="A4997" s="1"/>
      <c r="B4997" s="2"/>
      <c r="AA4997" s="3"/>
      <c r="AD4997" s="3"/>
      <c r="AG4997" s="3"/>
      <c r="AJ4997" s="3"/>
    </row>
    <row r="4998" spans="1:36" x14ac:dyDescent="0.25">
      <c r="A4998" s="1"/>
      <c r="B4998" s="2"/>
      <c r="AA4998" s="3"/>
      <c r="AD4998" s="3"/>
      <c r="AG4998" s="3"/>
      <c r="AJ4998" s="3"/>
    </row>
    <row r="4999" spans="1:36" x14ac:dyDescent="0.25">
      <c r="A4999" s="1"/>
      <c r="B4999" s="2"/>
      <c r="AA4999" s="3"/>
      <c r="AD4999" s="3"/>
      <c r="AG4999" s="3"/>
      <c r="AJ4999" s="3"/>
    </row>
    <row r="5000" spans="1:36" x14ac:dyDescent="0.25">
      <c r="A5000" s="1"/>
      <c r="B5000" s="2"/>
      <c r="AA5000" s="3"/>
      <c r="AD5000" s="3"/>
      <c r="AG5000" s="3"/>
      <c r="AJ5000" s="3"/>
    </row>
    <row r="5001" spans="1:36" x14ac:dyDescent="0.25">
      <c r="A5001" s="1"/>
      <c r="B5001" s="2"/>
      <c r="AA5001" s="3"/>
      <c r="AD5001" s="3"/>
      <c r="AG5001" s="3"/>
      <c r="AJ5001" s="3"/>
    </row>
    <row r="5002" spans="1:36" x14ac:dyDescent="0.25">
      <c r="A5002" s="1"/>
      <c r="B5002" s="2"/>
      <c r="AA5002" s="3"/>
      <c r="AD5002" s="3"/>
      <c r="AG5002" s="3"/>
      <c r="AJ5002" s="3"/>
    </row>
    <row r="5003" spans="1:36" x14ac:dyDescent="0.25">
      <c r="A5003" s="1"/>
      <c r="B5003" s="2"/>
      <c r="AA5003" s="3"/>
      <c r="AD5003" s="3"/>
      <c r="AG5003" s="3"/>
      <c r="AJ5003" s="3"/>
    </row>
    <row r="5004" spans="1:36" x14ac:dyDescent="0.25">
      <c r="A5004" s="1"/>
      <c r="B5004" s="2"/>
      <c r="AA5004" s="3"/>
      <c r="AD5004" s="3"/>
      <c r="AG5004" s="3"/>
      <c r="AJ5004" s="3"/>
    </row>
    <row r="5005" spans="1:36" x14ac:dyDescent="0.25">
      <c r="A5005" s="1"/>
      <c r="B5005" s="2"/>
      <c r="AA5005" s="3"/>
      <c r="AD5005" s="3"/>
      <c r="AG5005" s="3"/>
      <c r="AJ5005" s="3"/>
    </row>
    <row r="5006" spans="1:36" x14ac:dyDescent="0.25">
      <c r="A5006" s="1"/>
      <c r="B5006" s="2"/>
      <c r="AA5006" s="3"/>
      <c r="AD5006" s="3"/>
      <c r="AG5006" s="3"/>
      <c r="AJ5006" s="3"/>
    </row>
    <row r="5007" spans="1:36" x14ac:dyDescent="0.25">
      <c r="A5007" s="1"/>
      <c r="B5007" s="2"/>
      <c r="AA5007" s="3"/>
      <c r="AD5007" s="3"/>
      <c r="AG5007" s="3"/>
      <c r="AJ5007" s="3"/>
    </row>
    <row r="5008" spans="1:36" x14ac:dyDescent="0.25">
      <c r="A5008" s="1"/>
      <c r="B5008" s="2"/>
      <c r="AA5008" s="3"/>
      <c r="AD5008" s="3"/>
      <c r="AG5008" s="3"/>
      <c r="AJ5008" s="3"/>
    </row>
    <row r="5009" spans="1:36" x14ac:dyDescent="0.25">
      <c r="A5009" s="1"/>
      <c r="B5009" s="2"/>
      <c r="AA5009" s="3"/>
      <c r="AD5009" s="3"/>
      <c r="AG5009" s="3"/>
      <c r="AJ5009" s="3"/>
    </row>
    <row r="5010" spans="1:36" x14ac:dyDescent="0.25">
      <c r="A5010" s="1"/>
      <c r="B5010" s="2"/>
      <c r="AA5010" s="3"/>
      <c r="AD5010" s="3"/>
      <c r="AG5010" s="3"/>
      <c r="AJ5010" s="3"/>
    </row>
    <row r="5011" spans="1:36" x14ac:dyDescent="0.25">
      <c r="A5011" s="1"/>
      <c r="B5011" s="2"/>
      <c r="AA5011" s="3"/>
      <c r="AD5011" s="3"/>
      <c r="AG5011" s="3"/>
      <c r="AJ5011" s="3"/>
    </row>
    <row r="5012" spans="1:36" x14ac:dyDescent="0.25">
      <c r="A5012" s="1"/>
      <c r="B5012" s="2"/>
      <c r="AA5012" s="3"/>
      <c r="AD5012" s="3"/>
      <c r="AG5012" s="3"/>
      <c r="AJ5012" s="3"/>
    </row>
    <row r="5013" spans="1:36" x14ac:dyDescent="0.25">
      <c r="A5013" s="1"/>
      <c r="B5013" s="2"/>
      <c r="AA5013" s="3"/>
      <c r="AD5013" s="3"/>
      <c r="AG5013" s="3"/>
      <c r="AJ5013" s="3"/>
    </row>
    <row r="5014" spans="1:36" x14ac:dyDescent="0.25">
      <c r="A5014" s="1"/>
      <c r="B5014" s="2"/>
      <c r="AA5014" s="3"/>
      <c r="AD5014" s="3"/>
      <c r="AG5014" s="3"/>
      <c r="AJ5014" s="3"/>
    </row>
    <row r="5015" spans="1:36" x14ac:dyDescent="0.25">
      <c r="A5015" s="1"/>
      <c r="B5015" s="2"/>
      <c r="AA5015" s="3"/>
      <c r="AD5015" s="3"/>
      <c r="AG5015" s="3"/>
      <c r="AJ5015" s="3"/>
    </row>
    <row r="5016" spans="1:36" x14ac:dyDescent="0.25">
      <c r="A5016" s="1"/>
      <c r="B5016" s="2"/>
      <c r="AA5016" s="3"/>
      <c r="AD5016" s="3"/>
      <c r="AG5016" s="3"/>
      <c r="AJ5016" s="3"/>
    </row>
    <row r="5017" spans="1:36" x14ac:dyDescent="0.25">
      <c r="A5017" s="1"/>
      <c r="B5017" s="2"/>
      <c r="AA5017" s="3"/>
      <c r="AD5017" s="3"/>
      <c r="AG5017" s="3"/>
      <c r="AJ5017" s="3"/>
    </row>
    <row r="5018" spans="1:36" x14ac:dyDescent="0.25">
      <c r="A5018" s="1"/>
      <c r="B5018" s="2"/>
      <c r="AA5018" s="3"/>
      <c r="AD5018" s="3"/>
      <c r="AG5018" s="3"/>
      <c r="AJ5018" s="3"/>
    </row>
    <row r="5019" spans="1:36" x14ac:dyDescent="0.25">
      <c r="A5019" s="1"/>
      <c r="B5019" s="2"/>
      <c r="AA5019" s="3"/>
      <c r="AD5019" s="3"/>
      <c r="AG5019" s="3"/>
      <c r="AJ5019" s="3"/>
    </row>
    <row r="5020" spans="1:36" x14ac:dyDescent="0.25">
      <c r="A5020" s="1"/>
      <c r="B5020" s="2"/>
      <c r="AA5020" s="3"/>
      <c r="AD5020" s="3"/>
      <c r="AG5020" s="3"/>
      <c r="AJ5020" s="3"/>
    </row>
    <row r="5021" spans="1:36" x14ac:dyDescent="0.25">
      <c r="A5021" s="1"/>
      <c r="B5021" s="2"/>
      <c r="AA5021" s="3"/>
      <c r="AD5021" s="3"/>
      <c r="AG5021" s="3"/>
      <c r="AJ5021" s="3"/>
    </row>
    <row r="5022" spans="1:36" x14ac:dyDescent="0.25">
      <c r="A5022" s="1"/>
      <c r="B5022" s="2"/>
      <c r="AA5022" s="3"/>
      <c r="AD5022" s="3"/>
      <c r="AG5022" s="3"/>
      <c r="AJ5022" s="3"/>
    </row>
    <row r="5023" spans="1:36" x14ac:dyDescent="0.25">
      <c r="A5023" s="1"/>
      <c r="B5023" s="2"/>
      <c r="AA5023" s="3"/>
      <c r="AD5023" s="3"/>
      <c r="AG5023" s="3"/>
      <c r="AJ5023" s="3"/>
    </row>
    <row r="5024" spans="1:36" x14ac:dyDescent="0.25">
      <c r="A5024" s="1"/>
      <c r="B5024" s="2"/>
      <c r="AA5024" s="3"/>
      <c r="AD5024" s="3"/>
      <c r="AG5024" s="3"/>
      <c r="AJ5024" s="3"/>
    </row>
    <row r="5025" spans="1:36" x14ac:dyDescent="0.25">
      <c r="A5025" s="1"/>
      <c r="B5025" s="2"/>
      <c r="AA5025" s="3"/>
      <c r="AD5025" s="3"/>
      <c r="AG5025" s="3"/>
      <c r="AJ5025" s="3"/>
    </row>
    <row r="5026" spans="1:36" x14ac:dyDescent="0.25">
      <c r="A5026" s="1"/>
      <c r="B5026" s="2"/>
      <c r="AA5026" s="3"/>
      <c r="AD5026" s="3"/>
      <c r="AG5026" s="3"/>
      <c r="AJ5026" s="3"/>
    </row>
    <row r="5027" spans="1:36" x14ac:dyDescent="0.25">
      <c r="A5027" s="1"/>
      <c r="B5027" s="2"/>
      <c r="AA5027" s="3"/>
      <c r="AD5027" s="3"/>
      <c r="AG5027" s="3"/>
      <c r="AJ5027" s="3"/>
    </row>
    <row r="5028" spans="1:36" x14ac:dyDescent="0.25">
      <c r="A5028" s="1"/>
      <c r="B5028" s="2"/>
      <c r="AA5028" s="3"/>
      <c r="AD5028" s="3"/>
      <c r="AG5028" s="3"/>
      <c r="AJ5028" s="3"/>
    </row>
    <row r="5029" spans="1:36" x14ac:dyDescent="0.25">
      <c r="A5029" s="1"/>
      <c r="B5029" s="2"/>
      <c r="AA5029" s="3"/>
      <c r="AD5029" s="3"/>
      <c r="AG5029" s="3"/>
      <c r="AJ5029" s="3"/>
    </row>
    <row r="5030" spans="1:36" x14ac:dyDescent="0.25">
      <c r="A5030" s="1"/>
      <c r="B5030" s="2"/>
      <c r="AA5030" s="3"/>
      <c r="AD5030" s="3"/>
      <c r="AG5030" s="3"/>
      <c r="AJ5030" s="3"/>
    </row>
    <row r="5031" spans="1:36" x14ac:dyDescent="0.25">
      <c r="A5031" s="1"/>
      <c r="B5031" s="2"/>
      <c r="AA5031" s="3"/>
      <c r="AD5031" s="3"/>
      <c r="AG5031" s="3"/>
      <c r="AJ5031" s="3"/>
    </row>
    <row r="5032" spans="1:36" x14ac:dyDescent="0.25">
      <c r="A5032" s="1"/>
      <c r="B5032" s="2"/>
      <c r="AA5032" s="3"/>
      <c r="AD5032" s="3"/>
      <c r="AG5032" s="3"/>
      <c r="AJ5032" s="3"/>
    </row>
    <row r="5033" spans="1:36" x14ac:dyDescent="0.25">
      <c r="A5033" s="1"/>
      <c r="B5033" s="2"/>
      <c r="AA5033" s="3"/>
      <c r="AD5033" s="3"/>
      <c r="AG5033" s="3"/>
      <c r="AJ5033" s="3"/>
    </row>
    <row r="5034" spans="1:36" x14ac:dyDescent="0.25">
      <c r="A5034" s="1"/>
      <c r="B5034" s="2"/>
      <c r="AA5034" s="3"/>
      <c r="AD5034" s="3"/>
      <c r="AG5034" s="3"/>
      <c r="AJ5034" s="3"/>
    </row>
    <row r="5035" spans="1:36" x14ac:dyDescent="0.25">
      <c r="A5035" s="1"/>
      <c r="B5035" s="2"/>
      <c r="AA5035" s="3"/>
      <c r="AD5035" s="3"/>
      <c r="AG5035" s="3"/>
      <c r="AJ5035" s="3"/>
    </row>
    <row r="5036" spans="1:36" x14ac:dyDescent="0.25">
      <c r="A5036" s="1"/>
      <c r="B5036" s="2"/>
      <c r="AA5036" s="3"/>
      <c r="AD5036" s="3"/>
      <c r="AG5036" s="3"/>
      <c r="AJ5036" s="3"/>
    </row>
    <row r="5037" spans="1:36" x14ac:dyDescent="0.25">
      <c r="A5037" s="1"/>
      <c r="B5037" s="2"/>
      <c r="AA5037" s="3"/>
      <c r="AD5037" s="3"/>
      <c r="AG5037" s="3"/>
      <c r="AJ5037" s="3"/>
    </row>
    <row r="5038" spans="1:36" x14ac:dyDescent="0.25">
      <c r="A5038" s="1"/>
      <c r="B5038" s="2"/>
      <c r="AA5038" s="3"/>
      <c r="AD5038" s="3"/>
      <c r="AG5038" s="3"/>
      <c r="AJ5038" s="3"/>
    </row>
    <row r="5039" spans="1:36" x14ac:dyDescent="0.25">
      <c r="A5039" s="1"/>
      <c r="B5039" s="2"/>
      <c r="AA5039" s="3"/>
      <c r="AD5039" s="3"/>
      <c r="AG5039" s="3"/>
      <c r="AJ5039" s="3"/>
    </row>
    <row r="5040" spans="1:36" x14ac:dyDescent="0.25">
      <c r="A5040" s="1"/>
      <c r="B5040" s="2"/>
      <c r="AA5040" s="3"/>
      <c r="AD5040" s="3"/>
      <c r="AG5040" s="3"/>
      <c r="AJ5040" s="3"/>
    </row>
    <row r="5041" spans="1:36" x14ac:dyDescent="0.25">
      <c r="A5041" s="1"/>
      <c r="B5041" s="2"/>
      <c r="AA5041" s="3"/>
      <c r="AD5041" s="3"/>
      <c r="AG5041" s="3"/>
      <c r="AJ5041" s="3"/>
    </row>
    <row r="5042" spans="1:36" x14ac:dyDescent="0.25">
      <c r="A5042" s="1"/>
      <c r="B5042" s="2"/>
      <c r="AA5042" s="3"/>
      <c r="AD5042" s="3"/>
      <c r="AG5042" s="3"/>
      <c r="AJ5042" s="3"/>
    </row>
    <row r="5043" spans="1:36" x14ac:dyDescent="0.25">
      <c r="A5043" s="1"/>
      <c r="B5043" s="2"/>
      <c r="AA5043" s="3"/>
      <c r="AD5043" s="3"/>
      <c r="AG5043" s="3"/>
      <c r="AJ5043" s="3"/>
    </row>
    <row r="5044" spans="1:36" x14ac:dyDescent="0.25">
      <c r="A5044" s="1"/>
      <c r="B5044" s="2"/>
      <c r="AA5044" s="3"/>
      <c r="AD5044" s="3"/>
      <c r="AG5044" s="3"/>
      <c r="AJ5044" s="3"/>
    </row>
    <row r="5045" spans="1:36" x14ac:dyDescent="0.25">
      <c r="A5045" s="1"/>
      <c r="B5045" s="2"/>
      <c r="AA5045" s="3"/>
      <c r="AD5045" s="3"/>
      <c r="AG5045" s="3"/>
      <c r="AJ5045" s="3"/>
    </row>
    <row r="5046" spans="1:36" x14ac:dyDescent="0.25">
      <c r="A5046" s="1"/>
      <c r="B5046" s="2"/>
      <c r="AA5046" s="3"/>
      <c r="AD5046" s="3"/>
      <c r="AG5046" s="3"/>
      <c r="AJ5046" s="3"/>
    </row>
    <row r="5047" spans="1:36" x14ac:dyDescent="0.25">
      <c r="A5047" s="1"/>
      <c r="B5047" s="2"/>
      <c r="AA5047" s="3"/>
      <c r="AD5047" s="3"/>
      <c r="AG5047" s="3"/>
      <c r="AJ5047" s="3"/>
    </row>
    <row r="5048" spans="1:36" x14ac:dyDescent="0.25">
      <c r="A5048" s="1"/>
      <c r="B5048" s="2"/>
      <c r="AA5048" s="3"/>
      <c r="AD5048" s="3"/>
      <c r="AG5048" s="3"/>
      <c r="AJ5048" s="3"/>
    </row>
    <row r="5049" spans="1:36" x14ac:dyDescent="0.25">
      <c r="A5049" s="1"/>
      <c r="B5049" s="2"/>
      <c r="AA5049" s="3"/>
      <c r="AD5049" s="3"/>
      <c r="AG5049" s="3"/>
      <c r="AJ5049" s="3"/>
    </row>
    <row r="5050" spans="1:36" x14ac:dyDescent="0.25">
      <c r="A5050" s="1"/>
      <c r="B5050" s="2"/>
      <c r="AA5050" s="3"/>
      <c r="AD5050" s="3"/>
      <c r="AG5050" s="3"/>
      <c r="AJ5050" s="3"/>
    </row>
    <row r="5051" spans="1:36" x14ac:dyDescent="0.25">
      <c r="A5051" s="1"/>
      <c r="B5051" s="2"/>
      <c r="AA5051" s="3"/>
      <c r="AD5051" s="3"/>
      <c r="AG5051" s="3"/>
      <c r="AJ5051" s="3"/>
    </row>
    <row r="5052" spans="1:36" x14ac:dyDescent="0.25">
      <c r="A5052" s="1"/>
      <c r="B5052" s="2"/>
      <c r="AA5052" s="3"/>
      <c r="AD5052" s="3"/>
      <c r="AG5052" s="3"/>
      <c r="AJ5052" s="3"/>
    </row>
    <row r="5053" spans="1:36" x14ac:dyDescent="0.25">
      <c r="A5053" s="1"/>
      <c r="B5053" s="2"/>
      <c r="AA5053" s="3"/>
      <c r="AD5053" s="3"/>
      <c r="AG5053" s="3"/>
      <c r="AJ5053" s="3"/>
    </row>
    <row r="5054" spans="1:36" x14ac:dyDescent="0.25">
      <c r="A5054" s="1"/>
      <c r="B5054" s="2"/>
      <c r="AA5054" s="3"/>
      <c r="AD5054" s="3"/>
      <c r="AG5054" s="3"/>
      <c r="AJ5054" s="3"/>
    </row>
    <row r="5055" spans="1:36" x14ac:dyDescent="0.25">
      <c r="A5055" s="1"/>
      <c r="B5055" s="2"/>
      <c r="AA5055" s="3"/>
      <c r="AD5055" s="3"/>
      <c r="AG5055" s="3"/>
      <c r="AJ5055" s="3"/>
    </row>
    <row r="5056" spans="1:36" x14ac:dyDescent="0.25">
      <c r="A5056" s="1"/>
      <c r="B5056" s="2"/>
      <c r="AA5056" s="3"/>
      <c r="AD5056" s="3"/>
      <c r="AG5056" s="3"/>
      <c r="AJ5056" s="3"/>
    </row>
    <row r="5057" spans="1:36" x14ac:dyDescent="0.25">
      <c r="A5057" s="1"/>
      <c r="B5057" s="2"/>
      <c r="AA5057" s="3"/>
      <c r="AD5057" s="3"/>
      <c r="AG5057" s="3"/>
      <c r="AJ5057" s="3"/>
    </row>
    <row r="5058" spans="1:36" x14ac:dyDescent="0.25">
      <c r="A5058" s="1"/>
      <c r="B5058" s="2"/>
      <c r="AA5058" s="3"/>
      <c r="AD5058" s="3"/>
      <c r="AG5058" s="3"/>
      <c r="AJ5058" s="3"/>
    </row>
    <row r="5059" spans="1:36" x14ac:dyDescent="0.25">
      <c r="A5059" s="1"/>
      <c r="B5059" s="2"/>
      <c r="AA5059" s="3"/>
      <c r="AD5059" s="3"/>
      <c r="AG5059" s="3"/>
      <c r="AJ5059" s="3"/>
    </row>
    <row r="5060" spans="1:36" x14ac:dyDescent="0.25">
      <c r="A5060" s="1"/>
      <c r="B5060" s="2"/>
      <c r="AA5060" s="3"/>
      <c r="AD5060" s="3"/>
      <c r="AG5060" s="3"/>
      <c r="AJ5060" s="3"/>
    </row>
    <row r="5061" spans="1:36" x14ac:dyDescent="0.25">
      <c r="A5061" s="1"/>
      <c r="B5061" s="2"/>
      <c r="AA5061" s="3"/>
      <c r="AD5061" s="3"/>
      <c r="AG5061" s="3"/>
      <c r="AJ5061" s="3"/>
    </row>
    <row r="5062" spans="1:36" x14ac:dyDescent="0.25">
      <c r="A5062" s="1"/>
      <c r="B5062" s="2"/>
      <c r="AA5062" s="3"/>
      <c r="AD5062" s="3"/>
      <c r="AG5062" s="3"/>
      <c r="AJ5062" s="3"/>
    </row>
    <row r="5063" spans="1:36" x14ac:dyDescent="0.25">
      <c r="A5063" s="1"/>
      <c r="B5063" s="2"/>
      <c r="AA5063" s="3"/>
      <c r="AD5063" s="3"/>
      <c r="AG5063" s="3"/>
      <c r="AJ5063" s="3"/>
    </row>
    <row r="5064" spans="1:36" x14ac:dyDescent="0.25">
      <c r="A5064" s="1"/>
      <c r="B5064" s="2"/>
      <c r="AA5064" s="3"/>
      <c r="AD5064" s="3"/>
      <c r="AG5064" s="3"/>
      <c r="AJ5064" s="3"/>
    </row>
    <row r="5065" spans="1:36" x14ac:dyDescent="0.25">
      <c r="A5065" s="1"/>
      <c r="B5065" s="2"/>
      <c r="AA5065" s="3"/>
      <c r="AD5065" s="3"/>
      <c r="AG5065" s="3"/>
      <c r="AJ5065" s="3"/>
    </row>
    <row r="5066" spans="1:36" x14ac:dyDescent="0.25">
      <c r="A5066" s="1"/>
      <c r="B5066" s="2"/>
      <c r="AA5066" s="3"/>
      <c r="AD5066" s="3"/>
      <c r="AG5066" s="3"/>
      <c r="AJ5066" s="3"/>
    </row>
    <row r="5067" spans="1:36" x14ac:dyDescent="0.25">
      <c r="A5067" s="1"/>
      <c r="B5067" s="2"/>
      <c r="AA5067" s="3"/>
      <c r="AD5067" s="3"/>
      <c r="AG5067" s="3"/>
      <c r="AJ5067" s="3"/>
    </row>
    <row r="5068" spans="1:36" x14ac:dyDescent="0.25">
      <c r="A5068" s="1"/>
      <c r="B5068" s="2"/>
      <c r="AA5068" s="3"/>
      <c r="AD5068" s="3"/>
      <c r="AG5068" s="3"/>
      <c r="AJ5068" s="3"/>
    </row>
    <row r="5069" spans="1:36" x14ac:dyDescent="0.25">
      <c r="A5069" s="1"/>
      <c r="B5069" s="2"/>
      <c r="AA5069" s="3"/>
      <c r="AD5069" s="3"/>
      <c r="AG5069" s="3"/>
      <c r="AJ5069" s="3"/>
    </row>
    <row r="5070" spans="1:36" x14ac:dyDescent="0.25">
      <c r="A5070" s="1"/>
      <c r="B5070" s="2"/>
      <c r="AA5070" s="3"/>
      <c r="AD5070" s="3"/>
      <c r="AG5070" s="3"/>
      <c r="AJ5070" s="3"/>
    </row>
    <row r="5071" spans="1:36" x14ac:dyDescent="0.25">
      <c r="A5071" s="1"/>
      <c r="B5071" s="2"/>
      <c r="AA5071" s="3"/>
      <c r="AD5071" s="3"/>
      <c r="AG5071" s="3"/>
      <c r="AJ5071" s="3"/>
    </row>
    <row r="5072" spans="1:36" x14ac:dyDescent="0.25">
      <c r="A5072" s="1"/>
      <c r="B5072" s="2"/>
      <c r="AA5072" s="3"/>
      <c r="AD5072" s="3"/>
      <c r="AG5072" s="3"/>
      <c r="AJ5072" s="3"/>
    </row>
    <row r="5073" spans="1:36" x14ac:dyDescent="0.25">
      <c r="A5073" s="1"/>
      <c r="B5073" s="2"/>
      <c r="AA5073" s="3"/>
      <c r="AD5073" s="3"/>
      <c r="AG5073" s="3"/>
      <c r="AJ5073" s="3"/>
    </row>
    <row r="5074" spans="1:36" x14ac:dyDescent="0.25">
      <c r="A5074" s="1"/>
      <c r="B5074" s="2"/>
      <c r="AA5074" s="3"/>
      <c r="AD5074" s="3"/>
      <c r="AG5074" s="3"/>
      <c r="AJ5074" s="3"/>
    </row>
    <row r="5075" spans="1:36" x14ac:dyDescent="0.25">
      <c r="A5075" s="1"/>
      <c r="B5075" s="2"/>
      <c r="AA5075" s="3"/>
      <c r="AD5075" s="3"/>
      <c r="AG5075" s="3"/>
      <c r="AJ5075" s="3"/>
    </row>
    <row r="5076" spans="1:36" x14ac:dyDescent="0.25">
      <c r="A5076" s="1"/>
      <c r="B5076" s="2"/>
      <c r="AA5076" s="3"/>
      <c r="AD5076" s="3"/>
      <c r="AG5076" s="3"/>
      <c r="AJ5076" s="3"/>
    </row>
    <row r="5077" spans="1:36" x14ac:dyDescent="0.25">
      <c r="A5077" s="1"/>
      <c r="B5077" s="2"/>
      <c r="AA5077" s="3"/>
      <c r="AD5077" s="3"/>
      <c r="AG5077" s="3"/>
      <c r="AJ5077" s="3"/>
    </row>
    <row r="5078" spans="1:36" x14ac:dyDescent="0.25">
      <c r="A5078" s="1"/>
      <c r="B5078" s="2"/>
      <c r="AA5078" s="3"/>
      <c r="AD5078" s="3"/>
      <c r="AG5078" s="3"/>
      <c r="AJ5078" s="3"/>
    </row>
    <row r="5079" spans="1:36" x14ac:dyDescent="0.25">
      <c r="A5079" s="1"/>
      <c r="B5079" s="2"/>
      <c r="AA5079" s="3"/>
      <c r="AD5079" s="3"/>
      <c r="AG5079" s="3"/>
      <c r="AJ5079" s="3"/>
    </row>
    <row r="5080" spans="1:36" x14ac:dyDescent="0.25">
      <c r="A5080" s="1"/>
      <c r="B5080" s="2"/>
      <c r="AA5080" s="3"/>
      <c r="AD5080" s="3"/>
      <c r="AG5080" s="3"/>
      <c r="AJ5080" s="3"/>
    </row>
    <row r="5081" spans="1:36" x14ac:dyDescent="0.25">
      <c r="A5081" s="1"/>
      <c r="B5081" s="2"/>
      <c r="AA5081" s="3"/>
      <c r="AD5081" s="3"/>
      <c r="AG5081" s="3"/>
      <c r="AJ5081" s="3"/>
    </row>
    <row r="5082" spans="1:36" x14ac:dyDescent="0.25">
      <c r="A5082" s="1"/>
      <c r="B5082" s="2"/>
      <c r="AA5082" s="3"/>
      <c r="AD5082" s="3"/>
      <c r="AG5082" s="3"/>
      <c r="AJ5082" s="3"/>
    </row>
    <row r="5083" spans="1:36" x14ac:dyDescent="0.25">
      <c r="A5083" s="1"/>
      <c r="B5083" s="2"/>
      <c r="AA5083" s="3"/>
      <c r="AD5083" s="3"/>
      <c r="AG5083" s="3"/>
      <c r="AJ5083" s="3"/>
    </row>
    <row r="5084" spans="1:36" x14ac:dyDescent="0.25">
      <c r="A5084" s="1"/>
      <c r="B5084" s="2"/>
      <c r="AA5084" s="3"/>
      <c r="AD5084" s="3"/>
      <c r="AG5084" s="3"/>
      <c r="AJ5084" s="3"/>
    </row>
    <row r="5085" spans="1:36" x14ac:dyDescent="0.25">
      <c r="A5085" s="1"/>
      <c r="B5085" s="2"/>
      <c r="AA5085" s="3"/>
      <c r="AD5085" s="3"/>
      <c r="AG5085" s="3"/>
      <c r="AJ5085" s="3"/>
    </row>
    <row r="5086" spans="1:36" x14ac:dyDescent="0.25">
      <c r="A5086" s="1"/>
      <c r="B5086" s="2"/>
      <c r="AA5086" s="3"/>
      <c r="AD5086" s="3"/>
      <c r="AG5086" s="3"/>
      <c r="AJ5086" s="3"/>
    </row>
    <row r="5087" spans="1:36" x14ac:dyDescent="0.25">
      <c r="A5087" s="1"/>
      <c r="B5087" s="2"/>
      <c r="AA5087" s="3"/>
      <c r="AD5087" s="3"/>
      <c r="AG5087" s="3"/>
      <c r="AJ5087" s="3"/>
    </row>
    <row r="5088" spans="1:36" x14ac:dyDescent="0.25">
      <c r="A5088" s="1"/>
      <c r="B5088" s="2"/>
      <c r="AA5088" s="3"/>
      <c r="AD5088" s="3"/>
      <c r="AG5088" s="3"/>
      <c r="AJ5088" s="3"/>
    </row>
    <row r="5089" spans="1:36" x14ac:dyDescent="0.25">
      <c r="A5089" s="1"/>
      <c r="B5089" s="2"/>
      <c r="AA5089" s="3"/>
      <c r="AD5089" s="3"/>
      <c r="AG5089" s="3"/>
      <c r="AJ5089" s="3"/>
    </row>
    <row r="5090" spans="1:36" x14ac:dyDescent="0.25">
      <c r="A5090" s="1"/>
      <c r="B5090" s="2"/>
      <c r="AA5090" s="3"/>
      <c r="AD5090" s="3"/>
      <c r="AG5090" s="3"/>
      <c r="AJ5090" s="3"/>
    </row>
    <row r="5091" spans="1:36" x14ac:dyDescent="0.25">
      <c r="A5091" s="1"/>
      <c r="B5091" s="2"/>
      <c r="AA5091" s="3"/>
      <c r="AD5091" s="3"/>
      <c r="AG5091" s="3"/>
      <c r="AJ5091" s="3"/>
    </row>
    <row r="5092" spans="1:36" x14ac:dyDescent="0.25">
      <c r="A5092" s="1"/>
      <c r="B5092" s="2"/>
      <c r="AA5092" s="3"/>
      <c r="AD5092" s="3"/>
      <c r="AG5092" s="3"/>
      <c r="AJ5092" s="3"/>
    </row>
    <row r="5093" spans="1:36" x14ac:dyDescent="0.25">
      <c r="A5093" s="1"/>
      <c r="B5093" s="2"/>
      <c r="AA5093" s="3"/>
      <c r="AD5093" s="3"/>
      <c r="AG5093" s="3"/>
      <c r="AJ5093" s="3"/>
    </row>
    <row r="5094" spans="1:36" x14ac:dyDescent="0.25">
      <c r="A5094" s="1"/>
      <c r="B5094" s="2"/>
      <c r="AA5094" s="3"/>
      <c r="AD5094" s="3"/>
      <c r="AG5094" s="3"/>
      <c r="AJ5094" s="3"/>
    </row>
    <row r="5095" spans="1:36" x14ac:dyDescent="0.25">
      <c r="A5095" s="1"/>
      <c r="B5095" s="2"/>
      <c r="AA5095" s="3"/>
      <c r="AD5095" s="3"/>
      <c r="AG5095" s="3"/>
      <c r="AJ5095" s="3"/>
    </row>
    <row r="5096" spans="1:36" x14ac:dyDescent="0.25">
      <c r="A5096" s="1"/>
      <c r="B5096" s="2"/>
      <c r="AA5096" s="3"/>
      <c r="AD5096" s="3"/>
      <c r="AG5096" s="3"/>
      <c r="AJ5096" s="3"/>
    </row>
    <row r="5097" spans="1:36" x14ac:dyDescent="0.25">
      <c r="A5097" s="1"/>
      <c r="B5097" s="2"/>
      <c r="AA5097" s="3"/>
      <c r="AD5097" s="3"/>
      <c r="AG5097" s="3"/>
      <c r="AJ5097" s="3"/>
    </row>
    <row r="5098" spans="1:36" x14ac:dyDescent="0.25">
      <c r="A5098" s="1"/>
      <c r="B5098" s="2"/>
      <c r="AA5098" s="3"/>
      <c r="AD5098" s="3"/>
      <c r="AG5098" s="3"/>
      <c r="AJ5098" s="3"/>
    </row>
    <row r="5099" spans="1:36" x14ac:dyDescent="0.25">
      <c r="A5099" s="1"/>
      <c r="B5099" s="2"/>
      <c r="AA5099" s="3"/>
      <c r="AD5099" s="3"/>
      <c r="AG5099" s="3"/>
      <c r="AJ5099" s="3"/>
    </row>
    <row r="5100" spans="1:36" x14ac:dyDescent="0.25">
      <c r="A5100" s="1"/>
      <c r="B5100" s="2"/>
      <c r="AA5100" s="3"/>
      <c r="AD5100" s="3"/>
      <c r="AG5100" s="3"/>
      <c r="AJ5100" s="3"/>
    </row>
    <row r="5101" spans="1:36" x14ac:dyDescent="0.25">
      <c r="A5101" s="1"/>
      <c r="B5101" s="2"/>
      <c r="AA5101" s="3"/>
      <c r="AD5101" s="3"/>
      <c r="AG5101" s="3"/>
      <c r="AJ5101" s="3"/>
    </row>
    <row r="5102" spans="1:36" x14ac:dyDescent="0.25">
      <c r="A5102" s="1"/>
      <c r="B5102" s="2"/>
      <c r="AA5102" s="3"/>
      <c r="AD5102" s="3"/>
      <c r="AG5102" s="3"/>
      <c r="AJ5102" s="3"/>
    </row>
    <row r="5103" spans="1:36" x14ac:dyDescent="0.25">
      <c r="A5103" s="1"/>
      <c r="B5103" s="2"/>
      <c r="AA5103" s="3"/>
      <c r="AD5103" s="3"/>
      <c r="AG5103" s="3"/>
      <c r="AJ5103" s="3"/>
    </row>
    <row r="5104" spans="1:36" x14ac:dyDescent="0.25">
      <c r="A5104" s="1"/>
      <c r="B5104" s="2"/>
      <c r="AA5104" s="3"/>
      <c r="AD5104" s="3"/>
      <c r="AG5104" s="3"/>
      <c r="AJ5104" s="3"/>
    </row>
    <row r="5105" spans="1:36" x14ac:dyDescent="0.25">
      <c r="A5105" s="1"/>
      <c r="B5105" s="2"/>
      <c r="AA5105" s="3"/>
      <c r="AD5105" s="3"/>
      <c r="AG5105" s="3"/>
      <c r="AJ5105" s="3"/>
    </row>
    <row r="5106" spans="1:36" x14ac:dyDescent="0.25">
      <c r="A5106" s="1"/>
      <c r="B5106" s="2"/>
      <c r="AA5106" s="3"/>
      <c r="AD5106" s="3"/>
      <c r="AG5106" s="3"/>
      <c r="AJ5106" s="3"/>
    </row>
    <row r="5107" spans="1:36" x14ac:dyDescent="0.25">
      <c r="A5107" s="1"/>
      <c r="B5107" s="2"/>
      <c r="AA5107" s="3"/>
      <c r="AD5107" s="3"/>
      <c r="AG5107" s="3"/>
      <c r="AJ5107" s="3"/>
    </row>
    <row r="5108" spans="1:36" x14ac:dyDescent="0.25">
      <c r="A5108" s="1"/>
      <c r="B5108" s="2"/>
      <c r="AA5108" s="3"/>
      <c r="AD5108" s="3"/>
      <c r="AG5108" s="3"/>
      <c r="AJ5108" s="3"/>
    </row>
    <row r="5109" spans="1:36" x14ac:dyDescent="0.25">
      <c r="A5109" s="1"/>
      <c r="B5109" s="2"/>
      <c r="AA5109" s="3"/>
      <c r="AD5109" s="3"/>
      <c r="AG5109" s="3"/>
      <c r="AJ5109" s="3"/>
    </row>
    <row r="5110" spans="1:36" x14ac:dyDescent="0.25">
      <c r="A5110" s="1"/>
      <c r="B5110" s="2"/>
      <c r="AA5110" s="3"/>
      <c r="AD5110" s="3"/>
      <c r="AG5110" s="3"/>
      <c r="AJ5110" s="3"/>
    </row>
    <row r="5111" spans="1:36" x14ac:dyDescent="0.25">
      <c r="A5111" s="1"/>
      <c r="B5111" s="2"/>
      <c r="AA5111" s="3"/>
      <c r="AD5111" s="3"/>
      <c r="AG5111" s="3"/>
      <c r="AJ5111" s="3"/>
    </row>
    <row r="5112" spans="1:36" x14ac:dyDescent="0.25">
      <c r="A5112" s="1"/>
      <c r="B5112" s="2"/>
      <c r="AA5112" s="3"/>
      <c r="AD5112" s="3"/>
      <c r="AG5112" s="3"/>
      <c r="AJ5112" s="3"/>
    </row>
    <row r="5113" spans="1:36" x14ac:dyDescent="0.25">
      <c r="A5113" s="1"/>
      <c r="B5113" s="2"/>
      <c r="AA5113" s="3"/>
      <c r="AD5113" s="3"/>
      <c r="AG5113" s="3"/>
      <c r="AJ5113" s="3"/>
    </row>
    <row r="5114" spans="1:36" x14ac:dyDescent="0.25">
      <c r="A5114" s="1"/>
      <c r="B5114" s="2"/>
      <c r="AA5114" s="3"/>
      <c r="AD5114" s="3"/>
      <c r="AG5114" s="3"/>
      <c r="AJ5114" s="3"/>
    </row>
    <row r="5115" spans="1:36" x14ac:dyDescent="0.25">
      <c r="A5115" s="1"/>
      <c r="B5115" s="2"/>
      <c r="AA5115" s="3"/>
      <c r="AD5115" s="3"/>
      <c r="AG5115" s="3"/>
      <c r="AJ5115" s="3"/>
    </row>
    <row r="5116" spans="1:36" x14ac:dyDescent="0.25">
      <c r="A5116" s="1"/>
      <c r="B5116" s="2"/>
      <c r="AA5116" s="3"/>
      <c r="AD5116" s="3"/>
      <c r="AG5116" s="3"/>
      <c r="AJ5116" s="3"/>
    </row>
    <row r="5117" spans="1:36" x14ac:dyDescent="0.25">
      <c r="A5117" s="1"/>
      <c r="B5117" s="2"/>
      <c r="AA5117" s="3"/>
      <c r="AD5117" s="3"/>
      <c r="AG5117" s="3"/>
      <c r="AJ5117" s="3"/>
    </row>
    <row r="5118" spans="1:36" x14ac:dyDescent="0.25">
      <c r="A5118" s="1"/>
      <c r="B5118" s="2"/>
      <c r="AA5118" s="3"/>
      <c r="AD5118" s="3"/>
      <c r="AG5118" s="3"/>
      <c r="AJ5118" s="3"/>
    </row>
    <row r="5119" spans="1:36" x14ac:dyDescent="0.25">
      <c r="A5119" s="1"/>
      <c r="B5119" s="2"/>
      <c r="AA5119" s="3"/>
      <c r="AD5119" s="3"/>
      <c r="AG5119" s="3"/>
      <c r="AJ5119" s="3"/>
    </row>
    <row r="5120" spans="1:36" x14ac:dyDescent="0.25">
      <c r="A5120" s="1"/>
      <c r="B5120" s="2"/>
      <c r="AA5120" s="3"/>
      <c r="AD5120" s="3"/>
      <c r="AG5120" s="3"/>
      <c r="AJ5120" s="3"/>
    </row>
    <row r="5121" spans="1:36" x14ac:dyDescent="0.25">
      <c r="A5121" s="1"/>
      <c r="B5121" s="2"/>
      <c r="AA5121" s="3"/>
      <c r="AD5121" s="3"/>
      <c r="AG5121" s="3"/>
      <c r="AJ5121" s="3"/>
    </row>
    <row r="5122" spans="1:36" x14ac:dyDescent="0.25">
      <c r="A5122" s="1"/>
      <c r="B5122" s="2"/>
      <c r="AA5122" s="3"/>
      <c r="AD5122" s="3"/>
      <c r="AG5122" s="3"/>
      <c r="AJ5122" s="3"/>
    </row>
    <row r="5123" spans="1:36" x14ac:dyDescent="0.25">
      <c r="A5123" s="1"/>
      <c r="B5123" s="2"/>
      <c r="AA5123" s="3"/>
      <c r="AD5123" s="3"/>
      <c r="AG5123" s="3"/>
      <c r="AJ5123" s="3"/>
    </row>
    <row r="5124" spans="1:36" x14ac:dyDescent="0.25">
      <c r="A5124" s="1"/>
      <c r="B5124" s="2"/>
      <c r="AA5124" s="3"/>
      <c r="AD5124" s="3"/>
      <c r="AG5124" s="3"/>
      <c r="AJ5124" s="3"/>
    </row>
    <row r="5125" spans="1:36" x14ac:dyDescent="0.25">
      <c r="A5125" s="1"/>
      <c r="B5125" s="2"/>
      <c r="AA5125" s="3"/>
      <c r="AD5125" s="3"/>
      <c r="AG5125" s="3"/>
      <c r="AJ5125" s="3"/>
    </row>
    <row r="5126" spans="1:36" x14ac:dyDescent="0.25">
      <c r="A5126" s="1"/>
      <c r="B5126" s="2"/>
      <c r="AA5126" s="3"/>
      <c r="AD5126" s="3"/>
      <c r="AG5126" s="3"/>
      <c r="AJ5126" s="3"/>
    </row>
    <row r="5127" spans="1:36" x14ac:dyDescent="0.25">
      <c r="A5127" s="1"/>
      <c r="B5127" s="2"/>
      <c r="AA5127" s="3"/>
      <c r="AD5127" s="3"/>
      <c r="AG5127" s="3"/>
      <c r="AJ5127" s="3"/>
    </row>
    <row r="5128" spans="1:36" x14ac:dyDescent="0.25">
      <c r="A5128" s="1"/>
      <c r="B5128" s="2"/>
      <c r="AA5128" s="3"/>
      <c r="AD5128" s="3"/>
      <c r="AG5128" s="3"/>
      <c r="AJ5128" s="3"/>
    </row>
    <row r="5129" spans="1:36" x14ac:dyDescent="0.25">
      <c r="A5129" s="1"/>
      <c r="B5129" s="2"/>
      <c r="AA5129" s="3"/>
      <c r="AD5129" s="3"/>
      <c r="AG5129" s="3"/>
      <c r="AJ5129" s="3"/>
    </row>
    <row r="5130" spans="1:36" x14ac:dyDescent="0.25">
      <c r="A5130" s="1"/>
      <c r="B5130" s="2"/>
      <c r="AA5130" s="3"/>
      <c r="AD5130" s="3"/>
      <c r="AG5130" s="3"/>
      <c r="AJ5130" s="3"/>
    </row>
    <row r="5131" spans="1:36" x14ac:dyDescent="0.25">
      <c r="A5131" s="1"/>
      <c r="B5131" s="2"/>
      <c r="AA5131" s="3"/>
      <c r="AD5131" s="3"/>
      <c r="AG5131" s="3"/>
      <c r="AJ5131" s="3"/>
    </row>
    <row r="5132" spans="1:36" x14ac:dyDescent="0.25">
      <c r="A5132" s="1"/>
      <c r="B5132" s="2"/>
      <c r="AA5132" s="3"/>
      <c r="AD5132" s="3"/>
      <c r="AG5132" s="3"/>
      <c r="AJ5132" s="3"/>
    </row>
    <row r="5133" spans="1:36" x14ac:dyDescent="0.25">
      <c r="A5133" s="1"/>
      <c r="B5133" s="2"/>
      <c r="AA5133" s="3"/>
      <c r="AD5133" s="3"/>
      <c r="AG5133" s="3"/>
      <c r="AJ5133" s="3"/>
    </row>
    <row r="5134" spans="1:36" x14ac:dyDescent="0.25">
      <c r="A5134" s="1"/>
      <c r="B5134" s="2"/>
      <c r="AA5134" s="3"/>
      <c r="AD5134" s="3"/>
      <c r="AG5134" s="3"/>
      <c r="AJ5134" s="3"/>
    </row>
    <row r="5135" spans="1:36" x14ac:dyDescent="0.25">
      <c r="A5135" s="1"/>
      <c r="B5135" s="2"/>
      <c r="AA5135" s="3"/>
      <c r="AD5135" s="3"/>
      <c r="AG5135" s="3"/>
      <c r="AJ5135" s="3"/>
    </row>
    <row r="5136" spans="1:36" x14ac:dyDescent="0.25">
      <c r="A5136" s="1"/>
      <c r="B5136" s="2"/>
      <c r="AA5136" s="3"/>
      <c r="AD5136" s="3"/>
      <c r="AG5136" s="3"/>
      <c r="AJ5136" s="3"/>
    </row>
    <row r="5137" spans="1:36" x14ac:dyDescent="0.25">
      <c r="A5137" s="1"/>
      <c r="B5137" s="2"/>
      <c r="AA5137" s="3"/>
      <c r="AD5137" s="3"/>
      <c r="AG5137" s="3"/>
      <c r="AJ5137" s="3"/>
    </row>
    <row r="5138" spans="1:36" x14ac:dyDescent="0.25">
      <c r="A5138" s="1"/>
      <c r="B5138" s="2"/>
      <c r="AA5138" s="3"/>
      <c r="AD5138" s="3"/>
      <c r="AG5138" s="3"/>
      <c r="AJ5138" s="3"/>
    </row>
    <row r="5139" spans="1:36" x14ac:dyDescent="0.25">
      <c r="A5139" s="1"/>
      <c r="B5139" s="2"/>
      <c r="AA5139" s="3"/>
      <c r="AD5139" s="3"/>
      <c r="AG5139" s="3"/>
      <c r="AJ5139" s="3"/>
    </row>
    <row r="5140" spans="1:36" x14ac:dyDescent="0.25">
      <c r="A5140" s="1"/>
      <c r="B5140" s="2"/>
      <c r="AA5140" s="3"/>
      <c r="AD5140" s="3"/>
      <c r="AG5140" s="3"/>
      <c r="AJ5140" s="3"/>
    </row>
    <row r="5141" spans="1:36" x14ac:dyDescent="0.25">
      <c r="A5141" s="1"/>
      <c r="B5141" s="2"/>
      <c r="AA5141" s="3"/>
      <c r="AD5141" s="3"/>
      <c r="AG5141" s="3"/>
      <c r="AJ5141" s="3"/>
    </row>
    <row r="5142" spans="1:36" x14ac:dyDescent="0.25">
      <c r="A5142" s="1"/>
      <c r="B5142" s="2"/>
      <c r="AA5142" s="3"/>
      <c r="AD5142" s="3"/>
      <c r="AG5142" s="3"/>
      <c r="AJ5142" s="3"/>
    </row>
    <row r="5143" spans="1:36" x14ac:dyDescent="0.25">
      <c r="A5143" s="1"/>
      <c r="B5143" s="2"/>
      <c r="AA5143" s="3"/>
      <c r="AD5143" s="3"/>
      <c r="AG5143" s="3"/>
      <c r="AJ5143" s="3"/>
    </row>
    <row r="5144" spans="1:36" x14ac:dyDescent="0.25">
      <c r="A5144" s="1"/>
      <c r="B5144" s="2"/>
      <c r="AA5144" s="3"/>
      <c r="AD5144" s="3"/>
      <c r="AG5144" s="3"/>
      <c r="AJ5144" s="3"/>
    </row>
    <row r="5145" spans="1:36" x14ac:dyDescent="0.25">
      <c r="A5145" s="1"/>
      <c r="B5145" s="2"/>
      <c r="AA5145" s="3"/>
      <c r="AD5145" s="3"/>
      <c r="AG5145" s="3"/>
      <c r="AJ5145" s="3"/>
    </row>
    <row r="5146" spans="1:36" x14ac:dyDescent="0.25">
      <c r="A5146" s="1"/>
      <c r="B5146" s="2"/>
      <c r="AA5146" s="3"/>
      <c r="AD5146" s="3"/>
      <c r="AG5146" s="3"/>
      <c r="AJ5146" s="3"/>
    </row>
    <row r="5147" spans="1:36" x14ac:dyDescent="0.25">
      <c r="A5147" s="1"/>
      <c r="B5147" s="2"/>
      <c r="AA5147" s="3"/>
      <c r="AD5147" s="3"/>
      <c r="AG5147" s="3"/>
      <c r="AJ5147" s="3"/>
    </row>
    <row r="5148" spans="1:36" x14ac:dyDescent="0.25">
      <c r="A5148" s="1"/>
      <c r="B5148" s="2"/>
      <c r="AA5148" s="3"/>
      <c r="AD5148" s="3"/>
      <c r="AG5148" s="3"/>
      <c r="AJ5148" s="3"/>
    </row>
    <row r="5149" spans="1:36" x14ac:dyDescent="0.25">
      <c r="A5149" s="1"/>
      <c r="B5149" s="2"/>
      <c r="AA5149" s="3"/>
      <c r="AD5149" s="3"/>
      <c r="AG5149" s="3"/>
      <c r="AJ5149" s="3"/>
    </row>
    <row r="5150" spans="1:36" x14ac:dyDescent="0.25">
      <c r="A5150" s="1"/>
      <c r="B5150" s="2"/>
      <c r="AA5150" s="3"/>
      <c r="AD5150" s="3"/>
      <c r="AG5150" s="3"/>
      <c r="AJ5150" s="3"/>
    </row>
    <row r="5151" spans="1:36" x14ac:dyDescent="0.25">
      <c r="A5151" s="1"/>
      <c r="B5151" s="2"/>
      <c r="AA5151" s="3"/>
      <c r="AD5151" s="3"/>
      <c r="AG5151" s="3"/>
      <c r="AJ5151" s="3"/>
    </row>
    <row r="5152" spans="1:36" x14ac:dyDescent="0.25">
      <c r="A5152" s="1"/>
      <c r="B5152" s="2"/>
      <c r="AA5152" s="3"/>
      <c r="AD5152" s="3"/>
      <c r="AG5152" s="3"/>
      <c r="AJ5152" s="3"/>
    </row>
    <row r="5153" spans="1:36" x14ac:dyDescent="0.25">
      <c r="A5153" s="1"/>
      <c r="B5153" s="2"/>
      <c r="AA5153" s="3"/>
      <c r="AD5153" s="3"/>
      <c r="AG5153" s="3"/>
      <c r="AJ5153" s="3"/>
    </row>
    <row r="5154" spans="1:36" x14ac:dyDescent="0.25">
      <c r="A5154" s="1"/>
      <c r="B5154" s="2"/>
      <c r="AA5154" s="3"/>
      <c r="AD5154" s="3"/>
      <c r="AG5154" s="3"/>
      <c r="AJ5154" s="3"/>
    </row>
    <row r="5155" spans="1:36" x14ac:dyDescent="0.25">
      <c r="A5155" s="1"/>
      <c r="B5155" s="2"/>
      <c r="AA5155" s="3"/>
      <c r="AD5155" s="3"/>
      <c r="AG5155" s="3"/>
      <c r="AJ5155" s="3"/>
    </row>
    <row r="5156" spans="1:36" x14ac:dyDescent="0.25">
      <c r="A5156" s="1"/>
      <c r="B5156" s="2"/>
      <c r="AA5156" s="3"/>
      <c r="AD5156" s="3"/>
      <c r="AG5156" s="3"/>
      <c r="AJ5156" s="3"/>
    </row>
    <row r="5157" spans="1:36" x14ac:dyDescent="0.25">
      <c r="A5157" s="1"/>
      <c r="B5157" s="2"/>
      <c r="AA5157" s="3"/>
      <c r="AD5157" s="3"/>
      <c r="AG5157" s="3"/>
      <c r="AJ5157" s="3"/>
    </row>
    <row r="5158" spans="1:36" x14ac:dyDescent="0.25">
      <c r="A5158" s="1"/>
      <c r="B5158" s="2"/>
      <c r="AA5158" s="3"/>
      <c r="AD5158" s="3"/>
      <c r="AG5158" s="3"/>
      <c r="AJ5158" s="3"/>
    </row>
    <row r="5159" spans="1:36" x14ac:dyDescent="0.25">
      <c r="A5159" s="1"/>
      <c r="B5159" s="2"/>
      <c r="AA5159" s="3"/>
      <c r="AD5159" s="3"/>
      <c r="AG5159" s="3"/>
      <c r="AJ5159" s="3"/>
    </row>
    <row r="5160" spans="1:36" x14ac:dyDescent="0.25">
      <c r="A5160" s="1"/>
      <c r="B5160" s="2"/>
      <c r="AA5160" s="3"/>
      <c r="AD5160" s="3"/>
      <c r="AG5160" s="3"/>
      <c r="AJ5160" s="3"/>
    </row>
    <row r="5161" spans="1:36" x14ac:dyDescent="0.25">
      <c r="A5161" s="1"/>
      <c r="B5161" s="2"/>
      <c r="AA5161" s="3"/>
      <c r="AD5161" s="3"/>
      <c r="AG5161" s="3"/>
      <c r="AJ5161" s="3"/>
    </row>
    <row r="5162" spans="1:36" x14ac:dyDescent="0.25">
      <c r="A5162" s="1"/>
      <c r="B5162" s="2"/>
      <c r="AA5162" s="3"/>
      <c r="AD5162" s="3"/>
      <c r="AG5162" s="3"/>
      <c r="AJ5162" s="3"/>
    </row>
    <row r="5163" spans="1:36" x14ac:dyDescent="0.25">
      <c r="A5163" s="1"/>
      <c r="B5163" s="2"/>
      <c r="AA5163" s="3"/>
      <c r="AD5163" s="3"/>
      <c r="AG5163" s="3"/>
      <c r="AJ5163" s="3"/>
    </row>
    <row r="5164" spans="1:36" x14ac:dyDescent="0.25">
      <c r="A5164" s="1"/>
      <c r="B5164" s="2"/>
      <c r="AA5164" s="3"/>
      <c r="AD5164" s="3"/>
      <c r="AG5164" s="3"/>
      <c r="AJ5164" s="3"/>
    </row>
    <row r="5165" spans="1:36" x14ac:dyDescent="0.25">
      <c r="A5165" s="1"/>
      <c r="B5165" s="2"/>
      <c r="AA5165" s="3"/>
      <c r="AD5165" s="3"/>
      <c r="AG5165" s="3"/>
      <c r="AJ5165" s="3"/>
    </row>
    <row r="5166" spans="1:36" x14ac:dyDescent="0.25">
      <c r="A5166" s="1"/>
      <c r="B5166" s="2"/>
      <c r="AA5166" s="3"/>
      <c r="AD5166" s="3"/>
      <c r="AG5166" s="3"/>
      <c r="AJ5166" s="3"/>
    </row>
    <row r="5167" spans="1:36" x14ac:dyDescent="0.25">
      <c r="A5167" s="1"/>
      <c r="B5167" s="2"/>
      <c r="AA5167" s="3"/>
      <c r="AD5167" s="3"/>
      <c r="AG5167" s="3"/>
      <c r="AJ5167" s="3"/>
    </row>
    <row r="5168" spans="1:36" x14ac:dyDescent="0.25">
      <c r="A5168" s="1"/>
      <c r="B5168" s="2"/>
      <c r="AA5168" s="3"/>
      <c r="AD5168" s="3"/>
      <c r="AG5168" s="3"/>
      <c r="AJ5168" s="3"/>
    </row>
    <row r="5169" spans="1:36" x14ac:dyDescent="0.25">
      <c r="A5169" s="1"/>
      <c r="B5169" s="2"/>
      <c r="AA5169" s="3"/>
      <c r="AD5169" s="3"/>
      <c r="AG5169" s="3"/>
      <c r="AJ5169" s="3"/>
    </row>
    <row r="5170" spans="1:36" x14ac:dyDescent="0.25">
      <c r="A5170" s="1"/>
      <c r="B5170" s="2"/>
      <c r="AA5170" s="3"/>
      <c r="AD5170" s="3"/>
      <c r="AG5170" s="3"/>
      <c r="AJ5170" s="3"/>
    </row>
    <row r="5171" spans="1:36" x14ac:dyDescent="0.25">
      <c r="A5171" s="1"/>
      <c r="B5171" s="2"/>
      <c r="AA5171" s="3"/>
      <c r="AD5171" s="3"/>
      <c r="AG5171" s="3"/>
      <c r="AJ5171" s="3"/>
    </row>
    <row r="5172" spans="1:36" x14ac:dyDescent="0.25">
      <c r="A5172" s="1"/>
      <c r="B5172" s="2"/>
      <c r="AA5172" s="3"/>
      <c r="AD5172" s="3"/>
      <c r="AG5172" s="3"/>
      <c r="AJ5172" s="3"/>
    </row>
    <row r="5173" spans="1:36" x14ac:dyDescent="0.25">
      <c r="A5173" s="1"/>
      <c r="B5173" s="2"/>
      <c r="AA5173" s="3"/>
      <c r="AD5173" s="3"/>
      <c r="AG5173" s="3"/>
      <c r="AJ5173" s="3"/>
    </row>
    <row r="5174" spans="1:36" x14ac:dyDescent="0.25">
      <c r="A5174" s="1"/>
      <c r="B5174" s="2"/>
      <c r="AA5174" s="3"/>
      <c r="AD5174" s="3"/>
      <c r="AG5174" s="3"/>
      <c r="AJ5174" s="3"/>
    </row>
    <row r="5175" spans="1:36" x14ac:dyDescent="0.25">
      <c r="A5175" s="1"/>
      <c r="B5175" s="2"/>
      <c r="AA5175" s="3"/>
      <c r="AD5175" s="3"/>
      <c r="AG5175" s="3"/>
      <c r="AJ5175" s="3"/>
    </row>
    <row r="5176" spans="1:36" x14ac:dyDescent="0.25">
      <c r="A5176" s="1"/>
      <c r="B5176" s="2"/>
      <c r="AA5176" s="3"/>
      <c r="AD5176" s="3"/>
      <c r="AG5176" s="3"/>
      <c r="AJ5176" s="3"/>
    </row>
    <row r="5177" spans="1:36" x14ac:dyDescent="0.25">
      <c r="A5177" s="1"/>
      <c r="B5177" s="2"/>
      <c r="AA5177" s="3"/>
      <c r="AD5177" s="3"/>
      <c r="AG5177" s="3"/>
      <c r="AJ5177" s="3"/>
    </row>
    <row r="5178" spans="1:36" x14ac:dyDescent="0.25">
      <c r="A5178" s="1"/>
      <c r="B5178" s="2"/>
      <c r="AA5178" s="3"/>
      <c r="AD5178" s="3"/>
      <c r="AG5178" s="3"/>
      <c r="AJ5178" s="3"/>
    </row>
    <row r="5179" spans="1:36" x14ac:dyDescent="0.25">
      <c r="A5179" s="1"/>
      <c r="B5179" s="2"/>
      <c r="AA5179" s="3"/>
      <c r="AD5179" s="3"/>
      <c r="AG5179" s="3"/>
      <c r="AJ5179" s="3"/>
    </row>
    <row r="5180" spans="1:36" x14ac:dyDescent="0.25">
      <c r="A5180" s="1"/>
      <c r="B5180" s="2"/>
      <c r="AA5180" s="3"/>
      <c r="AD5180" s="3"/>
      <c r="AG5180" s="3"/>
      <c r="AJ5180" s="3"/>
    </row>
    <row r="5181" spans="1:36" x14ac:dyDescent="0.25">
      <c r="A5181" s="1"/>
      <c r="B5181" s="2"/>
      <c r="AA5181" s="3"/>
      <c r="AD5181" s="3"/>
      <c r="AG5181" s="3"/>
      <c r="AJ5181" s="3"/>
    </row>
    <row r="5182" spans="1:36" x14ac:dyDescent="0.25">
      <c r="A5182" s="1"/>
      <c r="B5182" s="2"/>
      <c r="AA5182" s="3"/>
      <c r="AD5182" s="3"/>
      <c r="AG5182" s="3"/>
      <c r="AJ5182" s="3"/>
    </row>
    <row r="5183" spans="1:36" x14ac:dyDescent="0.25">
      <c r="A5183" s="1"/>
      <c r="B5183" s="2"/>
      <c r="AA5183" s="3"/>
      <c r="AD5183" s="3"/>
      <c r="AG5183" s="3"/>
      <c r="AJ5183" s="3"/>
    </row>
    <row r="5184" spans="1:36" x14ac:dyDescent="0.25">
      <c r="A5184" s="1"/>
      <c r="B5184" s="2"/>
      <c r="AA5184" s="3"/>
      <c r="AD5184" s="3"/>
      <c r="AG5184" s="3"/>
      <c r="AJ5184" s="3"/>
    </row>
    <row r="5185" spans="1:36" x14ac:dyDescent="0.25">
      <c r="A5185" s="1"/>
      <c r="B5185" s="2"/>
      <c r="AA5185" s="3"/>
      <c r="AD5185" s="3"/>
      <c r="AG5185" s="3"/>
      <c r="AJ5185" s="3"/>
    </row>
    <row r="5186" spans="1:36" x14ac:dyDescent="0.25">
      <c r="A5186" s="1"/>
      <c r="B5186" s="2"/>
      <c r="AA5186" s="3"/>
      <c r="AD5186" s="3"/>
      <c r="AG5186" s="3"/>
      <c r="AJ5186" s="3"/>
    </row>
    <row r="5187" spans="1:36" x14ac:dyDescent="0.25">
      <c r="A5187" s="1"/>
      <c r="B5187" s="2"/>
      <c r="AA5187" s="3"/>
      <c r="AD5187" s="3"/>
      <c r="AG5187" s="3"/>
      <c r="AJ5187" s="3"/>
    </row>
    <row r="5188" spans="1:36" x14ac:dyDescent="0.25">
      <c r="A5188" s="1"/>
      <c r="B5188" s="2"/>
      <c r="AA5188" s="3"/>
      <c r="AD5188" s="3"/>
      <c r="AG5188" s="3"/>
      <c r="AJ5188" s="3"/>
    </row>
    <row r="5189" spans="1:36" x14ac:dyDescent="0.25">
      <c r="A5189" s="1"/>
      <c r="B5189" s="2"/>
      <c r="AA5189" s="3"/>
      <c r="AD5189" s="3"/>
      <c r="AG5189" s="3"/>
      <c r="AJ5189" s="3"/>
    </row>
    <row r="5190" spans="1:36" x14ac:dyDescent="0.25">
      <c r="A5190" s="1"/>
      <c r="B5190" s="2"/>
      <c r="AA5190" s="3"/>
      <c r="AD5190" s="3"/>
      <c r="AG5190" s="3"/>
      <c r="AJ5190" s="3"/>
    </row>
    <row r="5191" spans="1:36" x14ac:dyDescent="0.25">
      <c r="A5191" s="1"/>
      <c r="B5191" s="2"/>
      <c r="AA5191" s="3"/>
      <c r="AD5191" s="3"/>
      <c r="AG5191" s="3"/>
      <c r="AJ5191" s="3"/>
    </row>
    <row r="5192" spans="1:36" x14ac:dyDescent="0.25">
      <c r="A5192" s="1"/>
      <c r="B5192" s="2"/>
      <c r="AA5192" s="3"/>
      <c r="AD5192" s="3"/>
      <c r="AG5192" s="3"/>
      <c r="AJ5192" s="3"/>
    </row>
    <row r="5193" spans="1:36" x14ac:dyDescent="0.25">
      <c r="A5193" s="1"/>
      <c r="B5193" s="2"/>
      <c r="AA5193" s="3"/>
      <c r="AD5193" s="3"/>
      <c r="AG5193" s="3"/>
      <c r="AJ5193" s="3"/>
    </row>
    <row r="5194" spans="1:36" x14ac:dyDescent="0.25">
      <c r="A5194" s="1"/>
      <c r="B5194" s="2"/>
      <c r="AA5194" s="3"/>
      <c r="AD5194" s="3"/>
      <c r="AG5194" s="3"/>
      <c r="AJ5194" s="3"/>
    </row>
    <row r="5195" spans="1:36" x14ac:dyDescent="0.25">
      <c r="A5195" s="1"/>
      <c r="B5195" s="2"/>
      <c r="AA5195" s="3"/>
      <c r="AD5195" s="3"/>
      <c r="AG5195" s="3"/>
      <c r="AJ5195" s="3"/>
    </row>
    <row r="5196" spans="1:36" x14ac:dyDescent="0.25">
      <c r="A5196" s="1"/>
      <c r="B5196" s="2"/>
      <c r="AA5196" s="3"/>
      <c r="AD5196" s="3"/>
      <c r="AG5196" s="3"/>
      <c r="AJ5196" s="3"/>
    </row>
    <row r="5197" spans="1:36" x14ac:dyDescent="0.25">
      <c r="A5197" s="1"/>
      <c r="B5197" s="2"/>
      <c r="AA5197" s="3"/>
      <c r="AD5197" s="3"/>
      <c r="AG5197" s="3"/>
      <c r="AJ5197" s="3"/>
    </row>
    <row r="5198" spans="1:36" x14ac:dyDescent="0.25">
      <c r="A5198" s="1"/>
      <c r="B5198" s="2"/>
      <c r="AA5198" s="3"/>
      <c r="AD5198" s="3"/>
      <c r="AG5198" s="3"/>
      <c r="AJ5198" s="3"/>
    </row>
    <row r="5199" spans="1:36" x14ac:dyDescent="0.25">
      <c r="A5199" s="1"/>
      <c r="B5199" s="2"/>
      <c r="AA5199" s="3"/>
      <c r="AD5199" s="3"/>
      <c r="AG5199" s="3"/>
      <c r="AJ5199" s="3"/>
    </row>
    <row r="5200" spans="1:36" x14ac:dyDescent="0.25">
      <c r="A5200" s="1"/>
      <c r="B5200" s="2"/>
      <c r="AA5200" s="3"/>
      <c r="AD5200" s="3"/>
      <c r="AG5200" s="3"/>
      <c r="AJ5200" s="3"/>
    </row>
    <row r="5201" spans="1:36" x14ac:dyDescent="0.25">
      <c r="A5201" s="1"/>
      <c r="B5201" s="2"/>
      <c r="AA5201" s="3"/>
      <c r="AD5201" s="3"/>
      <c r="AG5201" s="3"/>
      <c r="AJ5201" s="3"/>
    </row>
    <row r="5202" spans="1:36" x14ac:dyDescent="0.25">
      <c r="A5202" s="1"/>
      <c r="B5202" s="2"/>
      <c r="AA5202" s="3"/>
      <c r="AD5202" s="3"/>
      <c r="AG5202" s="3"/>
      <c r="AJ5202" s="3"/>
    </row>
    <row r="5203" spans="1:36" x14ac:dyDescent="0.25">
      <c r="A5203" s="1"/>
      <c r="B5203" s="2"/>
      <c r="AA5203" s="3"/>
      <c r="AD5203" s="3"/>
      <c r="AG5203" s="3"/>
      <c r="AJ5203" s="3"/>
    </row>
    <row r="5204" spans="1:36" x14ac:dyDescent="0.25">
      <c r="A5204" s="1"/>
      <c r="B5204" s="2"/>
      <c r="AA5204" s="3"/>
      <c r="AD5204" s="3"/>
      <c r="AG5204" s="3"/>
      <c r="AJ5204" s="3"/>
    </row>
    <row r="5205" spans="1:36" x14ac:dyDescent="0.25">
      <c r="A5205" s="1"/>
      <c r="B5205" s="2"/>
      <c r="AA5205" s="3"/>
      <c r="AD5205" s="3"/>
      <c r="AG5205" s="3"/>
      <c r="AJ5205" s="3"/>
    </row>
    <row r="5206" spans="1:36" x14ac:dyDescent="0.25">
      <c r="A5206" s="1"/>
      <c r="B5206" s="2"/>
      <c r="AA5206" s="3"/>
      <c r="AD5206" s="3"/>
      <c r="AG5206" s="3"/>
      <c r="AJ5206" s="3"/>
    </row>
    <row r="5207" spans="1:36" x14ac:dyDescent="0.25">
      <c r="A5207" s="1"/>
      <c r="B5207" s="2"/>
      <c r="AA5207" s="3"/>
      <c r="AD5207" s="3"/>
      <c r="AG5207" s="3"/>
      <c r="AJ5207" s="3"/>
    </row>
    <row r="5208" spans="1:36" x14ac:dyDescent="0.25">
      <c r="A5208" s="1"/>
      <c r="B5208" s="2"/>
      <c r="AA5208" s="3"/>
      <c r="AD5208" s="3"/>
      <c r="AG5208" s="3"/>
      <c r="AJ5208" s="3"/>
    </row>
    <row r="5209" spans="1:36" x14ac:dyDescent="0.25">
      <c r="A5209" s="1"/>
      <c r="B5209" s="2"/>
      <c r="AA5209" s="3"/>
      <c r="AD5209" s="3"/>
      <c r="AG5209" s="3"/>
      <c r="AJ5209" s="3"/>
    </row>
    <row r="5210" spans="1:36" x14ac:dyDescent="0.25">
      <c r="A5210" s="1"/>
      <c r="B5210" s="2"/>
      <c r="AA5210" s="3"/>
      <c r="AD5210" s="3"/>
      <c r="AG5210" s="3"/>
      <c r="AJ5210" s="3"/>
    </row>
    <row r="5211" spans="1:36" x14ac:dyDescent="0.25">
      <c r="A5211" s="1"/>
      <c r="B5211" s="2"/>
      <c r="AA5211" s="3"/>
      <c r="AD5211" s="3"/>
      <c r="AG5211" s="3"/>
      <c r="AJ5211" s="3"/>
    </row>
    <row r="5212" spans="1:36" x14ac:dyDescent="0.25">
      <c r="A5212" s="1"/>
      <c r="B5212" s="2"/>
      <c r="AA5212" s="3"/>
      <c r="AD5212" s="3"/>
      <c r="AG5212" s="3"/>
      <c r="AJ5212" s="3"/>
    </row>
    <row r="5213" spans="1:36" x14ac:dyDescent="0.25">
      <c r="A5213" s="1"/>
      <c r="B5213" s="2"/>
      <c r="AA5213" s="3"/>
      <c r="AD5213" s="3"/>
      <c r="AG5213" s="3"/>
      <c r="AJ5213" s="3"/>
    </row>
    <row r="5214" spans="1:36" x14ac:dyDescent="0.25">
      <c r="A5214" s="1"/>
      <c r="B5214" s="2"/>
      <c r="AA5214" s="3"/>
      <c r="AD5214" s="3"/>
      <c r="AG5214" s="3"/>
      <c r="AJ5214" s="3"/>
    </row>
    <row r="5215" spans="1:36" x14ac:dyDescent="0.25">
      <c r="A5215" s="1"/>
      <c r="B5215" s="2"/>
      <c r="AA5215" s="3"/>
      <c r="AD5215" s="3"/>
      <c r="AG5215" s="3"/>
      <c r="AJ5215" s="3"/>
    </row>
    <row r="5216" spans="1:36" x14ac:dyDescent="0.25">
      <c r="A5216" s="1"/>
      <c r="B5216" s="2"/>
      <c r="AA5216" s="3"/>
      <c r="AD5216" s="3"/>
      <c r="AG5216" s="3"/>
      <c r="AJ5216" s="3"/>
    </row>
    <row r="5217" spans="1:36" x14ac:dyDescent="0.25">
      <c r="A5217" s="1"/>
      <c r="B5217" s="2"/>
      <c r="AA5217" s="3"/>
      <c r="AD5217" s="3"/>
      <c r="AG5217" s="3"/>
      <c r="AJ5217" s="3"/>
    </row>
    <row r="5218" spans="1:36" x14ac:dyDescent="0.25">
      <c r="A5218" s="1"/>
      <c r="B5218" s="2"/>
      <c r="AA5218" s="3"/>
      <c r="AD5218" s="3"/>
      <c r="AG5218" s="3"/>
      <c r="AJ5218" s="3"/>
    </row>
    <row r="5219" spans="1:36" x14ac:dyDescent="0.25">
      <c r="A5219" s="1"/>
      <c r="B5219" s="2"/>
      <c r="AA5219" s="3"/>
      <c r="AD5219" s="3"/>
      <c r="AG5219" s="3"/>
      <c r="AJ5219" s="3"/>
    </row>
    <row r="5220" spans="1:36" x14ac:dyDescent="0.25">
      <c r="A5220" s="1"/>
      <c r="B5220" s="2"/>
      <c r="AA5220" s="3"/>
      <c r="AD5220" s="3"/>
      <c r="AG5220" s="3"/>
      <c r="AJ5220" s="3"/>
    </row>
    <row r="5221" spans="1:36" x14ac:dyDescent="0.25">
      <c r="A5221" s="1"/>
      <c r="B5221" s="2"/>
      <c r="AA5221" s="3"/>
      <c r="AD5221" s="3"/>
      <c r="AG5221" s="3"/>
      <c r="AJ5221" s="3"/>
    </row>
    <row r="5222" spans="1:36" x14ac:dyDescent="0.25">
      <c r="A5222" s="1"/>
      <c r="B5222" s="2"/>
      <c r="AA5222" s="3"/>
      <c r="AD5222" s="3"/>
      <c r="AG5222" s="3"/>
      <c r="AJ5222" s="3"/>
    </row>
    <row r="5223" spans="1:36" x14ac:dyDescent="0.25">
      <c r="A5223" s="1"/>
      <c r="B5223" s="2"/>
      <c r="AA5223" s="3"/>
      <c r="AD5223" s="3"/>
      <c r="AG5223" s="3"/>
      <c r="AJ5223" s="3"/>
    </row>
    <row r="5224" spans="1:36" x14ac:dyDescent="0.25">
      <c r="A5224" s="1"/>
      <c r="B5224" s="2"/>
      <c r="AA5224" s="3"/>
      <c r="AD5224" s="3"/>
      <c r="AG5224" s="3"/>
      <c r="AJ5224" s="3"/>
    </row>
    <row r="5225" spans="1:36" x14ac:dyDescent="0.25">
      <c r="A5225" s="1"/>
      <c r="B5225" s="2"/>
      <c r="AA5225" s="3"/>
      <c r="AD5225" s="3"/>
      <c r="AG5225" s="3"/>
      <c r="AJ5225" s="3"/>
    </row>
    <row r="5226" spans="1:36" x14ac:dyDescent="0.25">
      <c r="A5226" s="1"/>
      <c r="B5226" s="2"/>
      <c r="AA5226" s="3"/>
      <c r="AD5226" s="3"/>
      <c r="AG5226" s="3"/>
      <c r="AJ5226" s="3"/>
    </row>
    <row r="5227" spans="1:36" x14ac:dyDescent="0.25">
      <c r="A5227" s="1"/>
      <c r="B5227" s="2"/>
      <c r="AA5227" s="3"/>
      <c r="AD5227" s="3"/>
      <c r="AG5227" s="3"/>
      <c r="AJ5227" s="3"/>
    </row>
    <row r="5228" spans="1:36" x14ac:dyDescent="0.25">
      <c r="A5228" s="1"/>
      <c r="B5228" s="2"/>
      <c r="AA5228" s="3"/>
      <c r="AD5228" s="3"/>
      <c r="AG5228" s="3"/>
      <c r="AJ5228" s="3"/>
    </row>
    <row r="5229" spans="1:36" x14ac:dyDescent="0.25">
      <c r="A5229" s="1"/>
      <c r="B5229" s="2"/>
      <c r="AA5229" s="3"/>
      <c r="AD5229" s="3"/>
      <c r="AG5229" s="3"/>
      <c r="AJ5229" s="3"/>
    </row>
    <row r="5230" spans="1:36" x14ac:dyDescent="0.25">
      <c r="A5230" s="1"/>
      <c r="B5230" s="2"/>
      <c r="AA5230" s="3"/>
      <c r="AD5230" s="3"/>
      <c r="AG5230" s="3"/>
      <c r="AJ5230" s="3"/>
    </row>
    <row r="5231" spans="1:36" x14ac:dyDescent="0.25">
      <c r="A5231" s="1"/>
      <c r="B5231" s="2"/>
      <c r="AA5231" s="3"/>
      <c r="AD5231" s="3"/>
      <c r="AG5231" s="3"/>
      <c r="AJ5231" s="3"/>
    </row>
    <row r="5232" spans="1:36" x14ac:dyDescent="0.25">
      <c r="A5232" s="1"/>
      <c r="B5232" s="2"/>
      <c r="AA5232" s="3"/>
      <c r="AD5232" s="3"/>
      <c r="AG5232" s="3"/>
      <c r="AJ5232" s="3"/>
    </row>
    <row r="5233" spans="1:36" x14ac:dyDescent="0.25">
      <c r="A5233" s="1"/>
      <c r="B5233" s="2"/>
      <c r="AA5233" s="3"/>
      <c r="AD5233" s="3"/>
      <c r="AG5233" s="3"/>
      <c r="AJ5233" s="3"/>
    </row>
    <row r="5234" spans="1:36" x14ac:dyDescent="0.25">
      <c r="A5234" s="1"/>
      <c r="B5234" s="2"/>
      <c r="AA5234" s="3"/>
      <c r="AD5234" s="3"/>
      <c r="AG5234" s="3"/>
      <c r="AJ5234" s="3"/>
    </row>
    <row r="5235" spans="1:36" x14ac:dyDescent="0.25">
      <c r="A5235" s="1"/>
      <c r="B5235" s="2"/>
      <c r="AA5235" s="3"/>
      <c r="AD5235" s="3"/>
      <c r="AG5235" s="3"/>
      <c r="AJ5235" s="3"/>
    </row>
    <row r="5236" spans="1:36" x14ac:dyDescent="0.25">
      <c r="A5236" s="1"/>
      <c r="B5236" s="2"/>
      <c r="AA5236" s="3"/>
      <c r="AD5236" s="3"/>
      <c r="AG5236" s="3"/>
      <c r="AJ5236" s="3"/>
    </row>
    <row r="5237" spans="1:36" x14ac:dyDescent="0.25">
      <c r="A5237" s="1"/>
      <c r="B5237" s="2"/>
      <c r="AA5237" s="3"/>
      <c r="AD5237" s="3"/>
      <c r="AG5237" s="3"/>
      <c r="AJ5237" s="3"/>
    </row>
    <row r="5238" spans="1:36" x14ac:dyDescent="0.25">
      <c r="A5238" s="1"/>
      <c r="B5238" s="2"/>
      <c r="AA5238" s="3"/>
      <c r="AD5238" s="3"/>
      <c r="AG5238" s="3"/>
      <c r="AJ5238" s="3"/>
    </row>
    <row r="5239" spans="1:36" x14ac:dyDescent="0.25">
      <c r="A5239" s="1"/>
      <c r="B5239" s="2"/>
      <c r="AA5239" s="3"/>
      <c r="AD5239" s="3"/>
      <c r="AG5239" s="3"/>
      <c r="AJ5239" s="3"/>
    </row>
    <row r="5240" spans="1:36" x14ac:dyDescent="0.25">
      <c r="A5240" s="1"/>
      <c r="B5240" s="2"/>
      <c r="AA5240" s="3"/>
      <c r="AD5240" s="3"/>
      <c r="AG5240" s="3"/>
      <c r="AJ5240" s="3"/>
    </row>
    <row r="5241" spans="1:36" x14ac:dyDescent="0.25">
      <c r="A5241" s="1"/>
      <c r="B5241" s="2"/>
      <c r="AA5241" s="3"/>
      <c r="AD5241" s="3"/>
      <c r="AG5241" s="3"/>
      <c r="AJ5241" s="3"/>
    </row>
    <row r="5242" spans="1:36" x14ac:dyDescent="0.25">
      <c r="A5242" s="1"/>
      <c r="B5242" s="2"/>
      <c r="AA5242" s="3"/>
      <c r="AD5242" s="3"/>
      <c r="AG5242" s="3"/>
      <c r="AJ5242" s="3"/>
    </row>
    <row r="5243" spans="1:36" x14ac:dyDescent="0.25">
      <c r="A5243" s="1"/>
      <c r="B5243" s="2"/>
      <c r="AA5243" s="3"/>
      <c r="AD5243" s="3"/>
      <c r="AG5243" s="3"/>
      <c r="AJ5243" s="3"/>
    </row>
    <row r="5244" spans="1:36" x14ac:dyDescent="0.25">
      <c r="A5244" s="1"/>
      <c r="B5244" s="2"/>
      <c r="AA5244" s="3"/>
      <c r="AD5244" s="3"/>
      <c r="AG5244" s="3"/>
      <c r="AJ5244" s="3"/>
    </row>
    <row r="5245" spans="1:36" x14ac:dyDescent="0.25">
      <c r="A5245" s="1"/>
      <c r="B5245" s="2"/>
      <c r="AA5245" s="3"/>
      <c r="AD5245" s="3"/>
      <c r="AG5245" s="3"/>
      <c r="AJ5245" s="3"/>
    </row>
    <row r="5246" spans="1:36" x14ac:dyDescent="0.25">
      <c r="A5246" s="1"/>
      <c r="B5246" s="2"/>
      <c r="AA5246" s="3"/>
      <c r="AD5246" s="3"/>
      <c r="AG5246" s="3"/>
      <c r="AJ5246" s="3"/>
    </row>
    <row r="5247" spans="1:36" x14ac:dyDescent="0.25">
      <c r="A5247" s="1"/>
      <c r="B5247" s="2"/>
      <c r="AA5247" s="3"/>
      <c r="AD5247" s="3"/>
      <c r="AG5247" s="3"/>
      <c r="AJ5247" s="3"/>
    </row>
    <row r="5248" spans="1:36" x14ac:dyDescent="0.25">
      <c r="A5248" s="1"/>
      <c r="B5248" s="2"/>
      <c r="AA5248" s="3"/>
      <c r="AD5248" s="3"/>
      <c r="AG5248" s="3"/>
      <c r="AJ5248" s="3"/>
    </row>
    <row r="5249" spans="1:36" x14ac:dyDescent="0.25">
      <c r="A5249" s="1"/>
      <c r="B5249" s="2"/>
      <c r="AA5249" s="3"/>
      <c r="AD5249" s="3"/>
      <c r="AG5249" s="3"/>
      <c r="AJ5249" s="3"/>
    </row>
    <row r="5250" spans="1:36" x14ac:dyDescent="0.25">
      <c r="A5250" s="1"/>
      <c r="B5250" s="2"/>
      <c r="AA5250" s="3"/>
      <c r="AD5250" s="3"/>
      <c r="AG5250" s="3"/>
      <c r="AJ5250" s="3"/>
    </row>
    <row r="5251" spans="1:36" x14ac:dyDescent="0.25">
      <c r="A5251" s="1"/>
      <c r="B5251" s="2"/>
      <c r="AA5251" s="3"/>
      <c r="AD5251" s="3"/>
      <c r="AG5251" s="3"/>
      <c r="AJ5251" s="3"/>
    </row>
    <row r="5252" spans="1:36" x14ac:dyDescent="0.25">
      <c r="A5252" s="1"/>
      <c r="B5252" s="2"/>
      <c r="AA5252" s="3"/>
      <c r="AD5252" s="3"/>
      <c r="AG5252" s="3"/>
      <c r="AJ5252" s="3"/>
    </row>
    <row r="5253" spans="1:36" x14ac:dyDescent="0.25">
      <c r="A5253" s="1"/>
      <c r="B5253" s="2"/>
      <c r="AA5253" s="3"/>
      <c r="AD5253" s="3"/>
      <c r="AG5253" s="3"/>
      <c r="AJ5253" s="3"/>
    </row>
    <row r="5254" spans="1:36" x14ac:dyDescent="0.25">
      <c r="A5254" s="1"/>
      <c r="B5254" s="2"/>
      <c r="AA5254" s="3"/>
      <c r="AD5254" s="3"/>
      <c r="AG5254" s="3"/>
      <c r="AJ5254" s="3"/>
    </row>
    <row r="5255" spans="1:36" x14ac:dyDescent="0.25">
      <c r="A5255" s="1"/>
      <c r="B5255" s="2"/>
      <c r="AA5255" s="3"/>
      <c r="AD5255" s="3"/>
      <c r="AG5255" s="3"/>
      <c r="AJ5255" s="3"/>
    </row>
    <row r="5256" spans="1:36" x14ac:dyDescent="0.25">
      <c r="A5256" s="1"/>
      <c r="B5256" s="2"/>
      <c r="AA5256" s="3"/>
      <c r="AD5256" s="3"/>
      <c r="AG5256" s="3"/>
      <c r="AJ5256" s="3"/>
    </row>
    <row r="5257" spans="1:36" x14ac:dyDescent="0.25">
      <c r="A5257" s="1"/>
      <c r="B5257" s="2"/>
      <c r="AA5257" s="3"/>
      <c r="AD5257" s="3"/>
      <c r="AG5257" s="3"/>
      <c r="AJ5257" s="3"/>
    </row>
    <row r="5258" spans="1:36" x14ac:dyDescent="0.25">
      <c r="A5258" s="1"/>
      <c r="B5258" s="2"/>
      <c r="AA5258" s="3"/>
      <c r="AD5258" s="3"/>
      <c r="AG5258" s="3"/>
      <c r="AJ5258" s="3"/>
    </row>
    <row r="5259" spans="1:36" x14ac:dyDescent="0.25">
      <c r="A5259" s="1"/>
      <c r="B5259" s="2"/>
      <c r="AA5259" s="3"/>
      <c r="AD5259" s="3"/>
      <c r="AG5259" s="3"/>
      <c r="AJ5259" s="3"/>
    </row>
    <row r="5260" spans="1:36" x14ac:dyDescent="0.25">
      <c r="A5260" s="1"/>
      <c r="B5260" s="2"/>
      <c r="AA5260" s="3"/>
      <c r="AD5260" s="3"/>
      <c r="AG5260" s="3"/>
      <c r="AJ5260" s="3"/>
    </row>
    <row r="5261" spans="1:36" x14ac:dyDescent="0.25">
      <c r="A5261" s="1"/>
      <c r="B5261" s="2"/>
      <c r="AA5261" s="3"/>
      <c r="AD5261" s="3"/>
      <c r="AG5261" s="3"/>
      <c r="AJ5261" s="3"/>
    </row>
    <row r="5262" spans="1:36" x14ac:dyDescent="0.25">
      <c r="A5262" s="1"/>
      <c r="B5262" s="2"/>
      <c r="AA5262" s="3"/>
      <c r="AD5262" s="3"/>
      <c r="AG5262" s="3"/>
      <c r="AJ5262" s="3"/>
    </row>
    <row r="5263" spans="1:36" x14ac:dyDescent="0.25">
      <c r="A5263" s="1"/>
      <c r="B5263" s="2"/>
      <c r="AA5263" s="3"/>
      <c r="AD5263" s="3"/>
      <c r="AG5263" s="3"/>
      <c r="AJ5263" s="3"/>
    </row>
    <row r="5264" spans="1:36" x14ac:dyDescent="0.25">
      <c r="A5264" s="1"/>
      <c r="B5264" s="2"/>
      <c r="AA5264" s="3"/>
      <c r="AD5264" s="3"/>
      <c r="AG5264" s="3"/>
      <c r="AJ5264" s="3"/>
    </row>
    <row r="5265" spans="1:36" x14ac:dyDescent="0.25">
      <c r="A5265" s="1"/>
      <c r="B5265" s="2"/>
      <c r="AA5265" s="3"/>
      <c r="AD5265" s="3"/>
      <c r="AG5265" s="3"/>
      <c r="AJ5265" s="3"/>
    </row>
    <row r="5266" spans="1:36" x14ac:dyDescent="0.25">
      <c r="A5266" s="1"/>
      <c r="B5266" s="2"/>
      <c r="AA5266" s="3"/>
      <c r="AD5266" s="3"/>
      <c r="AG5266" s="3"/>
      <c r="AJ5266" s="3"/>
    </row>
    <row r="5267" spans="1:36" x14ac:dyDescent="0.25">
      <c r="A5267" s="1"/>
      <c r="B5267" s="2"/>
      <c r="AA5267" s="3"/>
      <c r="AD5267" s="3"/>
      <c r="AG5267" s="3"/>
      <c r="AJ5267" s="3"/>
    </row>
    <row r="5268" spans="1:36" x14ac:dyDescent="0.25">
      <c r="A5268" s="1"/>
      <c r="B5268" s="2"/>
      <c r="AA5268" s="3"/>
      <c r="AD5268" s="3"/>
      <c r="AG5268" s="3"/>
      <c r="AJ5268" s="3"/>
    </row>
    <row r="5269" spans="1:36" x14ac:dyDescent="0.25">
      <c r="A5269" s="1"/>
      <c r="B5269" s="2"/>
      <c r="AA5269" s="3"/>
      <c r="AD5269" s="3"/>
      <c r="AG5269" s="3"/>
      <c r="AJ5269" s="3"/>
    </row>
    <row r="5270" spans="1:36" x14ac:dyDescent="0.25">
      <c r="A5270" s="1"/>
      <c r="B5270" s="2"/>
      <c r="AA5270" s="3"/>
      <c r="AD5270" s="3"/>
      <c r="AG5270" s="3"/>
      <c r="AJ5270" s="3"/>
    </row>
    <row r="5271" spans="1:36" x14ac:dyDescent="0.25">
      <c r="A5271" s="1"/>
      <c r="B5271" s="2"/>
      <c r="AA5271" s="3"/>
      <c r="AD5271" s="3"/>
      <c r="AG5271" s="3"/>
      <c r="AJ5271" s="3"/>
    </row>
    <row r="5272" spans="1:36" x14ac:dyDescent="0.25">
      <c r="A5272" s="1"/>
      <c r="B5272" s="2"/>
      <c r="AA5272" s="3"/>
      <c r="AD5272" s="3"/>
      <c r="AG5272" s="3"/>
      <c r="AJ5272" s="3"/>
    </row>
    <row r="5273" spans="1:36" x14ac:dyDescent="0.25">
      <c r="A5273" s="1"/>
      <c r="B5273" s="2"/>
      <c r="AA5273" s="3"/>
      <c r="AD5273" s="3"/>
      <c r="AG5273" s="3"/>
      <c r="AJ5273" s="3"/>
    </row>
    <row r="5274" spans="1:36" x14ac:dyDescent="0.25">
      <c r="A5274" s="1"/>
      <c r="B5274" s="2"/>
      <c r="AA5274" s="3"/>
      <c r="AD5274" s="3"/>
      <c r="AG5274" s="3"/>
      <c r="AJ5274" s="3"/>
    </row>
    <row r="5275" spans="1:36" x14ac:dyDescent="0.25">
      <c r="A5275" s="1"/>
      <c r="B5275" s="2"/>
      <c r="AA5275" s="3"/>
      <c r="AD5275" s="3"/>
      <c r="AG5275" s="3"/>
      <c r="AJ5275" s="3"/>
    </row>
    <row r="5276" spans="1:36" x14ac:dyDescent="0.25">
      <c r="A5276" s="1"/>
      <c r="B5276" s="2"/>
      <c r="AA5276" s="3"/>
      <c r="AD5276" s="3"/>
      <c r="AG5276" s="3"/>
      <c r="AJ5276" s="3"/>
    </row>
    <row r="5277" spans="1:36" x14ac:dyDescent="0.25">
      <c r="A5277" s="1"/>
      <c r="B5277" s="2"/>
      <c r="AA5277" s="3"/>
      <c r="AD5277" s="3"/>
      <c r="AG5277" s="3"/>
      <c r="AJ5277" s="3"/>
    </row>
    <row r="5278" spans="1:36" x14ac:dyDescent="0.25">
      <c r="A5278" s="1"/>
      <c r="B5278" s="2"/>
      <c r="AA5278" s="3"/>
      <c r="AD5278" s="3"/>
      <c r="AG5278" s="3"/>
      <c r="AJ5278" s="3"/>
    </row>
    <row r="5279" spans="1:36" x14ac:dyDescent="0.25">
      <c r="A5279" s="1"/>
      <c r="B5279" s="2"/>
      <c r="AA5279" s="3"/>
      <c r="AD5279" s="3"/>
      <c r="AG5279" s="3"/>
      <c r="AJ5279" s="3"/>
    </row>
    <row r="5280" spans="1:36" x14ac:dyDescent="0.25">
      <c r="A5280" s="1"/>
      <c r="B5280" s="2"/>
      <c r="AA5280" s="3"/>
      <c r="AD5280" s="3"/>
      <c r="AG5280" s="3"/>
      <c r="AJ5280" s="3"/>
    </row>
    <row r="5281" spans="1:36" x14ac:dyDescent="0.25">
      <c r="A5281" s="1"/>
      <c r="B5281" s="2"/>
      <c r="AA5281" s="3"/>
      <c r="AD5281" s="3"/>
      <c r="AG5281" s="3"/>
      <c r="AJ5281" s="3"/>
    </row>
    <row r="5282" spans="1:36" x14ac:dyDescent="0.25">
      <c r="A5282" s="1"/>
      <c r="B5282" s="2"/>
      <c r="AA5282" s="3"/>
      <c r="AD5282" s="3"/>
      <c r="AG5282" s="3"/>
      <c r="AJ5282" s="3"/>
    </row>
    <row r="5283" spans="1:36" x14ac:dyDescent="0.25">
      <c r="A5283" s="1"/>
      <c r="B5283" s="2"/>
      <c r="AA5283" s="3"/>
      <c r="AD5283" s="3"/>
      <c r="AG5283" s="3"/>
      <c r="AJ5283" s="3"/>
    </row>
    <row r="5284" spans="1:36" x14ac:dyDescent="0.25">
      <c r="A5284" s="1"/>
      <c r="B5284" s="2"/>
      <c r="AA5284" s="3"/>
      <c r="AD5284" s="3"/>
      <c r="AG5284" s="3"/>
      <c r="AJ5284" s="3"/>
    </row>
    <row r="5285" spans="1:36" x14ac:dyDescent="0.25">
      <c r="A5285" s="1"/>
      <c r="B5285" s="2"/>
      <c r="AA5285" s="3"/>
      <c r="AD5285" s="3"/>
      <c r="AG5285" s="3"/>
      <c r="AJ5285" s="3"/>
    </row>
    <row r="5286" spans="1:36" x14ac:dyDescent="0.25">
      <c r="A5286" s="1"/>
      <c r="B5286" s="2"/>
      <c r="AA5286" s="3"/>
      <c r="AD5286" s="3"/>
      <c r="AG5286" s="3"/>
      <c r="AJ5286" s="3"/>
    </row>
    <row r="5287" spans="1:36" x14ac:dyDescent="0.25">
      <c r="A5287" s="1"/>
      <c r="B5287" s="2"/>
      <c r="AA5287" s="3"/>
      <c r="AD5287" s="3"/>
      <c r="AG5287" s="3"/>
      <c r="AJ5287" s="3"/>
    </row>
    <row r="5288" spans="1:36" x14ac:dyDescent="0.25">
      <c r="A5288" s="1"/>
      <c r="B5288" s="2"/>
      <c r="AA5288" s="3"/>
      <c r="AD5288" s="3"/>
      <c r="AG5288" s="3"/>
      <c r="AJ5288" s="3"/>
    </row>
    <row r="5289" spans="1:36" x14ac:dyDescent="0.25">
      <c r="A5289" s="1"/>
      <c r="B5289" s="2"/>
      <c r="AA5289" s="3"/>
      <c r="AD5289" s="3"/>
      <c r="AG5289" s="3"/>
      <c r="AJ5289" s="3"/>
    </row>
    <row r="5290" spans="1:36" x14ac:dyDescent="0.25">
      <c r="A5290" s="1"/>
      <c r="B5290" s="2"/>
      <c r="AA5290" s="3"/>
      <c r="AD5290" s="3"/>
      <c r="AG5290" s="3"/>
      <c r="AJ5290" s="3"/>
    </row>
    <row r="5291" spans="1:36" x14ac:dyDescent="0.25">
      <c r="A5291" s="1"/>
      <c r="B5291" s="2"/>
      <c r="AA5291" s="3"/>
      <c r="AD5291" s="3"/>
      <c r="AG5291" s="3"/>
      <c r="AJ5291" s="3"/>
    </row>
    <row r="5292" spans="1:36" x14ac:dyDescent="0.25">
      <c r="A5292" s="1"/>
      <c r="B5292" s="2"/>
      <c r="AA5292" s="3"/>
      <c r="AD5292" s="3"/>
      <c r="AG5292" s="3"/>
      <c r="AJ5292" s="3"/>
    </row>
    <row r="5293" spans="1:36" x14ac:dyDescent="0.25">
      <c r="A5293" s="1"/>
      <c r="B5293" s="2"/>
      <c r="AA5293" s="3"/>
      <c r="AD5293" s="3"/>
      <c r="AG5293" s="3"/>
      <c r="AJ5293" s="3"/>
    </row>
    <row r="5294" spans="1:36" x14ac:dyDescent="0.25">
      <c r="A5294" s="1"/>
      <c r="B5294" s="2"/>
      <c r="AA5294" s="3"/>
      <c r="AD5294" s="3"/>
      <c r="AG5294" s="3"/>
      <c r="AJ5294" s="3"/>
    </row>
    <row r="5295" spans="1:36" x14ac:dyDescent="0.25">
      <c r="A5295" s="1"/>
      <c r="B5295" s="2"/>
      <c r="AA5295" s="3"/>
      <c r="AD5295" s="3"/>
      <c r="AG5295" s="3"/>
      <c r="AJ5295" s="3"/>
    </row>
    <row r="5296" spans="1:36" x14ac:dyDescent="0.25">
      <c r="A5296" s="1"/>
      <c r="B5296" s="2"/>
      <c r="AA5296" s="3"/>
      <c r="AD5296" s="3"/>
      <c r="AG5296" s="3"/>
      <c r="AJ5296" s="3"/>
    </row>
    <row r="5297" spans="1:36" x14ac:dyDescent="0.25">
      <c r="A5297" s="1"/>
      <c r="B5297" s="2"/>
      <c r="AA5297" s="3"/>
      <c r="AD5297" s="3"/>
      <c r="AG5297" s="3"/>
      <c r="AJ5297" s="3"/>
    </row>
    <row r="5298" spans="1:36" x14ac:dyDescent="0.25">
      <c r="A5298" s="1"/>
      <c r="B5298" s="2"/>
      <c r="AA5298" s="3"/>
      <c r="AD5298" s="3"/>
      <c r="AG5298" s="3"/>
      <c r="AJ5298" s="3"/>
    </row>
    <row r="5299" spans="1:36" x14ac:dyDescent="0.25">
      <c r="A5299" s="1"/>
      <c r="B5299" s="2"/>
      <c r="AA5299" s="3"/>
      <c r="AD5299" s="3"/>
      <c r="AG5299" s="3"/>
      <c r="AJ5299" s="3"/>
    </row>
    <row r="5300" spans="1:36" x14ac:dyDescent="0.25">
      <c r="A5300" s="1"/>
      <c r="B5300" s="2"/>
      <c r="AA5300" s="3"/>
      <c r="AD5300" s="3"/>
      <c r="AG5300" s="3"/>
      <c r="AJ5300" s="3"/>
    </row>
    <row r="5301" spans="1:36" x14ac:dyDescent="0.25">
      <c r="A5301" s="1"/>
      <c r="B5301" s="2"/>
      <c r="AA5301" s="3"/>
      <c r="AD5301" s="3"/>
      <c r="AG5301" s="3"/>
      <c r="AJ5301" s="3"/>
    </row>
    <row r="5302" spans="1:36" x14ac:dyDescent="0.25">
      <c r="A5302" s="1"/>
      <c r="B5302" s="2"/>
      <c r="AA5302" s="3"/>
      <c r="AD5302" s="3"/>
      <c r="AG5302" s="3"/>
      <c r="AJ5302" s="3"/>
    </row>
    <row r="5303" spans="1:36" x14ac:dyDescent="0.25">
      <c r="A5303" s="1"/>
      <c r="B5303" s="2"/>
      <c r="AA5303" s="3"/>
      <c r="AD5303" s="3"/>
      <c r="AG5303" s="3"/>
      <c r="AJ5303" s="3"/>
    </row>
    <row r="5304" spans="1:36" x14ac:dyDescent="0.25">
      <c r="A5304" s="1"/>
      <c r="B5304" s="2"/>
      <c r="AA5304" s="3"/>
      <c r="AD5304" s="3"/>
      <c r="AG5304" s="3"/>
      <c r="AJ5304" s="3"/>
    </row>
    <row r="5305" spans="1:36" x14ac:dyDescent="0.25">
      <c r="A5305" s="1"/>
      <c r="B5305" s="2"/>
      <c r="AA5305" s="3"/>
      <c r="AD5305" s="3"/>
      <c r="AG5305" s="3"/>
      <c r="AJ5305" s="3"/>
    </row>
    <row r="5306" spans="1:36" x14ac:dyDescent="0.25">
      <c r="A5306" s="1"/>
      <c r="B5306" s="2"/>
      <c r="AA5306" s="3"/>
      <c r="AD5306" s="3"/>
      <c r="AG5306" s="3"/>
      <c r="AJ5306" s="3"/>
    </row>
    <row r="5307" spans="1:36" x14ac:dyDescent="0.25">
      <c r="A5307" s="1"/>
      <c r="B5307" s="2"/>
      <c r="AA5307" s="3"/>
      <c r="AD5307" s="3"/>
      <c r="AG5307" s="3"/>
      <c r="AJ5307" s="3"/>
    </row>
    <row r="5308" spans="1:36" x14ac:dyDescent="0.25">
      <c r="A5308" s="1"/>
      <c r="B5308" s="2"/>
      <c r="AA5308" s="3"/>
      <c r="AD5308" s="3"/>
      <c r="AG5308" s="3"/>
      <c r="AJ5308" s="3"/>
    </row>
    <row r="5309" spans="1:36" x14ac:dyDescent="0.25">
      <c r="A5309" s="1"/>
      <c r="B5309" s="2"/>
      <c r="AA5309" s="3"/>
      <c r="AD5309" s="3"/>
      <c r="AG5309" s="3"/>
      <c r="AJ5309" s="3"/>
    </row>
    <row r="5310" spans="1:36" x14ac:dyDescent="0.25">
      <c r="A5310" s="1"/>
      <c r="B5310" s="2"/>
      <c r="AA5310" s="3"/>
      <c r="AD5310" s="3"/>
      <c r="AG5310" s="3"/>
      <c r="AJ5310" s="3"/>
    </row>
    <row r="5311" spans="1:36" x14ac:dyDescent="0.25">
      <c r="A5311" s="1"/>
      <c r="B5311" s="2"/>
      <c r="AA5311" s="3"/>
      <c r="AD5311" s="3"/>
      <c r="AG5311" s="3"/>
      <c r="AJ5311" s="3"/>
    </row>
    <row r="5312" spans="1:36" x14ac:dyDescent="0.25">
      <c r="A5312" s="1"/>
      <c r="B5312" s="2"/>
      <c r="AA5312" s="3"/>
      <c r="AD5312" s="3"/>
      <c r="AG5312" s="3"/>
      <c r="AJ5312" s="3"/>
    </row>
    <row r="5313" spans="1:36" x14ac:dyDescent="0.25">
      <c r="A5313" s="1"/>
      <c r="B5313" s="2"/>
      <c r="AA5313" s="3"/>
      <c r="AD5313" s="3"/>
      <c r="AG5313" s="3"/>
      <c r="AJ5313" s="3"/>
    </row>
    <row r="5314" spans="1:36" x14ac:dyDescent="0.25">
      <c r="A5314" s="1"/>
      <c r="B5314" s="2"/>
      <c r="AA5314" s="3"/>
      <c r="AD5314" s="3"/>
      <c r="AG5314" s="3"/>
      <c r="AJ5314" s="3"/>
    </row>
    <row r="5315" spans="1:36" x14ac:dyDescent="0.25">
      <c r="A5315" s="1"/>
      <c r="B5315" s="2"/>
      <c r="AA5315" s="3"/>
      <c r="AD5315" s="3"/>
      <c r="AG5315" s="3"/>
      <c r="AJ5315" s="3"/>
    </row>
    <row r="5316" spans="1:36" x14ac:dyDescent="0.25">
      <c r="A5316" s="1"/>
      <c r="B5316" s="2"/>
      <c r="AA5316" s="3"/>
      <c r="AD5316" s="3"/>
      <c r="AG5316" s="3"/>
      <c r="AJ5316" s="3"/>
    </row>
    <row r="5317" spans="1:36" x14ac:dyDescent="0.25">
      <c r="A5317" s="1"/>
      <c r="B5317" s="2"/>
      <c r="AA5317" s="3"/>
      <c r="AD5317" s="3"/>
      <c r="AG5317" s="3"/>
      <c r="AJ5317" s="3"/>
    </row>
    <row r="5318" spans="1:36" x14ac:dyDescent="0.25">
      <c r="A5318" s="1"/>
      <c r="B5318" s="2"/>
      <c r="AA5318" s="3"/>
      <c r="AD5318" s="3"/>
      <c r="AG5318" s="3"/>
      <c r="AJ5318" s="3"/>
    </row>
    <row r="5319" spans="1:36" x14ac:dyDescent="0.25">
      <c r="A5319" s="1"/>
      <c r="B5319" s="2"/>
      <c r="AA5319" s="3"/>
      <c r="AD5319" s="3"/>
      <c r="AG5319" s="3"/>
      <c r="AJ5319" s="3"/>
    </row>
    <row r="5320" spans="1:36" x14ac:dyDescent="0.25">
      <c r="A5320" s="1"/>
      <c r="B5320" s="2"/>
      <c r="AA5320" s="3"/>
      <c r="AD5320" s="3"/>
      <c r="AG5320" s="3"/>
      <c r="AJ5320" s="3"/>
    </row>
    <row r="5321" spans="1:36" x14ac:dyDescent="0.25">
      <c r="A5321" s="1"/>
      <c r="B5321" s="2"/>
      <c r="AA5321" s="3"/>
      <c r="AD5321" s="3"/>
      <c r="AG5321" s="3"/>
      <c r="AJ5321" s="3"/>
    </row>
    <row r="5322" spans="1:36" x14ac:dyDescent="0.25">
      <c r="A5322" s="1"/>
      <c r="B5322" s="2"/>
      <c r="AA5322" s="3"/>
      <c r="AD5322" s="3"/>
      <c r="AG5322" s="3"/>
      <c r="AJ5322" s="3"/>
    </row>
    <row r="5323" spans="1:36" x14ac:dyDescent="0.25">
      <c r="A5323" s="1"/>
      <c r="B5323" s="2"/>
      <c r="AA5323" s="3"/>
      <c r="AD5323" s="3"/>
      <c r="AG5323" s="3"/>
      <c r="AJ5323" s="3"/>
    </row>
    <row r="5324" spans="1:36" x14ac:dyDescent="0.25">
      <c r="A5324" s="1"/>
      <c r="B5324" s="2"/>
      <c r="AA5324" s="3"/>
      <c r="AD5324" s="3"/>
      <c r="AG5324" s="3"/>
      <c r="AJ5324" s="3"/>
    </row>
    <row r="5325" spans="1:36" x14ac:dyDescent="0.25">
      <c r="A5325" s="1"/>
      <c r="B5325" s="2"/>
      <c r="AA5325" s="3"/>
      <c r="AD5325" s="3"/>
      <c r="AG5325" s="3"/>
      <c r="AJ5325" s="3"/>
    </row>
    <row r="5326" spans="1:36" x14ac:dyDescent="0.25">
      <c r="A5326" s="1"/>
      <c r="B5326" s="2"/>
      <c r="AA5326" s="3"/>
      <c r="AD5326" s="3"/>
      <c r="AG5326" s="3"/>
      <c r="AJ5326" s="3"/>
    </row>
    <row r="5327" spans="1:36" x14ac:dyDescent="0.25">
      <c r="A5327" s="1"/>
      <c r="B5327" s="2"/>
      <c r="AA5327" s="3"/>
      <c r="AD5327" s="3"/>
      <c r="AG5327" s="3"/>
      <c r="AJ5327" s="3"/>
    </row>
    <row r="5328" spans="1:36" x14ac:dyDescent="0.25">
      <c r="A5328" s="1"/>
      <c r="B5328" s="2"/>
      <c r="AA5328" s="3"/>
      <c r="AD5328" s="3"/>
      <c r="AG5328" s="3"/>
      <c r="AJ5328" s="3"/>
    </row>
    <row r="5329" spans="1:36" x14ac:dyDescent="0.25">
      <c r="A5329" s="1"/>
      <c r="B5329" s="2"/>
      <c r="AA5329" s="3"/>
      <c r="AD5329" s="3"/>
      <c r="AG5329" s="3"/>
      <c r="AJ5329" s="3"/>
    </row>
    <row r="5330" spans="1:36" x14ac:dyDescent="0.25">
      <c r="A5330" s="1"/>
      <c r="B5330" s="2"/>
      <c r="AA5330" s="3"/>
      <c r="AD5330" s="3"/>
      <c r="AG5330" s="3"/>
      <c r="AJ5330" s="3"/>
    </row>
    <row r="5331" spans="1:36" x14ac:dyDescent="0.25">
      <c r="A5331" s="1"/>
      <c r="B5331" s="2"/>
      <c r="AA5331" s="3"/>
      <c r="AD5331" s="3"/>
      <c r="AG5331" s="3"/>
      <c r="AJ5331" s="3"/>
    </row>
    <row r="5332" spans="1:36" x14ac:dyDescent="0.25">
      <c r="A5332" s="1"/>
      <c r="B5332" s="2"/>
      <c r="AA5332" s="3"/>
      <c r="AD5332" s="3"/>
      <c r="AG5332" s="3"/>
      <c r="AJ5332" s="3"/>
    </row>
    <row r="5333" spans="1:36" x14ac:dyDescent="0.25">
      <c r="A5333" s="1"/>
      <c r="B5333" s="2"/>
      <c r="AA5333" s="3"/>
      <c r="AD5333" s="3"/>
      <c r="AG5333" s="3"/>
      <c r="AJ5333" s="3"/>
    </row>
    <row r="5334" spans="1:36" x14ac:dyDescent="0.25">
      <c r="A5334" s="1"/>
      <c r="B5334" s="2"/>
      <c r="AA5334" s="3"/>
      <c r="AD5334" s="3"/>
      <c r="AG5334" s="3"/>
      <c r="AJ5334" s="3"/>
    </row>
    <row r="5335" spans="1:36" x14ac:dyDescent="0.25">
      <c r="A5335" s="1"/>
      <c r="B5335" s="2"/>
      <c r="AA5335" s="3"/>
      <c r="AD5335" s="3"/>
      <c r="AG5335" s="3"/>
      <c r="AJ5335" s="3"/>
    </row>
    <row r="5336" spans="1:36" x14ac:dyDescent="0.25">
      <c r="A5336" s="1"/>
      <c r="B5336" s="2"/>
      <c r="AA5336" s="3"/>
      <c r="AD5336" s="3"/>
      <c r="AG5336" s="3"/>
      <c r="AJ5336" s="3"/>
    </row>
    <row r="5337" spans="1:36" x14ac:dyDescent="0.25">
      <c r="A5337" s="1"/>
      <c r="B5337" s="2"/>
      <c r="AA5337" s="3"/>
      <c r="AD5337" s="3"/>
      <c r="AG5337" s="3"/>
      <c r="AJ5337" s="3"/>
    </row>
    <row r="5338" spans="1:36" x14ac:dyDescent="0.25">
      <c r="A5338" s="1"/>
      <c r="B5338" s="2"/>
      <c r="AA5338" s="3"/>
      <c r="AD5338" s="3"/>
      <c r="AG5338" s="3"/>
      <c r="AJ5338" s="3"/>
    </row>
    <row r="5339" spans="1:36" x14ac:dyDescent="0.25">
      <c r="A5339" s="1"/>
      <c r="B5339" s="2"/>
      <c r="AA5339" s="3"/>
      <c r="AD5339" s="3"/>
      <c r="AG5339" s="3"/>
      <c r="AJ5339" s="3"/>
    </row>
    <row r="5340" spans="1:36" x14ac:dyDescent="0.25">
      <c r="A5340" s="1"/>
      <c r="B5340" s="2"/>
      <c r="AA5340" s="3"/>
      <c r="AD5340" s="3"/>
      <c r="AG5340" s="3"/>
      <c r="AJ5340" s="3"/>
    </row>
    <row r="5341" spans="1:36" x14ac:dyDescent="0.25">
      <c r="A5341" s="1"/>
      <c r="B5341" s="2"/>
      <c r="AA5341" s="3"/>
      <c r="AD5341" s="3"/>
      <c r="AG5341" s="3"/>
      <c r="AJ5341" s="3"/>
    </row>
    <row r="5342" spans="1:36" x14ac:dyDescent="0.25">
      <c r="A5342" s="1"/>
      <c r="B5342" s="2"/>
      <c r="AA5342" s="3"/>
      <c r="AD5342" s="3"/>
      <c r="AG5342" s="3"/>
      <c r="AJ5342" s="3"/>
    </row>
    <row r="5343" spans="1:36" x14ac:dyDescent="0.25">
      <c r="A5343" s="1"/>
      <c r="B5343" s="2"/>
      <c r="AA5343" s="3"/>
      <c r="AD5343" s="3"/>
      <c r="AG5343" s="3"/>
      <c r="AJ5343" s="3"/>
    </row>
    <row r="5344" spans="1:36" x14ac:dyDescent="0.25">
      <c r="A5344" s="1"/>
      <c r="B5344" s="2"/>
      <c r="AA5344" s="3"/>
      <c r="AD5344" s="3"/>
      <c r="AG5344" s="3"/>
      <c r="AJ5344" s="3"/>
    </row>
    <row r="5345" spans="1:36" x14ac:dyDescent="0.25">
      <c r="A5345" s="1"/>
      <c r="B5345" s="2"/>
      <c r="AA5345" s="3"/>
      <c r="AD5345" s="3"/>
      <c r="AG5345" s="3"/>
      <c r="AJ5345" s="3"/>
    </row>
    <row r="5346" spans="1:36" x14ac:dyDescent="0.25">
      <c r="A5346" s="1"/>
      <c r="B5346" s="2"/>
      <c r="AA5346" s="3"/>
      <c r="AD5346" s="3"/>
      <c r="AG5346" s="3"/>
      <c r="AJ5346" s="3"/>
    </row>
    <row r="5347" spans="1:36" x14ac:dyDescent="0.25">
      <c r="A5347" s="1"/>
      <c r="B5347" s="2"/>
      <c r="AA5347" s="3"/>
      <c r="AD5347" s="3"/>
      <c r="AG5347" s="3"/>
      <c r="AJ5347" s="3"/>
    </row>
    <row r="5348" spans="1:36" x14ac:dyDescent="0.25">
      <c r="A5348" s="1"/>
      <c r="B5348" s="2"/>
      <c r="AA5348" s="3"/>
      <c r="AD5348" s="3"/>
      <c r="AG5348" s="3"/>
      <c r="AJ5348" s="3"/>
    </row>
    <row r="5349" spans="1:36" x14ac:dyDescent="0.25">
      <c r="A5349" s="1"/>
      <c r="B5349" s="2"/>
      <c r="AA5349" s="3"/>
      <c r="AD5349" s="3"/>
      <c r="AG5349" s="3"/>
      <c r="AJ5349" s="3"/>
    </row>
    <row r="5350" spans="1:36" x14ac:dyDescent="0.25">
      <c r="A5350" s="1"/>
      <c r="B5350" s="2"/>
      <c r="AA5350" s="3"/>
      <c r="AD5350" s="3"/>
      <c r="AG5350" s="3"/>
      <c r="AJ5350" s="3"/>
    </row>
    <row r="5351" spans="1:36" x14ac:dyDescent="0.25">
      <c r="A5351" s="1"/>
      <c r="B5351" s="2"/>
      <c r="AA5351" s="3"/>
      <c r="AD5351" s="3"/>
      <c r="AG5351" s="3"/>
      <c r="AJ5351" s="3"/>
    </row>
    <row r="5352" spans="1:36" x14ac:dyDescent="0.25">
      <c r="A5352" s="1"/>
      <c r="B5352" s="2"/>
      <c r="AA5352" s="3"/>
      <c r="AD5352" s="3"/>
      <c r="AG5352" s="3"/>
      <c r="AJ5352" s="3"/>
    </row>
    <row r="5353" spans="1:36" x14ac:dyDescent="0.25">
      <c r="A5353" s="1"/>
      <c r="B5353" s="2"/>
      <c r="AA5353" s="3"/>
      <c r="AD5353" s="3"/>
      <c r="AG5353" s="3"/>
      <c r="AJ5353" s="3"/>
    </row>
    <row r="5354" spans="1:36" x14ac:dyDescent="0.25">
      <c r="A5354" s="1"/>
      <c r="B5354" s="2"/>
      <c r="AA5354" s="3"/>
      <c r="AD5354" s="3"/>
      <c r="AG5354" s="3"/>
      <c r="AJ5354" s="3"/>
    </row>
    <row r="5355" spans="1:36" x14ac:dyDescent="0.25">
      <c r="A5355" s="1"/>
      <c r="B5355" s="2"/>
      <c r="AA5355" s="3"/>
      <c r="AD5355" s="3"/>
      <c r="AG5355" s="3"/>
      <c r="AJ5355" s="3"/>
    </row>
    <row r="5356" spans="1:36" x14ac:dyDescent="0.25">
      <c r="A5356" s="1"/>
      <c r="B5356" s="2"/>
      <c r="AA5356" s="3"/>
      <c r="AD5356" s="3"/>
      <c r="AG5356" s="3"/>
      <c r="AJ5356" s="3"/>
    </row>
    <row r="5357" spans="1:36" x14ac:dyDescent="0.25">
      <c r="A5357" s="1"/>
      <c r="B5357" s="2"/>
      <c r="AA5357" s="3"/>
      <c r="AD5357" s="3"/>
      <c r="AG5357" s="3"/>
      <c r="AJ5357" s="3"/>
    </row>
    <row r="5358" spans="1:36" x14ac:dyDescent="0.25">
      <c r="A5358" s="1"/>
      <c r="B5358" s="2"/>
      <c r="AA5358" s="3"/>
      <c r="AD5358" s="3"/>
      <c r="AG5358" s="3"/>
      <c r="AJ5358" s="3"/>
    </row>
    <row r="5359" spans="1:36" x14ac:dyDescent="0.25">
      <c r="A5359" s="1"/>
      <c r="B5359" s="2"/>
      <c r="AA5359" s="3"/>
      <c r="AD5359" s="3"/>
      <c r="AG5359" s="3"/>
      <c r="AJ5359" s="3"/>
    </row>
    <row r="5360" spans="1:36" x14ac:dyDescent="0.25">
      <c r="A5360" s="1"/>
      <c r="B5360" s="2"/>
      <c r="AA5360" s="3"/>
      <c r="AD5360" s="3"/>
      <c r="AG5360" s="3"/>
      <c r="AJ5360" s="3"/>
    </row>
    <row r="5361" spans="1:36" x14ac:dyDescent="0.25">
      <c r="A5361" s="1"/>
      <c r="B5361" s="2"/>
      <c r="AA5361" s="3"/>
      <c r="AD5361" s="3"/>
      <c r="AG5361" s="3"/>
      <c r="AJ5361" s="3"/>
    </row>
    <row r="5362" spans="1:36" x14ac:dyDescent="0.25">
      <c r="A5362" s="1"/>
      <c r="B5362" s="2"/>
      <c r="AA5362" s="3"/>
      <c r="AD5362" s="3"/>
      <c r="AG5362" s="3"/>
      <c r="AJ5362" s="3"/>
    </row>
    <row r="5363" spans="1:36" x14ac:dyDescent="0.25">
      <c r="A5363" s="1"/>
      <c r="B5363" s="2"/>
      <c r="AA5363" s="3"/>
      <c r="AD5363" s="3"/>
      <c r="AG5363" s="3"/>
      <c r="AJ5363" s="3"/>
    </row>
    <row r="5364" spans="1:36" x14ac:dyDescent="0.25">
      <c r="A5364" s="1"/>
      <c r="B5364" s="2"/>
      <c r="AA5364" s="3"/>
      <c r="AD5364" s="3"/>
      <c r="AG5364" s="3"/>
      <c r="AJ5364" s="3"/>
    </row>
    <row r="5365" spans="1:36" x14ac:dyDescent="0.25">
      <c r="A5365" s="1"/>
      <c r="B5365" s="2"/>
      <c r="AA5365" s="3"/>
      <c r="AD5365" s="3"/>
      <c r="AG5365" s="3"/>
      <c r="AJ5365" s="3"/>
    </row>
    <row r="5366" spans="1:36" x14ac:dyDescent="0.25">
      <c r="A5366" s="1"/>
      <c r="B5366" s="2"/>
      <c r="AA5366" s="3"/>
      <c r="AD5366" s="3"/>
      <c r="AG5366" s="3"/>
      <c r="AJ5366" s="3"/>
    </row>
    <row r="5367" spans="1:36" x14ac:dyDescent="0.25">
      <c r="A5367" s="1"/>
      <c r="B5367" s="2"/>
      <c r="AA5367" s="3"/>
      <c r="AD5367" s="3"/>
      <c r="AG5367" s="3"/>
      <c r="AJ5367" s="3"/>
    </row>
    <row r="5368" spans="1:36" x14ac:dyDescent="0.25">
      <c r="A5368" s="1"/>
      <c r="B5368" s="2"/>
      <c r="AA5368" s="3"/>
      <c r="AD5368" s="3"/>
      <c r="AG5368" s="3"/>
      <c r="AJ5368" s="3"/>
    </row>
    <row r="5369" spans="1:36" x14ac:dyDescent="0.25">
      <c r="A5369" s="1"/>
      <c r="B5369" s="2"/>
      <c r="AA5369" s="3"/>
      <c r="AD5369" s="3"/>
      <c r="AG5369" s="3"/>
      <c r="AJ5369" s="3"/>
    </row>
    <row r="5370" spans="1:36" x14ac:dyDescent="0.25">
      <c r="A5370" s="1"/>
      <c r="B5370" s="2"/>
      <c r="AA5370" s="3"/>
      <c r="AD5370" s="3"/>
      <c r="AG5370" s="3"/>
      <c r="AJ5370" s="3"/>
    </row>
    <row r="5371" spans="1:36" x14ac:dyDescent="0.25">
      <c r="A5371" s="1"/>
      <c r="B5371" s="2"/>
      <c r="AA5371" s="3"/>
      <c r="AD5371" s="3"/>
      <c r="AG5371" s="3"/>
      <c r="AJ5371" s="3"/>
    </row>
    <row r="5372" spans="1:36" x14ac:dyDescent="0.25">
      <c r="A5372" s="1"/>
      <c r="B5372" s="2"/>
      <c r="AA5372" s="3"/>
      <c r="AD5372" s="3"/>
      <c r="AG5372" s="3"/>
      <c r="AJ5372" s="3"/>
    </row>
    <row r="5373" spans="1:36" x14ac:dyDescent="0.25">
      <c r="A5373" s="1"/>
      <c r="B5373" s="2"/>
      <c r="AA5373" s="3"/>
      <c r="AD5373" s="3"/>
      <c r="AG5373" s="3"/>
      <c r="AJ5373" s="3"/>
    </row>
    <row r="5374" spans="1:36" x14ac:dyDescent="0.25">
      <c r="A5374" s="1"/>
      <c r="B5374" s="2"/>
      <c r="AA5374" s="3"/>
      <c r="AD5374" s="3"/>
      <c r="AG5374" s="3"/>
      <c r="AJ5374" s="3"/>
    </row>
    <row r="5375" spans="1:36" x14ac:dyDescent="0.25">
      <c r="A5375" s="1"/>
      <c r="B5375" s="2"/>
      <c r="AA5375" s="3"/>
      <c r="AD5375" s="3"/>
      <c r="AG5375" s="3"/>
      <c r="AJ5375" s="3"/>
    </row>
    <row r="5376" spans="1:36" x14ac:dyDescent="0.25">
      <c r="A5376" s="1"/>
      <c r="B5376" s="2"/>
      <c r="AA5376" s="3"/>
      <c r="AD5376" s="3"/>
      <c r="AG5376" s="3"/>
      <c r="AJ5376" s="3"/>
    </row>
    <row r="5377" spans="1:36" x14ac:dyDescent="0.25">
      <c r="A5377" s="1"/>
      <c r="B5377" s="2"/>
      <c r="AA5377" s="3"/>
      <c r="AD5377" s="3"/>
      <c r="AG5377" s="3"/>
      <c r="AJ5377" s="3"/>
    </row>
    <row r="5378" spans="1:36" x14ac:dyDescent="0.25">
      <c r="A5378" s="1"/>
      <c r="B5378" s="2"/>
      <c r="AA5378" s="3"/>
      <c r="AD5378" s="3"/>
      <c r="AG5378" s="3"/>
      <c r="AJ5378" s="3"/>
    </row>
    <row r="5379" spans="1:36" x14ac:dyDescent="0.25">
      <c r="A5379" s="1"/>
      <c r="B5379" s="2"/>
      <c r="AA5379" s="3"/>
      <c r="AD5379" s="3"/>
      <c r="AG5379" s="3"/>
      <c r="AJ5379" s="3"/>
    </row>
    <row r="5380" spans="1:36" x14ac:dyDescent="0.25">
      <c r="A5380" s="1"/>
      <c r="B5380" s="2"/>
      <c r="AA5380" s="3"/>
      <c r="AD5380" s="3"/>
      <c r="AG5380" s="3"/>
      <c r="AJ5380" s="3"/>
    </row>
    <row r="5381" spans="1:36" x14ac:dyDescent="0.25">
      <c r="A5381" s="1"/>
      <c r="B5381" s="2"/>
      <c r="AA5381" s="3"/>
      <c r="AD5381" s="3"/>
      <c r="AG5381" s="3"/>
      <c r="AJ5381" s="3"/>
    </row>
    <row r="5382" spans="1:36" x14ac:dyDescent="0.25">
      <c r="A5382" s="1"/>
      <c r="B5382" s="2"/>
      <c r="AA5382" s="3"/>
      <c r="AD5382" s="3"/>
      <c r="AG5382" s="3"/>
      <c r="AJ5382" s="3"/>
    </row>
    <row r="5383" spans="1:36" x14ac:dyDescent="0.25">
      <c r="A5383" s="1"/>
      <c r="B5383" s="2"/>
      <c r="AA5383" s="3"/>
      <c r="AD5383" s="3"/>
      <c r="AG5383" s="3"/>
      <c r="AJ5383" s="3"/>
    </row>
    <row r="5384" spans="1:36" x14ac:dyDescent="0.25">
      <c r="A5384" s="1"/>
      <c r="B5384" s="2"/>
      <c r="AA5384" s="3"/>
      <c r="AD5384" s="3"/>
      <c r="AG5384" s="3"/>
      <c r="AJ5384" s="3"/>
    </row>
    <row r="5385" spans="1:36" x14ac:dyDescent="0.25">
      <c r="A5385" s="1"/>
      <c r="B5385" s="2"/>
      <c r="AA5385" s="3"/>
      <c r="AD5385" s="3"/>
      <c r="AG5385" s="3"/>
      <c r="AJ5385" s="3"/>
    </row>
    <row r="5386" spans="1:36" x14ac:dyDescent="0.25">
      <c r="A5386" s="1"/>
      <c r="B5386" s="2"/>
      <c r="AA5386" s="3"/>
      <c r="AD5386" s="3"/>
      <c r="AG5386" s="3"/>
      <c r="AJ5386" s="3"/>
    </row>
    <row r="5387" spans="1:36" x14ac:dyDescent="0.25">
      <c r="A5387" s="1"/>
      <c r="B5387" s="2"/>
      <c r="AA5387" s="3"/>
      <c r="AD5387" s="3"/>
      <c r="AG5387" s="3"/>
      <c r="AJ5387" s="3"/>
    </row>
    <row r="5388" spans="1:36" x14ac:dyDescent="0.25">
      <c r="A5388" s="1"/>
      <c r="B5388" s="2"/>
      <c r="AA5388" s="3"/>
      <c r="AD5388" s="3"/>
      <c r="AG5388" s="3"/>
      <c r="AJ5388" s="3"/>
    </row>
    <row r="5389" spans="1:36" x14ac:dyDescent="0.25">
      <c r="A5389" s="1"/>
      <c r="B5389" s="2"/>
      <c r="AA5389" s="3"/>
      <c r="AD5389" s="3"/>
      <c r="AG5389" s="3"/>
      <c r="AJ5389" s="3"/>
    </row>
    <row r="5390" spans="1:36" x14ac:dyDescent="0.25">
      <c r="A5390" s="1"/>
      <c r="B5390" s="2"/>
      <c r="AA5390" s="3"/>
      <c r="AD5390" s="3"/>
      <c r="AG5390" s="3"/>
      <c r="AJ5390" s="3"/>
    </row>
    <row r="5391" spans="1:36" x14ac:dyDescent="0.25">
      <c r="A5391" s="1"/>
      <c r="B5391" s="2"/>
      <c r="AA5391" s="3"/>
      <c r="AD5391" s="3"/>
      <c r="AG5391" s="3"/>
      <c r="AJ5391" s="3"/>
    </row>
    <row r="5392" spans="1:36" x14ac:dyDescent="0.25">
      <c r="A5392" s="1"/>
      <c r="B5392" s="2"/>
      <c r="AA5392" s="3"/>
      <c r="AD5392" s="3"/>
      <c r="AG5392" s="3"/>
      <c r="AJ5392" s="3"/>
    </row>
    <row r="5393" spans="1:36" x14ac:dyDescent="0.25">
      <c r="A5393" s="1"/>
      <c r="B5393" s="2"/>
      <c r="AA5393" s="3"/>
      <c r="AD5393" s="3"/>
      <c r="AG5393" s="3"/>
      <c r="AJ5393" s="3"/>
    </row>
    <row r="5394" spans="1:36" x14ac:dyDescent="0.25">
      <c r="A5394" s="1"/>
      <c r="B5394" s="2"/>
      <c r="AA5394" s="3"/>
      <c r="AD5394" s="3"/>
      <c r="AG5394" s="3"/>
      <c r="AJ5394" s="3"/>
    </row>
    <row r="5395" spans="1:36" x14ac:dyDescent="0.25">
      <c r="A5395" s="1"/>
      <c r="B5395" s="2"/>
      <c r="AA5395" s="3"/>
      <c r="AD5395" s="3"/>
      <c r="AG5395" s="3"/>
      <c r="AJ5395" s="3"/>
    </row>
    <row r="5396" spans="1:36" x14ac:dyDescent="0.25">
      <c r="A5396" s="1"/>
      <c r="B5396" s="2"/>
      <c r="AA5396" s="3"/>
      <c r="AD5396" s="3"/>
      <c r="AG5396" s="3"/>
      <c r="AJ5396" s="3"/>
    </row>
    <row r="5397" spans="1:36" x14ac:dyDescent="0.25">
      <c r="A5397" s="1"/>
      <c r="B5397" s="2"/>
      <c r="AA5397" s="3"/>
      <c r="AD5397" s="3"/>
      <c r="AG5397" s="3"/>
      <c r="AJ5397" s="3"/>
    </row>
    <row r="5398" spans="1:36" x14ac:dyDescent="0.25">
      <c r="A5398" s="1"/>
      <c r="B5398" s="2"/>
      <c r="AA5398" s="3"/>
      <c r="AD5398" s="3"/>
      <c r="AG5398" s="3"/>
      <c r="AJ5398" s="3"/>
    </row>
    <row r="5399" spans="1:36" x14ac:dyDescent="0.25">
      <c r="A5399" s="1"/>
      <c r="B5399" s="2"/>
      <c r="AA5399" s="3"/>
      <c r="AD5399" s="3"/>
      <c r="AG5399" s="3"/>
      <c r="AJ5399" s="3"/>
    </row>
    <row r="5400" spans="1:36" x14ac:dyDescent="0.25">
      <c r="A5400" s="1"/>
      <c r="B5400" s="2"/>
      <c r="AA5400" s="3"/>
      <c r="AD5400" s="3"/>
      <c r="AG5400" s="3"/>
      <c r="AJ5400" s="3"/>
    </row>
    <row r="5401" spans="1:36" x14ac:dyDescent="0.25">
      <c r="A5401" s="1"/>
      <c r="B5401" s="2"/>
      <c r="AA5401" s="3"/>
      <c r="AD5401" s="3"/>
      <c r="AG5401" s="3"/>
      <c r="AJ5401" s="3"/>
    </row>
    <row r="5402" spans="1:36" x14ac:dyDescent="0.25">
      <c r="A5402" s="1"/>
      <c r="B5402" s="2"/>
      <c r="AA5402" s="3"/>
      <c r="AD5402" s="3"/>
      <c r="AG5402" s="3"/>
      <c r="AJ5402" s="3"/>
    </row>
    <row r="5403" spans="1:36" x14ac:dyDescent="0.25">
      <c r="A5403" s="1"/>
      <c r="B5403" s="2"/>
      <c r="AA5403" s="3"/>
      <c r="AD5403" s="3"/>
      <c r="AG5403" s="3"/>
      <c r="AJ5403" s="3"/>
    </row>
    <row r="5404" spans="1:36" x14ac:dyDescent="0.25">
      <c r="A5404" s="1"/>
      <c r="B5404" s="2"/>
      <c r="AA5404" s="3"/>
      <c r="AD5404" s="3"/>
      <c r="AG5404" s="3"/>
      <c r="AJ5404" s="3"/>
    </row>
    <row r="5405" spans="1:36" x14ac:dyDescent="0.25">
      <c r="A5405" s="1"/>
      <c r="B5405" s="2"/>
      <c r="AA5405" s="3"/>
      <c r="AD5405" s="3"/>
      <c r="AG5405" s="3"/>
      <c r="AJ5405" s="3"/>
    </row>
    <row r="5406" spans="1:36" x14ac:dyDescent="0.25">
      <c r="A5406" s="1"/>
      <c r="B5406" s="2"/>
      <c r="AA5406" s="3"/>
      <c r="AD5406" s="3"/>
      <c r="AG5406" s="3"/>
      <c r="AJ5406" s="3"/>
    </row>
    <row r="5407" spans="1:36" x14ac:dyDescent="0.25">
      <c r="A5407" s="1"/>
      <c r="B5407" s="2"/>
      <c r="AA5407" s="3"/>
      <c r="AD5407" s="3"/>
      <c r="AG5407" s="3"/>
      <c r="AJ5407" s="3"/>
    </row>
    <row r="5408" spans="1:36" x14ac:dyDescent="0.25">
      <c r="A5408" s="1"/>
      <c r="B5408" s="2"/>
      <c r="AA5408" s="3"/>
      <c r="AD5408" s="3"/>
      <c r="AG5408" s="3"/>
      <c r="AJ5408" s="3"/>
    </row>
    <row r="5409" spans="1:36" x14ac:dyDescent="0.25">
      <c r="A5409" s="1"/>
      <c r="B5409" s="2"/>
      <c r="AA5409" s="3"/>
      <c r="AD5409" s="3"/>
      <c r="AG5409" s="3"/>
      <c r="AJ5409" s="3"/>
    </row>
    <row r="5410" spans="1:36" x14ac:dyDescent="0.25">
      <c r="A5410" s="1"/>
      <c r="B5410" s="2"/>
      <c r="AA5410" s="3"/>
      <c r="AD5410" s="3"/>
      <c r="AG5410" s="3"/>
      <c r="AJ5410" s="3"/>
    </row>
    <row r="5411" spans="1:36" x14ac:dyDescent="0.25">
      <c r="A5411" s="1"/>
      <c r="B5411" s="2"/>
      <c r="AA5411" s="3"/>
      <c r="AD5411" s="3"/>
      <c r="AG5411" s="3"/>
      <c r="AJ5411" s="3"/>
    </row>
    <row r="5412" spans="1:36" x14ac:dyDescent="0.25">
      <c r="A5412" s="1"/>
      <c r="B5412" s="2"/>
      <c r="AA5412" s="3"/>
      <c r="AD5412" s="3"/>
      <c r="AG5412" s="3"/>
      <c r="AJ5412" s="3"/>
    </row>
    <row r="5413" spans="1:36" x14ac:dyDescent="0.25">
      <c r="A5413" s="1"/>
      <c r="B5413" s="2"/>
      <c r="AA5413" s="3"/>
      <c r="AD5413" s="3"/>
      <c r="AG5413" s="3"/>
      <c r="AJ5413" s="3"/>
    </row>
    <row r="5414" spans="1:36" x14ac:dyDescent="0.25">
      <c r="A5414" s="1"/>
      <c r="B5414" s="2"/>
      <c r="AA5414" s="3"/>
      <c r="AD5414" s="3"/>
      <c r="AG5414" s="3"/>
      <c r="AJ5414" s="3"/>
    </row>
    <row r="5415" spans="1:36" x14ac:dyDescent="0.25">
      <c r="A5415" s="1"/>
      <c r="B5415" s="2"/>
      <c r="AA5415" s="3"/>
      <c r="AD5415" s="3"/>
      <c r="AG5415" s="3"/>
      <c r="AJ5415" s="3"/>
    </row>
    <row r="5416" spans="1:36" x14ac:dyDescent="0.25">
      <c r="A5416" s="1"/>
      <c r="B5416" s="2"/>
      <c r="AA5416" s="3"/>
      <c r="AD5416" s="3"/>
      <c r="AG5416" s="3"/>
      <c r="AJ5416" s="3"/>
    </row>
    <row r="5417" spans="1:36" x14ac:dyDescent="0.25">
      <c r="A5417" s="1"/>
      <c r="B5417" s="2"/>
      <c r="AA5417" s="3"/>
      <c r="AD5417" s="3"/>
      <c r="AG5417" s="3"/>
      <c r="AJ5417" s="3"/>
    </row>
    <row r="5418" spans="1:36" x14ac:dyDescent="0.25">
      <c r="A5418" s="1"/>
      <c r="B5418" s="2"/>
      <c r="AA5418" s="3"/>
      <c r="AD5418" s="3"/>
      <c r="AG5418" s="3"/>
      <c r="AJ5418" s="3"/>
    </row>
    <row r="5419" spans="1:36" x14ac:dyDescent="0.25">
      <c r="A5419" s="1"/>
      <c r="B5419" s="2"/>
      <c r="AA5419" s="3"/>
      <c r="AD5419" s="3"/>
      <c r="AG5419" s="3"/>
      <c r="AJ5419" s="3"/>
    </row>
    <row r="5420" spans="1:36" x14ac:dyDescent="0.25">
      <c r="A5420" s="1"/>
      <c r="B5420" s="2"/>
      <c r="AA5420" s="3"/>
      <c r="AD5420" s="3"/>
      <c r="AG5420" s="3"/>
      <c r="AJ5420" s="3"/>
    </row>
    <row r="5421" spans="1:36" x14ac:dyDescent="0.25">
      <c r="A5421" s="1"/>
      <c r="B5421" s="2"/>
      <c r="AA5421" s="3"/>
      <c r="AD5421" s="3"/>
      <c r="AG5421" s="3"/>
      <c r="AJ5421" s="3"/>
    </row>
    <row r="5422" spans="1:36" x14ac:dyDescent="0.25">
      <c r="A5422" s="1"/>
      <c r="B5422" s="2"/>
      <c r="AA5422" s="3"/>
      <c r="AD5422" s="3"/>
      <c r="AG5422" s="3"/>
      <c r="AJ5422" s="3"/>
    </row>
    <row r="5423" spans="1:36" x14ac:dyDescent="0.25">
      <c r="A5423" s="1"/>
      <c r="B5423" s="2"/>
      <c r="AA5423" s="3"/>
      <c r="AD5423" s="3"/>
      <c r="AG5423" s="3"/>
      <c r="AJ5423" s="3"/>
    </row>
    <row r="5424" spans="1:36" x14ac:dyDescent="0.25">
      <c r="A5424" s="1"/>
      <c r="B5424" s="2"/>
      <c r="AA5424" s="3"/>
      <c r="AD5424" s="3"/>
      <c r="AG5424" s="3"/>
      <c r="AJ5424" s="3"/>
    </row>
    <row r="5425" spans="1:36" x14ac:dyDescent="0.25">
      <c r="A5425" s="1"/>
      <c r="B5425" s="2"/>
      <c r="AA5425" s="3"/>
      <c r="AD5425" s="3"/>
      <c r="AG5425" s="3"/>
      <c r="AJ5425" s="3"/>
    </row>
    <row r="5426" spans="1:36" x14ac:dyDescent="0.25">
      <c r="A5426" s="1"/>
      <c r="B5426" s="2"/>
      <c r="AA5426" s="3"/>
      <c r="AD5426" s="3"/>
      <c r="AG5426" s="3"/>
      <c r="AJ5426" s="3"/>
    </row>
    <row r="5427" spans="1:36" x14ac:dyDescent="0.25">
      <c r="A5427" s="1"/>
      <c r="B5427" s="2"/>
      <c r="AA5427" s="3"/>
      <c r="AD5427" s="3"/>
      <c r="AG5427" s="3"/>
      <c r="AJ5427" s="3"/>
    </row>
    <row r="5428" spans="1:36" x14ac:dyDescent="0.25">
      <c r="A5428" s="1"/>
      <c r="B5428" s="2"/>
      <c r="AA5428" s="3"/>
      <c r="AD5428" s="3"/>
      <c r="AG5428" s="3"/>
      <c r="AJ5428" s="3"/>
    </row>
    <row r="5429" spans="1:36" x14ac:dyDescent="0.25">
      <c r="A5429" s="1"/>
      <c r="B5429" s="2"/>
      <c r="AA5429" s="3"/>
      <c r="AD5429" s="3"/>
      <c r="AG5429" s="3"/>
      <c r="AJ5429" s="3"/>
    </row>
    <row r="5430" spans="1:36" x14ac:dyDescent="0.25">
      <c r="A5430" s="1"/>
      <c r="B5430" s="2"/>
      <c r="AA5430" s="3"/>
      <c r="AD5430" s="3"/>
      <c r="AG5430" s="3"/>
      <c r="AJ5430" s="3"/>
    </row>
    <row r="5431" spans="1:36" x14ac:dyDescent="0.25">
      <c r="A5431" s="1"/>
      <c r="B5431" s="2"/>
      <c r="AA5431" s="3"/>
      <c r="AD5431" s="3"/>
      <c r="AG5431" s="3"/>
      <c r="AJ5431" s="3"/>
    </row>
    <row r="5432" spans="1:36" x14ac:dyDescent="0.25">
      <c r="A5432" s="1"/>
      <c r="B5432" s="2"/>
      <c r="AA5432" s="3"/>
      <c r="AD5432" s="3"/>
      <c r="AG5432" s="3"/>
      <c r="AJ5432" s="3"/>
    </row>
    <row r="5433" spans="1:36" x14ac:dyDescent="0.25">
      <c r="A5433" s="1"/>
      <c r="B5433" s="2"/>
      <c r="AA5433" s="3"/>
      <c r="AD5433" s="3"/>
      <c r="AG5433" s="3"/>
      <c r="AJ5433" s="3"/>
    </row>
    <row r="5434" spans="1:36" x14ac:dyDescent="0.25">
      <c r="A5434" s="1"/>
      <c r="B5434" s="2"/>
      <c r="AA5434" s="3"/>
      <c r="AD5434" s="3"/>
      <c r="AG5434" s="3"/>
      <c r="AJ5434" s="3"/>
    </row>
    <row r="5435" spans="1:36" x14ac:dyDescent="0.25">
      <c r="A5435" s="1"/>
      <c r="B5435" s="2"/>
      <c r="AA5435" s="3"/>
      <c r="AD5435" s="3"/>
      <c r="AG5435" s="3"/>
      <c r="AJ5435" s="3"/>
    </row>
    <row r="5436" spans="1:36" x14ac:dyDescent="0.25">
      <c r="A5436" s="1"/>
      <c r="B5436" s="2"/>
      <c r="AA5436" s="3"/>
      <c r="AD5436" s="3"/>
      <c r="AG5436" s="3"/>
      <c r="AJ5436" s="3"/>
    </row>
    <row r="5437" spans="1:36" x14ac:dyDescent="0.25">
      <c r="A5437" s="1"/>
      <c r="B5437" s="2"/>
      <c r="AA5437" s="3"/>
      <c r="AD5437" s="3"/>
      <c r="AG5437" s="3"/>
      <c r="AJ5437" s="3"/>
    </row>
    <row r="5438" spans="1:36" x14ac:dyDescent="0.25">
      <c r="A5438" s="1"/>
      <c r="B5438" s="2"/>
      <c r="AA5438" s="3"/>
      <c r="AD5438" s="3"/>
      <c r="AG5438" s="3"/>
      <c r="AJ5438" s="3"/>
    </row>
    <row r="5439" spans="1:36" x14ac:dyDescent="0.25">
      <c r="A5439" s="1"/>
      <c r="B5439" s="2"/>
      <c r="AA5439" s="3"/>
      <c r="AD5439" s="3"/>
      <c r="AG5439" s="3"/>
      <c r="AJ5439" s="3"/>
    </row>
    <row r="5440" spans="1:36" x14ac:dyDescent="0.25">
      <c r="A5440" s="1"/>
      <c r="B5440" s="2"/>
      <c r="AA5440" s="3"/>
      <c r="AD5440" s="3"/>
      <c r="AG5440" s="3"/>
      <c r="AJ5440" s="3"/>
    </row>
    <row r="5441" spans="1:36" x14ac:dyDescent="0.25">
      <c r="A5441" s="1"/>
      <c r="B5441" s="2"/>
      <c r="AA5441" s="3"/>
      <c r="AD5441" s="3"/>
      <c r="AG5441" s="3"/>
      <c r="AJ5441" s="3"/>
    </row>
    <row r="5442" spans="1:36" x14ac:dyDescent="0.25">
      <c r="A5442" s="1"/>
      <c r="B5442" s="2"/>
      <c r="AA5442" s="3"/>
      <c r="AD5442" s="3"/>
      <c r="AG5442" s="3"/>
      <c r="AJ5442" s="3"/>
    </row>
    <row r="5443" spans="1:36" x14ac:dyDescent="0.25">
      <c r="A5443" s="1"/>
      <c r="B5443" s="2"/>
      <c r="AA5443" s="3"/>
      <c r="AD5443" s="3"/>
      <c r="AG5443" s="3"/>
      <c r="AJ5443" s="3"/>
    </row>
    <row r="5444" spans="1:36" x14ac:dyDescent="0.25">
      <c r="A5444" s="1"/>
      <c r="B5444" s="2"/>
      <c r="AA5444" s="3"/>
      <c r="AD5444" s="3"/>
      <c r="AG5444" s="3"/>
      <c r="AJ5444" s="3"/>
    </row>
    <row r="5445" spans="1:36" x14ac:dyDescent="0.25">
      <c r="A5445" s="1"/>
      <c r="B5445" s="2"/>
      <c r="AA5445" s="3"/>
      <c r="AD5445" s="3"/>
      <c r="AG5445" s="3"/>
      <c r="AJ5445" s="3"/>
    </row>
    <row r="5446" spans="1:36" x14ac:dyDescent="0.25">
      <c r="A5446" s="1"/>
      <c r="B5446" s="2"/>
      <c r="AA5446" s="3"/>
      <c r="AD5446" s="3"/>
      <c r="AG5446" s="3"/>
      <c r="AJ5446" s="3"/>
    </row>
    <row r="5447" spans="1:36" x14ac:dyDescent="0.25">
      <c r="A5447" s="1"/>
      <c r="B5447" s="2"/>
      <c r="AA5447" s="3"/>
      <c r="AD5447" s="3"/>
      <c r="AG5447" s="3"/>
      <c r="AJ5447" s="3"/>
    </row>
    <row r="5448" spans="1:36" x14ac:dyDescent="0.25">
      <c r="A5448" s="1"/>
      <c r="B5448" s="2"/>
      <c r="AA5448" s="3"/>
      <c r="AD5448" s="3"/>
      <c r="AG5448" s="3"/>
      <c r="AJ5448" s="3"/>
    </row>
    <row r="5449" spans="1:36" x14ac:dyDescent="0.25">
      <c r="A5449" s="1"/>
      <c r="B5449" s="2"/>
      <c r="AA5449" s="3"/>
      <c r="AD5449" s="3"/>
      <c r="AG5449" s="3"/>
      <c r="AJ5449" s="3"/>
    </row>
    <row r="5450" spans="1:36" x14ac:dyDescent="0.25">
      <c r="A5450" s="1"/>
      <c r="B5450" s="2"/>
      <c r="AA5450" s="3"/>
      <c r="AD5450" s="3"/>
      <c r="AG5450" s="3"/>
      <c r="AJ5450" s="3"/>
    </row>
    <row r="5451" spans="1:36" x14ac:dyDescent="0.25">
      <c r="A5451" s="1"/>
      <c r="B5451" s="2"/>
      <c r="AA5451" s="3"/>
      <c r="AD5451" s="3"/>
      <c r="AG5451" s="3"/>
      <c r="AJ5451" s="3"/>
    </row>
    <row r="5452" spans="1:36" x14ac:dyDescent="0.25">
      <c r="A5452" s="1"/>
      <c r="B5452" s="2"/>
      <c r="AA5452" s="3"/>
      <c r="AD5452" s="3"/>
      <c r="AG5452" s="3"/>
      <c r="AJ5452" s="3"/>
    </row>
    <row r="5453" spans="1:36" x14ac:dyDescent="0.25">
      <c r="A5453" s="1"/>
      <c r="B5453" s="2"/>
      <c r="AA5453" s="3"/>
      <c r="AD5453" s="3"/>
      <c r="AG5453" s="3"/>
      <c r="AJ5453" s="3"/>
    </row>
    <row r="5454" spans="1:36" x14ac:dyDescent="0.25">
      <c r="A5454" s="1"/>
      <c r="B5454" s="2"/>
      <c r="AA5454" s="3"/>
      <c r="AD5454" s="3"/>
      <c r="AG5454" s="3"/>
      <c r="AJ5454" s="3"/>
    </row>
    <row r="5455" spans="1:36" x14ac:dyDescent="0.25">
      <c r="A5455" s="1"/>
      <c r="B5455" s="2"/>
      <c r="AA5455" s="3"/>
      <c r="AD5455" s="3"/>
      <c r="AG5455" s="3"/>
      <c r="AJ5455" s="3"/>
    </row>
    <row r="5456" spans="1:36" x14ac:dyDescent="0.25">
      <c r="A5456" s="1"/>
      <c r="B5456" s="2"/>
      <c r="AA5456" s="3"/>
      <c r="AD5456" s="3"/>
      <c r="AG5456" s="3"/>
      <c r="AJ5456" s="3"/>
    </row>
    <row r="5457" spans="1:36" x14ac:dyDescent="0.25">
      <c r="A5457" s="1"/>
      <c r="B5457" s="2"/>
      <c r="AA5457" s="3"/>
      <c r="AD5457" s="3"/>
      <c r="AG5457" s="3"/>
      <c r="AJ5457" s="3"/>
    </row>
    <row r="5458" spans="1:36" x14ac:dyDescent="0.25">
      <c r="A5458" s="1"/>
      <c r="B5458" s="2"/>
      <c r="AA5458" s="3"/>
      <c r="AD5458" s="3"/>
      <c r="AG5458" s="3"/>
      <c r="AJ5458" s="3"/>
    </row>
    <row r="5459" spans="1:36" x14ac:dyDescent="0.25">
      <c r="A5459" s="1"/>
      <c r="B5459" s="2"/>
      <c r="AA5459" s="3"/>
      <c r="AD5459" s="3"/>
      <c r="AG5459" s="3"/>
      <c r="AJ5459" s="3"/>
    </row>
    <row r="5460" spans="1:36" x14ac:dyDescent="0.25">
      <c r="A5460" s="1"/>
      <c r="B5460" s="2"/>
      <c r="AA5460" s="3"/>
      <c r="AD5460" s="3"/>
      <c r="AG5460" s="3"/>
      <c r="AJ5460" s="3"/>
    </row>
    <row r="5461" spans="1:36" x14ac:dyDescent="0.25">
      <c r="A5461" s="1"/>
      <c r="B5461" s="2"/>
      <c r="AA5461" s="3"/>
      <c r="AD5461" s="3"/>
      <c r="AG5461" s="3"/>
      <c r="AJ5461" s="3"/>
    </row>
    <row r="5462" spans="1:36" x14ac:dyDescent="0.25">
      <c r="A5462" s="1"/>
      <c r="B5462" s="2"/>
      <c r="AA5462" s="3"/>
      <c r="AD5462" s="3"/>
      <c r="AG5462" s="3"/>
      <c r="AJ5462" s="3"/>
    </row>
    <row r="5463" spans="1:36" x14ac:dyDescent="0.25">
      <c r="A5463" s="1"/>
      <c r="B5463" s="2"/>
      <c r="AA5463" s="3"/>
      <c r="AD5463" s="3"/>
      <c r="AG5463" s="3"/>
      <c r="AJ5463" s="3"/>
    </row>
    <row r="5464" spans="1:36" x14ac:dyDescent="0.25">
      <c r="A5464" s="1"/>
      <c r="B5464" s="2"/>
      <c r="AA5464" s="3"/>
      <c r="AD5464" s="3"/>
      <c r="AG5464" s="3"/>
      <c r="AJ5464" s="3"/>
    </row>
    <row r="5465" spans="1:36" x14ac:dyDescent="0.25">
      <c r="A5465" s="1"/>
      <c r="B5465" s="2"/>
      <c r="AA5465" s="3"/>
      <c r="AD5465" s="3"/>
      <c r="AG5465" s="3"/>
      <c r="AJ5465" s="3"/>
    </row>
    <row r="5466" spans="1:36" x14ac:dyDescent="0.25">
      <c r="A5466" s="1"/>
      <c r="B5466" s="2"/>
      <c r="AA5466" s="3"/>
      <c r="AD5466" s="3"/>
      <c r="AG5466" s="3"/>
      <c r="AJ5466" s="3"/>
    </row>
    <row r="5467" spans="1:36" x14ac:dyDescent="0.25">
      <c r="A5467" s="1"/>
      <c r="B5467" s="2"/>
      <c r="AA5467" s="3"/>
      <c r="AD5467" s="3"/>
      <c r="AG5467" s="3"/>
      <c r="AJ5467" s="3"/>
    </row>
    <row r="5468" spans="1:36" x14ac:dyDescent="0.25">
      <c r="A5468" s="1"/>
      <c r="B5468" s="2"/>
      <c r="AA5468" s="3"/>
      <c r="AD5468" s="3"/>
      <c r="AG5468" s="3"/>
      <c r="AJ5468" s="3"/>
    </row>
    <row r="5469" spans="1:36" x14ac:dyDescent="0.25">
      <c r="A5469" s="1"/>
      <c r="B5469" s="2"/>
      <c r="AA5469" s="3"/>
      <c r="AD5469" s="3"/>
      <c r="AG5469" s="3"/>
      <c r="AJ5469" s="3"/>
    </row>
    <row r="5470" spans="1:36" x14ac:dyDescent="0.25">
      <c r="A5470" s="1"/>
      <c r="B5470" s="2"/>
      <c r="AA5470" s="3"/>
      <c r="AD5470" s="3"/>
      <c r="AG5470" s="3"/>
      <c r="AJ5470" s="3"/>
    </row>
    <row r="5471" spans="1:36" x14ac:dyDescent="0.25">
      <c r="A5471" s="1"/>
      <c r="B5471" s="2"/>
      <c r="AA5471" s="3"/>
      <c r="AD5471" s="3"/>
      <c r="AG5471" s="3"/>
      <c r="AJ5471" s="3"/>
    </row>
    <row r="5472" spans="1:36" x14ac:dyDescent="0.25">
      <c r="A5472" s="1"/>
      <c r="B5472" s="2"/>
      <c r="AA5472" s="3"/>
      <c r="AD5472" s="3"/>
      <c r="AG5472" s="3"/>
      <c r="AJ5472" s="3"/>
    </row>
    <row r="5473" spans="1:36" x14ac:dyDescent="0.25">
      <c r="A5473" s="1"/>
      <c r="B5473" s="2"/>
      <c r="AA5473" s="3"/>
      <c r="AD5473" s="3"/>
      <c r="AG5473" s="3"/>
      <c r="AJ5473" s="3"/>
    </row>
    <row r="5474" spans="1:36" x14ac:dyDescent="0.25">
      <c r="A5474" s="1"/>
      <c r="B5474" s="2"/>
      <c r="AA5474" s="3"/>
      <c r="AD5474" s="3"/>
      <c r="AG5474" s="3"/>
      <c r="AJ5474" s="3"/>
    </row>
    <row r="5475" spans="1:36" x14ac:dyDescent="0.25">
      <c r="A5475" s="1"/>
      <c r="B5475" s="2"/>
      <c r="AA5475" s="3"/>
      <c r="AD5475" s="3"/>
      <c r="AG5475" s="3"/>
      <c r="AJ5475" s="3"/>
    </row>
    <row r="5476" spans="1:36" x14ac:dyDescent="0.25">
      <c r="A5476" s="1"/>
      <c r="B5476" s="2"/>
      <c r="AA5476" s="3"/>
      <c r="AD5476" s="3"/>
      <c r="AG5476" s="3"/>
      <c r="AJ5476" s="3"/>
    </row>
    <row r="5477" spans="1:36" x14ac:dyDescent="0.25">
      <c r="A5477" s="1"/>
      <c r="B5477" s="2"/>
      <c r="AA5477" s="3"/>
      <c r="AD5477" s="3"/>
      <c r="AG5477" s="3"/>
      <c r="AJ5477" s="3"/>
    </row>
    <row r="5478" spans="1:36" x14ac:dyDescent="0.25">
      <c r="A5478" s="1"/>
      <c r="B5478" s="2"/>
      <c r="AA5478" s="3"/>
      <c r="AD5478" s="3"/>
      <c r="AG5478" s="3"/>
      <c r="AJ5478" s="3"/>
    </row>
    <row r="5479" spans="1:36" x14ac:dyDescent="0.25">
      <c r="A5479" s="1"/>
      <c r="B5479" s="2"/>
      <c r="AA5479" s="3"/>
      <c r="AD5479" s="3"/>
      <c r="AG5479" s="3"/>
      <c r="AJ5479" s="3"/>
    </row>
    <row r="5480" spans="1:36" x14ac:dyDescent="0.25">
      <c r="A5480" s="1"/>
      <c r="B5480" s="2"/>
      <c r="AA5480" s="3"/>
      <c r="AD5480" s="3"/>
      <c r="AG5480" s="3"/>
      <c r="AJ5480" s="3"/>
    </row>
    <row r="5481" spans="1:36" x14ac:dyDescent="0.25">
      <c r="A5481" s="1"/>
      <c r="B5481" s="2"/>
      <c r="AA5481" s="3"/>
      <c r="AD5481" s="3"/>
      <c r="AG5481" s="3"/>
      <c r="AJ5481" s="3"/>
    </row>
    <row r="5482" spans="1:36" x14ac:dyDescent="0.25">
      <c r="A5482" s="1"/>
      <c r="B5482" s="2"/>
      <c r="AA5482" s="3"/>
      <c r="AD5482" s="3"/>
      <c r="AG5482" s="3"/>
      <c r="AJ5482" s="3"/>
    </row>
    <row r="5483" spans="1:36" x14ac:dyDescent="0.25">
      <c r="A5483" s="1"/>
      <c r="B5483" s="2"/>
      <c r="AA5483" s="3"/>
      <c r="AD5483" s="3"/>
      <c r="AG5483" s="3"/>
      <c r="AJ5483" s="3"/>
    </row>
    <row r="5484" spans="1:36" x14ac:dyDescent="0.25">
      <c r="A5484" s="1"/>
      <c r="B5484" s="2"/>
      <c r="AA5484" s="3"/>
      <c r="AD5484" s="3"/>
      <c r="AG5484" s="3"/>
      <c r="AJ5484" s="3"/>
    </row>
    <row r="5485" spans="1:36" x14ac:dyDescent="0.25">
      <c r="A5485" s="1"/>
      <c r="B5485" s="2"/>
      <c r="AA5485" s="3"/>
      <c r="AD5485" s="3"/>
      <c r="AG5485" s="3"/>
      <c r="AJ5485" s="3"/>
    </row>
    <row r="5486" spans="1:36" x14ac:dyDescent="0.25">
      <c r="A5486" s="1"/>
      <c r="B5486" s="2"/>
      <c r="AA5486" s="3"/>
      <c r="AD5486" s="3"/>
      <c r="AG5486" s="3"/>
      <c r="AJ5486" s="3"/>
    </row>
    <row r="5487" spans="1:36" x14ac:dyDescent="0.25">
      <c r="A5487" s="1"/>
      <c r="B5487" s="2"/>
      <c r="AA5487" s="3"/>
      <c r="AD5487" s="3"/>
      <c r="AG5487" s="3"/>
      <c r="AJ5487" s="3"/>
    </row>
    <row r="5488" spans="1:36" x14ac:dyDescent="0.25">
      <c r="A5488" s="1"/>
      <c r="B5488" s="2"/>
      <c r="AA5488" s="3"/>
      <c r="AD5488" s="3"/>
      <c r="AG5488" s="3"/>
      <c r="AJ5488" s="3"/>
    </row>
    <row r="5489" spans="1:36" x14ac:dyDescent="0.25">
      <c r="A5489" s="1"/>
      <c r="B5489" s="2"/>
      <c r="AA5489" s="3"/>
      <c r="AD5489" s="3"/>
      <c r="AG5489" s="3"/>
      <c r="AJ5489" s="3"/>
    </row>
    <row r="5490" spans="1:36" x14ac:dyDescent="0.25">
      <c r="A5490" s="1"/>
      <c r="B5490" s="2"/>
      <c r="AA5490" s="3"/>
      <c r="AD5490" s="3"/>
      <c r="AG5490" s="3"/>
      <c r="AJ5490" s="3"/>
    </row>
    <row r="5491" spans="1:36" x14ac:dyDescent="0.25">
      <c r="A5491" s="1"/>
      <c r="B5491" s="2"/>
      <c r="AA5491" s="3"/>
      <c r="AD5491" s="3"/>
      <c r="AG5491" s="3"/>
      <c r="AJ5491" s="3"/>
    </row>
    <row r="5492" spans="1:36" x14ac:dyDescent="0.25">
      <c r="A5492" s="1"/>
      <c r="B5492" s="2"/>
      <c r="AA5492" s="3"/>
      <c r="AD5492" s="3"/>
      <c r="AG5492" s="3"/>
      <c r="AJ5492" s="3"/>
    </row>
    <row r="5493" spans="1:36" x14ac:dyDescent="0.25">
      <c r="A5493" s="1"/>
      <c r="B5493" s="2"/>
      <c r="AA5493" s="3"/>
      <c r="AD5493" s="3"/>
      <c r="AG5493" s="3"/>
      <c r="AJ5493" s="3"/>
    </row>
    <row r="5494" spans="1:36" x14ac:dyDescent="0.25">
      <c r="A5494" s="1"/>
      <c r="B5494" s="2"/>
      <c r="AA5494" s="3"/>
      <c r="AD5494" s="3"/>
      <c r="AG5494" s="3"/>
      <c r="AJ5494" s="3"/>
    </row>
    <row r="5495" spans="1:36" x14ac:dyDescent="0.25">
      <c r="A5495" s="1"/>
      <c r="B5495" s="2"/>
      <c r="AA5495" s="3"/>
      <c r="AD5495" s="3"/>
      <c r="AG5495" s="3"/>
      <c r="AJ5495" s="3"/>
    </row>
    <row r="5496" spans="1:36" x14ac:dyDescent="0.25">
      <c r="A5496" s="1"/>
      <c r="B5496" s="2"/>
      <c r="AA5496" s="3"/>
      <c r="AD5496" s="3"/>
      <c r="AG5496" s="3"/>
      <c r="AJ5496" s="3"/>
    </row>
    <row r="5497" spans="1:36" x14ac:dyDescent="0.25">
      <c r="A5497" s="1"/>
      <c r="B5497" s="2"/>
      <c r="AA5497" s="3"/>
      <c r="AD5497" s="3"/>
      <c r="AG5497" s="3"/>
      <c r="AJ5497" s="3"/>
    </row>
    <row r="5498" spans="1:36" x14ac:dyDescent="0.25">
      <c r="A5498" s="1"/>
      <c r="B5498" s="2"/>
      <c r="AA5498" s="3"/>
      <c r="AD5498" s="3"/>
      <c r="AG5498" s="3"/>
      <c r="AJ5498" s="3"/>
    </row>
    <row r="5499" spans="1:36" x14ac:dyDescent="0.25">
      <c r="A5499" s="1"/>
      <c r="B5499" s="2"/>
      <c r="AA5499" s="3"/>
      <c r="AD5499" s="3"/>
      <c r="AG5499" s="3"/>
      <c r="AJ5499" s="3"/>
    </row>
    <row r="5500" spans="1:36" x14ac:dyDescent="0.25">
      <c r="A5500" s="1"/>
      <c r="B5500" s="2"/>
      <c r="AA5500" s="3"/>
      <c r="AD5500" s="3"/>
      <c r="AG5500" s="3"/>
      <c r="AJ5500" s="3"/>
    </row>
    <row r="5501" spans="1:36" x14ac:dyDescent="0.25">
      <c r="A5501" s="1"/>
      <c r="B5501" s="2"/>
      <c r="AA5501" s="3"/>
      <c r="AD5501" s="3"/>
      <c r="AG5501" s="3"/>
      <c r="AJ5501" s="3"/>
    </row>
    <row r="5502" spans="1:36" x14ac:dyDescent="0.25">
      <c r="A5502" s="1"/>
      <c r="B5502" s="2"/>
      <c r="AA5502" s="3"/>
      <c r="AD5502" s="3"/>
      <c r="AG5502" s="3"/>
      <c r="AJ5502" s="3"/>
    </row>
    <row r="5503" spans="1:36" x14ac:dyDescent="0.25">
      <c r="A5503" s="1"/>
      <c r="B5503" s="2"/>
      <c r="AA5503" s="3"/>
      <c r="AD5503" s="3"/>
      <c r="AG5503" s="3"/>
      <c r="AJ5503" s="3"/>
    </row>
    <row r="5504" spans="1:36" x14ac:dyDescent="0.25">
      <c r="A5504" s="1"/>
      <c r="B5504" s="2"/>
      <c r="AA5504" s="3"/>
      <c r="AD5504" s="3"/>
      <c r="AG5504" s="3"/>
      <c r="AJ5504" s="3"/>
    </row>
    <row r="5505" spans="1:36" x14ac:dyDescent="0.25">
      <c r="A5505" s="1"/>
      <c r="B5505" s="2"/>
      <c r="AA5505" s="3"/>
      <c r="AD5505" s="3"/>
      <c r="AG5505" s="3"/>
      <c r="AJ5505" s="3"/>
    </row>
    <row r="5506" spans="1:36" x14ac:dyDescent="0.25">
      <c r="A5506" s="1"/>
      <c r="B5506" s="2"/>
      <c r="AA5506" s="3"/>
      <c r="AD5506" s="3"/>
      <c r="AG5506" s="3"/>
      <c r="AJ5506" s="3"/>
    </row>
    <row r="5507" spans="1:36" x14ac:dyDescent="0.25">
      <c r="A5507" s="1"/>
      <c r="B5507" s="2"/>
      <c r="AA5507" s="3"/>
      <c r="AD5507" s="3"/>
      <c r="AG5507" s="3"/>
      <c r="AJ5507" s="3"/>
    </row>
    <row r="5508" spans="1:36" x14ac:dyDescent="0.25">
      <c r="A5508" s="1"/>
      <c r="B5508" s="2"/>
      <c r="AA5508" s="3"/>
      <c r="AD5508" s="3"/>
      <c r="AG5508" s="3"/>
      <c r="AJ5508" s="3"/>
    </row>
    <row r="5509" spans="1:36" x14ac:dyDescent="0.25">
      <c r="A5509" s="1"/>
      <c r="B5509" s="2"/>
      <c r="AA5509" s="3"/>
      <c r="AD5509" s="3"/>
      <c r="AG5509" s="3"/>
      <c r="AJ5509" s="3"/>
    </row>
    <row r="5510" spans="1:36" x14ac:dyDescent="0.25">
      <c r="A5510" s="1"/>
      <c r="B5510" s="2"/>
      <c r="AA5510" s="3"/>
      <c r="AD5510" s="3"/>
      <c r="AG5510" s="3"/>
      <c r="AJ5510" s="3"/>
    </row>
    <row r="5511" spans="1:36" x14ac:dyDescent="0.25">
      <c r="A5511" s="1"/>
      <c r="B5511" s="2"/>
      <c r="AA5511" s="3"/>
      <c r="AD5511" s="3"/>
      <c r="AG5511" s="3"/>
      <c r="AJ5511" s="3"/>
    </row>
    <row r="5512" spans="1:36" x14ac:dyDescent="0.25">
      <c r="A5512" s="1"/>
      <c r="B5512" s="2"/>
      <c r="AA5512" s="3"/>
      <c r="AD5512" s="3"/>
      <c r="AG5512" s="3"/>
      <c r="AJ5512" s="3"/>
    </row>
    <row r="5513" spans="1:36" x14ac:dyDescent="0.25">
      <c r="A5513" s="1"/>
      <c r="B5513" s="2"/>
      <c r="AA5513" s="3"/>
      <c r="AD5513" s="3"/>
      <c r="AG5513" s="3"/>
      <c r="AJ5513" s="3"/>
    </row>
    <row r="5514" spans="1:36" x14ac:dyDescent="0.25">
      <c r="A5514" s="1"/>
      <c r="B5514" s="2"/>
      <c r="AA5514" s="3"/>
      <c r="AD5514" s="3"/>
      <c r="AG5514" s="3"/>
      <c r="AJ5514" s="3"/>
    </row>
    <row r="5515" spans="1:36" x14ac:dyDescent="0.25">
      <c r="A5515" s="1"/>
      <c r="B5515" s="2"/>
      <c r="AA5515" s="3"/>
      <c r="AD5515" s="3"/>
      <c r="AG5515" s="3"/>
      <c r="AJ5515" s="3"/>
    </row>
    <row r="5516" spans="1:36" x14ac:dyDescent="0.25">
      <c r="A5516" s="1"/>
      <c r="B5516" s="2"/>
      <c r="AA5516" s="3"/>
      <c r="AD5516" s="3"/>
      <c r="AG5516" s="3"/>
      <c r="AJ5516" s="3"/>
    </row>
    <row r="5517" spans="1:36" x14ac:dyDescent="0.25">
      <c r="A5517" s="1"/>
      <c r="B5517" s="2"/>
      <c r="AA5517" s="3"/>
      <c r="AD5517" s="3"/>
      <c r="AG5517" s="3"/>
      <c r="AJ5517" s="3"/>
    </row>
    <row r="5518" spans="1:36" x14ac:dyDescent="0.25">
      <c r="A5518" s="1"/>
      <c r="B5518" s="2"/>
      <c r="AA5518" s="3"/>
      <c r="AD5518" s="3"/>
      <c r="AG5518" s="3"/>
      <c r="AJ5518" s="3"/>
    </row>
    <row r="5519" spans="1:36" x14ac:dyDescent="0.25">
      <c r="A5519" s="1"/>
      <c r="B5519" s="2"/>
      <c r="AA5519" s="3"/>
      <c r="AD5519" s="3"/>
      <c r="AG5519" s="3"/>
      <c r="AJ5519" s="3"/>
    </row>
    <row r="5520" spans="1:36" x14ac:dyDescent="0.25">
      <c r="A5520" s="1"/>
      <c r="B5520" s="2"/>
      <c r="AA5520" s="3"/>
      <c r="AD5520" s="3"/>
      <c r="AG5520" s="3"/>
      <c r="AJ5520" s="3"/>
    </row>
    <row r="5521" spans="1:36" x14ac:dyDescent="0.25">
      <c r="A5521" s="1"/>
      <c r="B5521" s="2"/>
      <c r="AA5521" s="3"/>
      <c r="AD5521" s="3"/>
      <c r="AG5521" s="3"/>
      <c r="AJ5521" s="3"/>
    </row>
    <row r="5522" spans="1:36" x14ac:dyDescent="0.25">
      <c r="A5522" s="1"/>
      <c r="B5522" s="2"/>
      <c r="AA5522" s="3"/>
      <c r="AD5522" s="3"/>
      <c r="AG5522" s="3"/>
      <c r="AJ5522" s="3"/>
    </row>
    <row r="5523" spans="1:36" x14ac:dyDescent="0.25">
      <c r="A5523" s="1"/>
      <c r="B5523" s="2"/>
      <c r="AA5523" s="3"/>
      <c r="AD5523" s="3"/>
      <c r="AG5523" s="3"/>
      <c r="AJ5523" s="3"/>
    </row>
    <row r="5524" spans="1:36" x14ac:dyDescent="0.25">
      <c r="A5524" s="1"/>
      <c r="B5524" s="2"/>
      <c r="AA5524" s="3"/>
      <c r="AD5524" s="3"/>
      <c r="AG5524" s="3"/>
      <c r="AJ5524" s="3"/>
    </row>
    <row r="5525" spans="1:36" x14ac:dyDescent="0.25">
      <c r="A5525" s="1"/>
      <c r="B5525" s="2"/>
      <c r="AA5525" s="3"/>
      <c r="AD5525" s="3"/>
      <c r="AG5525" s="3"/>
      <c r="AJ5525" s="3"/>
    </row>
    <row r="5526" spans="1:36" x14ac:dyDescent="0.25">
      <c r="A5526" s="1"/>
      <c r="B5526" s="2"/>
      <c r="AA5526" s="3"/>
      <c r="AD5526" s="3"/>
      <c r="AG5526" s="3"/>
      <c r="AJ5526" s="3"/>
    </row>
    <row r="5527" spans="1:36" x14ac:dyDescent="0.25">
      <c r="A5527" s="1"/>
      <c r="B5527" s="2"/>
      <c r="AA5527" s="3"/>
      <c r="AD5527" s="3"/>
      <c r="AG5527" s="3"/>
      <c r="AJ5527" s="3"/>
    </row>
    <row r="5528" spans="1:36" x14ac:dyDescent="0.25">
      <c r="A5528" s="1"/>
      <c r="B5528" s="2"/>
      <c r="AA5528" s="3"/>
      <c r="AD5528" s="3"/>
      <c r="AG5528" s="3"/>
      <c r="AJ5528" s="3"/>
    </row>
    <row r="5529" spans="1:36" x14ac:dyDescent="0.25">
      <c r="A5529" s="1"/>
      <c r="B5529" s="2"/>
      <c r="AA5529" s="3"/>
      <c r="AD5529" s="3"/>
      <c r="AG5529" s="3"/>
      <c r="AJ5529" s="3"/>
    </row>
    <row r="5530" spans="1:36" x14ac:dyDescent="0.25">
      <c r="A5530" s="1"/>
      <c r="B5530" s="2"/>
      <c r="AA5530" s="3"/>
      <c r="AD5530" s="3"/>
      <c r="AG5530" s="3"/>
      <c r="AJ5530" s="3"/>
    </row>
    <row r="5531" spans="1:36" x14ac:dyDescent="0.25">
      <c r="A5531" s="1"/>
      <c r="B5531" s="2"/>
      <c r="AA5531" s="3"/>
      <c r="AD5531" s="3"/>
      <c r="AG5531" s="3"/>
      <c r="AJ5531" s="3"/>
    </row>
    <row r="5532" spans="1:36" x14ac:dyDescent="0.25">
      <c r="A5532" s="1"/>
      <c r="B5532" s="2"/>
      <c r="AA5532" s="3"/>
      <c r="AD5532" s="3"/>
      <c r="AG5532" s="3"/>
      <c r="AJ5532" s="3"/>
    </row>
    <row r="5533" spans="1:36" x14ac:dyDescent="0.25">
      <c r="A5533" s="1"/>
      <c r="B5533" s="2"/>
      <c r="AA5533" s="3"/>
      <c r="AD5533" s="3"/>
      <c r="AG5533" s="3"/>
      <c r="AJ5533" s="3"/>
    </row>
    <row r="5534" spans="1:36" x14ac:dyDescent="0.25">
      <c r="A5534" s="1"/>
      <c r="B5534" s="2"/>
      <c r="AA5534" s="3"/>
      <c r="AD5534" s="3"/>
      <c r="AG5534" s="3"/>
      <c r="AJ5534" s="3"/>
    </row>
    <row r="5535" spans="1:36" x14ac:dyDescent="0.25">
      <c r="A5535" s="1"/>
      <c r="B5535" s="2"/>
      <c r="AA5535" s="3"/>
      <c r="AD5535" s="3"/>
      <c r="AG5535" s="3"/>
      <c r="AJ5535" s="3"/>
    </row>
    <row r="5536" spans="1:36" x14ac:dyDescent="0.25">
      <c r="A5536" s="1"/>
      <c r="B5536" s="2"/>
      <c r="AA5536" s="3"/>
      <c r="AD5536" s="3"/>
      <c r="AG5536" s="3"/>
      <c r="AJ5536" s="3"/>
    </row>
    <row r="5537" spans="1:36" x14ac:dyDescent="0.25">
      <c r="A5537" s="1"/>
      <c r="B5537" s="2"/>
      <c r="AA5537" s="3"/>
      <c r="AD5537" s="3"/>
      <c r="AG5537" s="3"/>
      <c r="AJ5537" s="3"/>
    </row>
    <row r="5538" spans="1:36" x14ac:dyDescent="0.25">
      <c r="A5538" s="1"/>
      <c r="B5538" s="2"/>
      <c r="AA5538" s="3"/>
      <c r="AD5538" s="3"/>
      <c r="AG5538" s="3"/>
      <c r="AJ5538" s="3"/>
    </row>
    <row r="5539" spans="1:36" x14ac:dyDescent="0.25">
      <c r="A5539" s="1"/>
      <c r="B5539" s="2"/>
      <c r="AA5539" s="3"/>
      <c r="AD5539" s="3"/>
      <c r="AG5539" s="3"/>
      <c r="AJ5539" s="3"/>
    </row>
    <row r="5540" spans="1:36" x14ac:dyDescent="0.25">
      <c r="A5540" s="1"/>
      <c r="B5540" s="2"/>
      <c r="AA5540" s="3"/>
      <c r="AD5540" s="3"/>
      <c r="AG5540" s="3"/>
      <c r="AJ5540" s="3"/>
    </row>
    <row r="5541" spans="1:36" x14ac:dyDescent="0.25">
      <c r="A5541" s="1"/>
      <c r="B5541" s="2"/>
      <c r="AA5541" s="3"/>
      <c r="AD5541" s="3"/>
      <c r="AG5541" s="3"/>
      <c r="AJ5541" s="3"/>
    </row>
    <row r="5542" spans="1:36" x14ac:dyDescent="0.25">
      <c r="A5542" s="1"/>
      <c r="B5542" s="2"/>
      <c r="AA5542" s="3"/>
      <c r="AD5542" s="3"/>
      <c r="AG5542" s="3"/>
      <c r="AJ5542" s="3"/>
    </row>
    <row r="5543" spans="1:36" x14ac:dyDescent="0.25">
      <c r="A5543" s="1"/>
      <c r="B5543" s="2"/>
      <c r="AA5543" s="3"/>
      <c r="AD5543" s="3"/>
      <c r="AG5543" s="3"/>
      <c r="AJ5543" s="3"/>
    </row>
    <row r="5544" spans="1:36" x14ac:dyDescent="0.25">
      <c r="A5544" s="1"/>
      <c r="B5544" s="2"/>
      <c r="AA5544" s="3"/>
      <c r="AD5544" s="3"/>
      <c r="AG5544" s="3"/>
      <c r="AJ5544" s="3"/>
    </row>
    <row r="5545" spans="1:36" x14ac:dyDescent="0.25">
      <c r="A5545" s="1"/>
      <c r="B5545" s="2"/>
      <c r="AA5545" s="3"/>
      <c r="AD5545" s="3"/>
      <c r="AG5545" s="3"/>
      <c r="AJ5545" s="3"/>
    </row>
    <row r="5546" spans="1:36" x14ac:dyDescent="0.25">
      <c r="A5546" s="1"/>
      <c r="B5546" s="2"/>
      <c r="AA5546" s="3"/>
      <c r="AD5546" s="3"/>
      <c r="AG5546" s="3"/>
      <c r="AJ5546" s="3"/>
    </row>
    <row r="5547" spans="1:36" x14ac:dyDescent="0.25">
      <c r="A5547" s="1"/>
      <c r="B5547" s="2"/>
      <c r="AA5547" s="3"/>
      <c r="AD5547" s="3"/>
      <c r="AG5547" s="3"/>
      <c r="AJ5547" s="3"/>
    </row>
    <row r="5548" spans="1:36" x14ac:dyDescent="0.25">
      <c r="A5548" s="1"/>
      <c r="B5548" s="2"/>
      <c r="AA5548" s="3"/>
      <c r="AD5548" s="3"/>
      <c r="AG5548" s="3"/>
      <c r="AJ5548" s="3"/>
    </row>
    <row r="5549" spans="1:36" x14ac:dyDescent="0.25">
      <c r="A5549" s="1"/>
      <c r="B5549" s="2"/>
      <c r="AA5549" s="3"/>
      <c r="AD5549" s="3"/>
      <c r="AG5549" s="3"/>
      <c r="AJ5549" s="3"/>
    </row>
    <row r="5550" spans="1:36" x14ac:dyDescent="0.25">
      <c r="A5550" s="1"/>
      <c r="B5550" s="2"/>
      <c r="AA5550" s="3"/>
      <c r="AD5550" s="3"/>
      <c r="AG5550" s="3"/>
      <c r="AJ5550" s="3"/>
    </row>
    <row r="5551" spans="1:36" x14ac:dyDescent="0.25">
      <c r="A5551" s="1"/>
      <c r="B5551" s="2"/>
      <c r="AA5551" s="3"/>
      <c r="AD5551" s="3"/>
      <c r="AG5551" s="3"/>
      <c r="AJ5551" s="3"/>
    </row>
    <row r="5552" spans="1:36" x14ac:dyDescent="0.25">
      <c r="A5552" s="1"/>
      <c r="B5552" s="2"/>
      <c r="AA5552" s="3"/>
      <c r="AD5552" s="3"/>
      <c r="AG5552" s="3"/>
      <c r="AJ5552" s="3"/>
    </row>
    <row r="5553" spans="1:36" x14ac:dyDescent="0.25">
      <c r="A5553" s="1"/>
      <c r="B5553" s="2"/>
      <c r="AA5553" s="3"/>
      <c r="AD5553" s="3"/>
      <c r="AG5553" s="3"/>
      <c r="AJ5553" s="3"/>
    </row>
    <row r="5554" spans="1:36" x14ac:dyDescent="0.25">
      <c r="A5554" s="1"/>
      <c r="B5554" s="2"/>
      <c r="AA5554" s="3"/>
      <c r="AD5554" s="3"/>
      <c r="AG5554" s="3"/>
      <c r="AJ5554" s="3"/>
    </row>
    <row r="5555" spans="1:36" x14ac:dyDescent="0.25">
      <c r="A5555" s="1"/>
      <c r="B5555" s="2"/>
      <c r="AA5555" s="3"/>
      <c r="AD5555" s="3"/>
      <c r="AG5555" s="3"/>
      <c r="AJ5555" s="3"/>
    </row>
    <row r="5556" spans="1:36" x14ac:dyDescent="0.25">
      <c r="A5556" s="1"/>
      <c r="B5556" s="2"/>
      <c r="AA5556" s="3"/>
      <c r="AD5556" s="3"/>
      <c r="AG5556" s="3"/>
      <c r="AJ5556" s="3"/>
    </row>
    <row r="5557" spans="1:36" x14ac:dyDescent="0.25">
      <c r="A5557" s="1"/>
      <c r="B5557" s="2"/>
      <c r="AA5557" s="3"/>
      <c r="AD5557" s="3"/>
      <c r="AG5557" s="3"/>
      <c r="AJ5557" s="3"/>
    </row>
    <row r="5558" spans="1:36" x14ac:dyDescent="0.25">
      <c r="A5558" s="1"/>
      <c r="B5558" s="2"/>
      <c r="AA5558" s="3"/>
      <c r="AD5558" s="3"/>
      <c r="AG5558" s="3"/>
      <c r="AJ5558" s="3"/>
    </row>
    <row r="5559" spans="1:36" x14ac:dyDescent="0.25">
      <c r="A5559" s="1"/>
      <c r="B5559" s="2"/>
      <c r="AA5559" s="3"/>
      <c r="AD5559" s="3"/>
      <c r="AG5559" s="3"/>
      <c r="AJ5559" s="3"/>
    </row>
    <row r="5560" spans="1:36" x14ac:dyDescent="0.25">
      <c r="A5560" s="1"/>
      <c r="B5560" s="2"/>
      <c r="AA5560" s="3"/>
      <c r="AD5560" s="3"/>
      <c r="AG5560" s="3"/>
      <c r="AJ5560" s="3"/>
    </row>
    <row r="5561" spans="1:36" x14ac:dyDescent="0.25">
      <c r="A5561" s="1"/>
      <c r="B5561" s="2"/>
      <c r="AA5561" s="3"/>
      <c r="AD5561" s="3"/>
      <c r="AG5561" s="3"/>
      <c r="AJ5561" s="3"/>
    </row>
    <row r="5562" spans="1:36" x14ac:dyDescent="0.25">
      <c r="A5562" s="1"/>
      <c r="B5562" s="2"/>
      <c r="AA5562" s="3"/>
      <c r="AD5562" s="3"/>
      <c r="AG5562" s="3"/>
      <c r="AJ5562" s="3"/>
    </row>
    <row r="5563" spans="1:36" x14ac:dyDescent="0.25">
      <c r="A5563" s="1"/>
      <c r="B5563" s="2"/>
      <c r="AA5563" s="3"/>
      <c r="AD5563" s="3"/>
      <c r="AG5563" s="3"/>
      <c r="AJ5563" s="3"/>
    </row>
    <row r="5564" spans="1:36" x14ac:dyDescent="0.25">
      <c r="A5564" s="1"/>
      <c r="B5564" s="2"/>
      <c r="AA5564" s="3"/>
      <c r="AD5564" s="3"/>
      <c r="AG5564" s="3"/>
      <c r="AJ5564" s="3"/>
    </row>
    <row r="5565" spans="1:36" x14ac:dyDescent="0.25">
      <c r="A5565" s="1"/>
      <c r="B5565" s="2"/>
      <c r="AA5565" s="3"/>
      <c r="AD5565" s="3"/>
      <c r="AG5565" s="3"/>
      <c r="AJ5565" s="3"/>
    </row>
    <row r="5566" spans="1:36" x14ac:dyDescent="0.25">
      <c r="A5566" s="1"/>
      <c r="B5566" s="2"/>
      <c r="AA5566" s="3"/>
      <c r="AD5566" s="3"/>
      <c r="AG5566" s="3"/>
      <c r="AJ5566" s="3"/>
    </row>
    <row r="5567" spans="1:36" x14ac:dyDescent="0.25">
      <c r="A5567" s="1"/>
      <c r="B5567" s="2"/>
      <c r="AA5567" s="3"/>
      <c r="AD5567" s="3"/>
      <c r="AG5567" s="3"/>
      <c r="AJ5567" s="3"/>
    </row>
    <row r="5568" spans="1:36" x14ac:dyDescent="0.25">
      <c r="A5568" s="1"/>
      <c r="B5568" s="2"/>
      <c r="AA5568" s="3"/>
      <c r="AD5568" s="3"/>
      <c r="AG5568" s="3"/>
      <c r="AJ5568" s="3"/>
    </row>
    <row r="5569" spans="1:36" x14ac:dyDescent="0.25">
      <c r="A5569" s="1"/>
      <c r="B5569" s="2"/>
      <c r="AA5569" s="3"/>
      <c r="AD5569" s="3"/>
      <c r="AG5569" s="3"/>
      <c r="AJ5569" s="3"/>
    </row>
    <row r="5570" spans="1:36" x14ac:dyDescent="0.25">
      <c r="A5570" s="1"/>
      <c r="B5570" s="2"/>
      <c r="AA5570" s="3"/>
      <c r="AD5570" s="3"/>
      <c r="AG5570" s="3"/>
      <c r="AJ5570" s="3"/>
    </row>
    <row r="5571" spans="1:36" x14ac:dyDescent="0.25">
      <c r="A5571" s="1"/>
      <c r="B5571" s="2"/>
      <c r="AA5571" s="3"/>
      <c r="AD5571" s="3"/>
      <c r="AG5571" s="3"/>
      <c r="AJ5571" s="3"/>
    </row>
    <row r="5572" spans="1:36" x14ac:dyDescent="0.25">
      <c r="A5572" s="1"/>
      <c r="B5572" s="2"/>
      <c r="AA5572" s="3"/>
      <c r="AD5572" s="3"/>
      <c r="AG5572" s="3"/>
      <c r="AJ5572" s="3"/>
    </row>
    <row r="5573" spans="1:36" x14ac:dyDescent="0.25">
      <c r="A5573" s="1"/>
      <c r="B5573" s="2"/>
      <c r="AA5573" s="3"/>
      <c r="AD5573" s="3"/>
      <c r="AG5573" s="3"/>
      <c r="AJ5573" s="3"/>
    </row>
    <row r="5574" spans="1:36" x14ac:dyDescent="0.25">
      <c r="A5574" s="1"/>
      <c r="B5574" s="2"/>
      <c r="AA5574" s="3"/>
      <c r="AD5574" s="3"/>
      <c r="AG5574" s="3"/>
      <c r="AJ5574" s="3"/>
    </row>
    <row r="5575" spans="1:36" x14ac:dyDescent="0.25">
      <c r="A5575" s="1"/>
      <c r="B5575" s="2"/>
      <c r="AA5575" s="3"/>
      <c r="AD5575" s="3"/>
      <c r="AG5575" s="3"/>
      <c r="AJ5575" s="3"/>
    </row>
    <row r="5576" spans="1:36" x14ac:dyDescent="0.25">
      <c r="A5576" s="1"/>
      <c r="B5576" s="2"/>
      <c r="AA5576" s="3"/>
      <c r="AD5576" s="3"/>
      <c r="AG5576" s="3"/>
      <c r="AJ5576" s="3"/>
    </row>
    <row r="5577" spans="1:36" x14ac:dyDescent="0.25">
      <c r="A5577" s="1"/>
      <c r="B5577" s="2"/>
      <c r="AA5577" s="3"/>
      <c r="AD5577" s="3"/>
      <c r="AG5577" s="3"/>
      <c r="AJ5577" s="3"/>
    </row>
    <row r="5578" spans="1:36" x14ac:dyDescent="0.25">
      <c r="A5578" s="1"/>
      <c r="B5578" s="2"/>
      <c r="AA5578" s="3"/>
      <c r="AD5578" s="3"/>
      <c r="AG5578" s="3"/>
      <c r="AJ5578" s="3"/>
    </row>
    <row r="5579" spans="1:36" x14ac:dyDescent="0.25">
      <c r="A5579" s="1"/>
      <c r="B5579" s="2"/>
      <c r="AA5579" s="3"/>
      <c r="AD5579" s="3"/>
      <c r="AG5579" s="3"/>
      <c r="AJ5579" s="3"/>
    </row>
    <row r="5580" spans="1:36" x14ac:dyDescent="0.25">
      <c r="A5580" s="1"/>
      <c r="B5580" s="2"/>
      <c r="AA5580" s="3"/>
      <c r="AD5580" s="3"/>
      <c r="AG5580" s="3"/>
      <c r="AJ5580" s="3"/>
    </row>
    <row r="5581" spans="1:36" x14ac:dyDescent="0.25">
      <c r="A5581" s="1"/>
      <c r="B5581" s="2"/>
      <c r="AA5581" s="3"/>
      <c r="AD5581" s="3"/>
      <c r="AG5581" s="3"/>
      <c r="AJ5581" s="3"/>
    </row>
    <row r="5582" spans="1:36" x14ac:dyDescent="0.25">
      <c r="A5582" s="1"/>
      <c r="B5582" s="2"/>
      <c r="AA5582" s="3"/>
      <c r="AD5582" s="3"/>
      <c r="AG5582" s="3"/>
      <c r="AJ5582" s="3"/>
    </row>
    <row r="5583" spans="1:36" x14ac:dyDescent="0.25">
      <c r="A5583" s="1"/>
      <c r="B5583" s="2"/>
      <c r="AA5583" s="3"/>
      <c r="AD5583" s="3"/>
      <c r="AG5583" s="3"/>
      <c r="AJ5583" s="3"/>
    </row>
    <row r="5584" spans="1:36" x14ac:dyDescent="0.25">
      <c r="A5584" s="1"/>
      <c r="B5584" s="2"/>
      <c r="AA5584" s="3"/>
      <c r="AD5584" s="3"/>
      <c r="AG5584" s="3"/>
      <c r="AJ5584" s="3"/>
    </row>
    <row r="5585" spans="1:36" x14ac:dyDescent="0.25">
      <c r="A5585" s="1"/>
      <c r="B5585" s="2"/>
      <c r="AA5585" s="3"/>
      <c r="AD5585" s="3"/>
      <c r="AG5585" s="3"/>
      <c r="AJ5585" s="3"/>
    </row>
    <row r="5586" spans="1:36" x14ac:dyDescent="0.25">
      <c r="A5586" s="1"/>
      <c r="B5586" s="2"/>
      <c r="AA5586" s="3"/>
      <c r="AD5586" s="3"/>
      <c r="AG5586" s="3"/>
      <c r="AJ5586" s="3"/>
    </row>
    <row r="5587" spans="1:36" x14ac:dyDescent="0.25">
      <c r="A5587" s="1"/>
      <c r="B5587" s="2"/>
      <c r="AA5587" s="3"/>
      <c r="AD5587" s="3"/>
      <c r="AG5587" s="3"/>
      <c r="AJ5587" s="3"/>
    </row>
    <row r="5588" spans="1:36" x14ac:dyDescent="0.25">
      <c r="A5588" s="1"/>
      <c r="B5588" s="2"/>
      <c r="AA5588" s="3"/>
      <c r="AD5588" s="3"/>
      <c r="AG5588" s="3"/>
      <c r="AJ5588" s="3"/>
    </row>
    <row r="5589" spans="1:36" x14ac:dyDescent="0.25">
      <c r="A5589" s="1"/>
      <c r="B5589" s="2"/>
      <c r="AA5589" s="3"/>
      <c r="AD5589" s="3"/>
      <c r="AG5589" s="3"/>
      <c r="AJ5589" s="3"/>
    </row>
    <row r="5590" spans="1:36" x14ac:dyDescent="0.25">
      <c r="A5590" s="1"/>
      <c r="B5590" s="2"/>
      <c r="AA5590" s="3"/>
      <c r="AD5590" s="3"/>
      <c r="AG5590" s="3"/>
      <c r="AJ5590" s="3"/>
    </row>
    <row r="5591" spans="1:36" x14ac:dyDescent="0.25">
      <c r="A5591" s="1"/>
      <c r="B5591" s="2"/>
      <c r="AA5591" s="3"/>
      <c r="AD5591" s="3"/>
      <c r="AG5591" s="3"/>
      <c r="AJ5591" s="3"/>
    </row>
    <row r="5592" spans="1:36" x14ac:dyDescent="0.25">
      <c r="A5592" s="1"/>
      <c r="B5592" s="2"/>
      <c r="AA5592" s="3"/>
      <c r="AD5592" s="3"/>
      <c r="AG5592" s="3"/>
      <c r="AJ5592" s="3"/>
    </row>
    <row r="5593" spans="1:36" x14ac:dyDescent="0.25">
      <c r="A5593" s="1"/>
      <c r="B5593" s="2"/>
      <c r="AA5593" s="3"/>
      <c r="AD5593" s="3"/>
      <c r="AG5593" s="3"/>
      <c r="AJ5593" s="3"/>
    </row>
    <row r="5594" spans="1:36" x14ac:dyDescent="0.25">
      <c r="A5594" s="1"/>
      <c r="B5594" s="2"/>
      <c r="AA5594" s="3"/>
      <c r="AD5594" s="3"/>
      <c r="AG5594" s="3"/>
      <c r="AJ5594" s="3"/>
    </row>
    <row r="5595" spans="1:36" x14ac:dyDescent="0.25">
      <c r="A5595" s="1"/>
      <c r="B5595" s="2"/>
      <c r="AA5595" s="3"/>
      <c r="AD5595" s="3"/>
      <c r="AG5595" s="3"/>
      <c r="AJ5595" s="3"/>
    </row>
    <row r="5596" spans="1:36" x14ac:dyDescent="0.25">
      <c r="A5596" s="1"/>
      <c r="B5596" s="2"/>
      <c r="AA5596" s="3"/>
      <c r="AD5596" s="3"/>
      <c r="AG5596" s="3"/>
      <c r="AJ5596" s="3"/>
    </row>
    <row r="5597" spans="1:36" x14ac:dyDescent="0.25">
      <c r="A5597" s="1"/>
      <c r="B5597" s="2"/>
      <c r="AA5597" s="3"/>
      <c r="AD5597" s="3"/>
      <c r="AG5597" s="3"/>
      <c r="AJ5597" s="3"/>
    </row>
    <row r="5598" spans="1:36" x14ac:dyDescent="0.25">
      <c r="A5598" s="1"/>
      <c r="B5598" s="2"/>
      <c r="AA5598" s="3"/>
      <c r="AD5598" s="3"/>
      <c r="AG5598" s="3"/>
      <c r="AJ5598" s="3"/>
    </row>
    <row r="5599" spans="1:36" x14ac:dyDescent="0.25">
      <c r="A5599" s="1"/>
      <c r="B5599" s="2"/>
      <c r="AA5599" s="3"/>
      <c r="AD5599" s="3"/>
      <c r="AG5599" s="3"/>
      <c r="AJ5599" s="3"/>
    </row>
    <row r="5600" spans="1:36" x14ac:dyDescent="0.25">
      <c r="A5600" s="1"/>
      <c r="B5600" s="2"/>
      <c r="AA5600" s="3"/>
      <c r="AD5600" s="3"/>
      <c r="AG5600" s="3"/>
      <c r="AJ5600" s="3"/>
    </row>
    <row r="5601" spans="1:36" x14ac:dyDescent="0.25">
      <c r="A5601" s="1"/>
      <c r="B5601" s="2"/>
      <c r="AA5601" s="3"/>
      <c r="AD5601" s="3"/>
      <c r="AG5601" s="3"/>
      <c r="AJ5601" s="3"/>
    </row>
    <row r="5602" spans="1:36" x14ac:dyDescent="0.25">
      <c r="A5602" s="1"/>
      <c r="B5602" s="2"/>
      <c r="AA5602" s="3"/>
      <c r="AD5602" s="3"/>
      <c r="AG5602" s="3"/>
      <c r="AJ5602" s="3"/>
    </row>
    <row r="5603" spans="1:36" x14ac:dyDescent="0.25">
      <c r="A5603" s="1"/>
      <c r="B5603" s="2"/>
      <c r="AA5603" s="3"/>
      <c r="AD5603" s="3"/>
      <c r="AG5603" s="3"/>
      <c r="AJ5603" s="3"/>
    </row>
    <row r="5604" spans="1:36" x14ac:dyDescent="0.25">
      <c r="A5604" s="1"/>
      <c r="B5604" s="2"/>
      <c r="AA5604" s="3"/>
      <c r="AD5604" s="3"/>
      <c r="AG5604" s="3"/>
      <c r="AJ5604" s="3"/>
    </row>
    <row r="5605" spans="1:36" x14ac:dyDescent="0.25">
      <c r="A5605" s="1"/>
      <c r="B5605" s="2"/>
      <c r="AA5605" s="3"/>
      <c r="AD5605" s="3"/>
      <c r="AG5605" s="3"/>
      <c r="AJ5605" s="3"/>
    </row>
    <row r="5606" spans="1:36" x14ac:dyDescent="0.25">
      <c r="A5606" s="1"/>
      <c r="B5606" s="2"/>
      <c r="AA5606" s="3"/>
      <c r="AD5606" s="3"/>
      <c r="AG5606" s="3"/>
      <c r="AJ5606" s="3"/>
    </row>
    <row r="5607" spans="1:36" x14ac:dyDescent="0.25">
      <c r="A5607" s="1"/>
      <c r="B5607" s="2"/>
      <c r="AA5607" s="3"/>
      <c r="AD5607" s="3"/>
      <c r="AG5607" s="3"/>
      <c r="AJ5607" s="3"/>
    </row>
    <row r="5608" spans="1:36" x14ac:dyDescent="0.25">
      <c r="A5608" s="1"/>
      <c r="B5608" s="2"/>
      <c r="AA5608" s="3"/>
      <c r="AD5608" s="3"/>
      <c r="AG5608" s="3"/>
      <c r="AJ5608" s="3"/>
    </row>
    <row r="5609" spans="1:36" x14ac:dyDescent="0.25">
      <c r="A5609" s="1"/>
      <c r="B5609" s="2"/>
      <c r="AA5609" s="3"/>
      <c r="AD5609" s="3"/>
      <c r="AG5609" s="3"/>
      <c r="AJ5609" s="3"/>
    </row>
    <row r="5610" spans="1:36" x14ac:dyDescent="0.25">
      <c r="A5610" s="1"/>
      <c r="B5610" s="2"/>
      <c r="AA5610" s="3"/>
      <c r="AD5610" s="3"/>
      <c r="AG5610" s="3"/>
      <c r="AJ5610" s="3"/>
    </row>
    <row r="5611" spans="1:36" x14ac:dyDescent="0.25">
      <c r="A5611" s="1"/>
      <c r="B5611" s="2"/>
      <c r="AA5611" s="3"/>
      <c r="AD5611" s="3"/>
      <c r="AG5611" s="3"/>
      <c r="AJ5611" s="3"/>
    </row>
    <row r="5612" spans="1:36" x14ac:dyDescent="0.25">
      <c r="A5612" s="1"/>
      <c r="B5612" s="2"/>
      <c r="AA5612" s="3"/>
      <c r="AD5612" s="3"/>
      <c r="AG5612" s="3"/>
      <c r="AJ5612" s="3"/>
    </row>
    <row r="5613" spans="1:36" x14ac:dyDescent="0.25">
      <c r="A5613" s="1"/>
      <c r="B5613" s="2"/>
      <c r="AA5613" s="3"/>
      <c r="AD5613" s="3"/>
      <c r="AG5613" s="3"/>
      <c r="AJ5613" s="3"/>
    </row>
    <row r="5614" spans="1:36" x14ac:dyDescent="0.25">
      <c r="A5614" s="1"/>
      <c r="B5614" s="2"/>
      <c r="AA5614" s="3"/>
      <c r="AD5614" s="3"/>
      <c r="AG5614" s="3"/>
      <c r="AJ5614" s="3"/>
    </row>
    <row r="5615" spans="1:36" x14ac:dyDescent="0.25">
      <c r="A5615" s="1"/>
      <c r="B5615" s="2"/>
      <c r="AA5615" s="3"/>
      <c r="AD5615" s="3"/>
      <c r="AG5615" s="3"/>
      <c r="AJ5615" s="3"/>
    </row>
    <row r="5616" spans="1:36" x14ac:dyDescent="0.25">
      <c r="A5616" s="1"/>
      <c r="B5616" s="2"/>
      <c r="AA5616" s="3"/>
      <c r="AD5616" s="3"/>
      <c r="AG5616" s="3"/>
      <c r="AJ5616" s="3"/>
    </row>
    <row r="5617" spans="1:36" x14ac:dyDescent="0.25">
      <c r="A5617" s="1"/>
      <c r="B5617" s="2"/>
      <c r="AA5617" s="3"/>
      <c r="AD5617" s="3"/>
      <c r="AG5617" s="3"/>
      <c r="AJ5617" s="3"/>
    </row>
    <row r="5618" spans="1:36" x14ac:dyDescent="0.25">
      <c r="A5618" s="1"/>
      <c r="B5618" s="2"/>
      <c r="AA5618" s="3"/>
      <c r="AD5618" s="3"/>
      <c r="AG5618" s="3"/>
      <c r="AJ5618" s="3"/>
    </row>
    <row r="5619" spans="1:36" x14ac:dyDescent="0.25">
      <c r="A5619" s="1"/>
      <c r="B5619" s="2"/>
      <c r="AA5619" s="3"/>
      <c r="AD5619" s="3"/>
      <c r="AG5619" s="3"/>
      <c r="AJ5619" s="3"/>
    </row>
    <row r="5620" spans="1:36" x14ac:dyDescent="0.25">
      <c r="A5620" s="1"/>
      <c r="B5620" s="2"/>
      <c r="AA5620" s="3"/>
      <c r="AD5620" s="3"/>
      <c r="AG5620" s="3"/>
      <c r="AJ5620" s="3"/>
    </row>
    <row r="5621" spans="1:36" x14ac:dyDescent="0.25">
      <c r="A5621" s="1"/>
      <c r="B5621" s="2"/>
      <c r="AA5621" s="3"/>
      <c r="AD5621" s="3"/>
      <c r="AG5621" s="3"/>
      <c r="AJ5621" s="3"/>
    </row>
    <row r="5622" spans="1:36" x14ac:dyDescent="0.25">
      <c r="A5622" s="1"/>
      <c r="B5622" s="2"/>
      <c r="AA5622" s="3"/>
      <c r="AD5622" s="3"/>
      <c r="AG5622" s="3"/>
      <c r="AJ5622" s="3"/>
    </row>
    <row r="5623" spans="1:36" x14ac:dyDescent="0.25">
      <c r="A5623" s="1"/>
      <c r="B5623" s="2"/>
      <c r="AA5623" s="3"/>
      <c r="AD5623" s="3"/>
      <c r="AG5623" s="3"/>
      <c r="AJ5623" s="3"/>
    </row>
    <row r="5624" spans="1:36" x14ac:dyDescent="0.25">
      <c r="A5624" s="1"/>
      <c r="B5624" s="2"/>
      <c r="AA5624" s="3"/>
      <c r="AD5624" s="3"/>
      <c r="AG5624" s="3"/>
      <c r="AJ5624" s="3"/>
    </row>
    <row r="5625" spans="1:36" x14ac:dyDescent="0.25">
      <c r="A5625" s="1"/>
      <c r="B5625" s="2"/>
      <c r="AA5625" s="3"/>
      <c r="AD5625" s="3"/>
      <c r="AG5625" s="3"/>
      <c r="AJ5625" s="3"/>
    </row>
    <row r="5626" spans="1:36" x14ac:dyDescent="0.25">
      <c r="A5626" s="1"/>
      <c r="B5626" s="2"/>
      <c r="AA5626" s="3"/>
      <c r="AD5626" s="3"/>
      <c r="AG5626" s="3"/>
      <c r="AJ5626" s="3"/>
    </row>
    <row r="5627" spans="1:36" x14ac:dyDescent="0.25">
      <c r="A5627" s="1"/>
      <c r="B5627" s="2"/>
      <c r="AA5627" s="3"/>
      <c r="AD5627" s="3"/>
      <c r="AG5627" s="3"/>
      <c r="AJ5627" s="3"/>
    </row>
    <row r="5628" spans="1:36" x14ac:dyDescent="0.25">
      <c r="A5628" s="1"/>
      <c r="B5628" s="2"/>
      <c r="AA5628" s="3"/>
      <c r="AD5628" s="3"/>
      <c r="AG5628" s="3"/>
      <c r="AJ5628" s="3"/>
    </row>
    <row r="5629" spans="1:36" x14ac:dyDescent="0.25">
      <c r="A5629" s="1"/>
      <c r="B5629" s="2"/>
      <c r="AA5629" s="3"/>
      <c r="AD5629" s="3"/>
      <c r="AG5629" s="3"/>
      <c r="AJ5629" s="3"/>
    </row>
    <row r="5630" spans="1:36" x14ac:dyDescent="0.25">
      <c r="A5630" s="1"/>
      <c r="B5630" s="2"/>
      <c r="AA5630" s="3"/>
      <c r="AD5630" s="3"/>
      <c r="AG5630" s="3"/>
      <c r="AJ5630" s="3"/>
    </row>
    <row r="5631" spans="1:36" x14ac:dyDescent="0.25">
      <c r="A5631" s="1"/>
      <c r="B5631" s="2"/>
      <c r="AA5631" s="3"/>
      <c r="AD5631" s="3"/>
      <c r="AG5631" s="3"/>
      <c r="AJ5631" s="3"/>
    </row>
    <row r="5632" spans="1:36" x14ac:dyDescent="0.25">
      <c r="A5632" s="1"/>
      <c r="B5632" s="2"/>
      <c r="AA5632" s="3"/>
      <c r="AD5632" s="3"/>
      <c r="AG5632" s="3"/>
      <c r="AJ5632" s="3"/>
    </row>
    <row r="5633" spans="1:36" x14ac:dyDescent="0.25">
      <c r="A5633" s="1"/>
      <c r="B5633" s="2"/>
      <c r="AA5633" s="3"/>
      <c r="AD5633" s="3"/>
      <c r="AG5633" s="3"/>
      <c r="AJ5633" s="3"/>
    </row>
    <row r="5634" spans="1:36" x14ac:dyDescent="0.25">
      <c r="A5634" s="1"/>
      <c r="B5634" s="2"/>
      <c r="AA5634" s="3"/>
      <c r="AD5634" s="3"/>
      <c r="AG5634" s="3"/>
      <c r="AJ5634" s="3"/>
    </row>
    <row r="5635" spans="1:36" x14ac:dyDescent="0.25">
      <c r="A5635" s="1"/>
      <c r="B5635" s="2"/>
      <c r="AA5635" s="3"/>
      <c r="AD5635" s="3"/>
      <c r="AG5635" s="3"/>
      <c r="AJ5635" s="3"/>
    </row>
    <row r="5636" spans="1:36" x14ac:dyDescent="0.25">
      <c r="A5636" s="1"/>
      <c r="B5636" s="2"/>
      <c r="AA5636" s="3"/>
      <c r="AD5636" s="3"/>
      <c r="AG5636" s="3"/>
      <c r="AJ5636" s="3"/>
    </row>
    <row r="5637" spans="1:36" x14ac:dyDescent="0.25">
      <c r="A5637" s="1"/>
      <c r="B5637" s="2"/>
      <c r="AA5637" s="3"/>
      <c r="AD5637" s="3"/>
      <c r="AG5637" s="3"/>
      <c r="AJ5637" s="3"/>
    </row>
    <row r="5638" spans="1:36" x14ac:dyDescent="0.25">
      <c r="A5638" s="1"/>
      <c r="B5638" s="2"/>
      <c r="AA5638" s="3"/>
      <c r="AD5638" s="3"/>
      <c r="AG5638" s="3"/>
      <c r="AJ5638" s="3"/>
    </row>
    <row r="5639" spans="1:36" x14ac:dyDescent="0.25">
      <c r="A5639" s="1"/>
      <c r="B5639" s="2"/>
      <c r="AA5639" s="3"/>
      <c r="AD5639" s="3"/>
      <c r="AG5639" s="3"/>
      <c r="AJ5639" s="3"/>
    </row>
    <row r="5640" spans="1:36" x14ac:dyDescent="0.25">
      <c r="A5640" s="1"/>
      <c r="B5640" s="2"/>
      <c r="AA5640" s="3"/>
      <c r="AD5640" s="3"/>
      <c r="AG5640" s="3"/>
      <c r="AJ5640" s="3"/>
    </row>
    <row r="5641" spans="1:36" x14ac:dyDescent="0.25">
      <c r="A5641" s="1"/>
      <c r="B5641" s="2"/>
      <c r="AA5641" s="3"/>
      <c r="AD5641" s="3"/>
      <c r="AG5641" s="3"/>
      <c r="AJ5641" s="3"/>
    </row>
    <row r="5642" spans="1:36" x14ac:dyDescent="0.25">
      <c r="A5642" s="1"/>
      <c r="B5642" s="2"/>
      <c r="AA5642" s="3"/>
      <c r="AD5642" s="3"/>
      <c r="AG5642" s="3"/>
      <c r="AJ5642" s="3"/>
    </row>
    <row r="5643" spans="1:36" x14ac:dyDescent="0.25">
      <c r="A5643" s="1"/>
      <c r="B5643" s="2"/>
      <c r="AA5643" s="3"/>
      <c r="AD5643" s="3"/>
      <c r="AG5643" s="3"/>
      <c r="AJ5643" s="3"/>
    </row>
    <row r="5644" spans="1:36" x14ac:dyDescent="0.25">
      <c r="A5644" s="1"/>
      <c r="B5644" s="2"/>
      <c r="AA5644" s="3"/>
      <c r="AD5644" s="3"/>
      <c r="AG5644" s="3"/>
      <c r="AJ5644" s="3"/>
    </row>
    <row r="5645" spans="1:36" x14ac:dyDescent="0.25">
      <c r="A5645" s="1"/>
      <c r="B5645" s="2"/>
      <c r="AA5645" s="3"/>
      <c r="AD5645" s="3"/>
      <c r="AG5645" s="3"/>
      <c r="AJ5645" s="3"/>
    </row>
    <row r="5646" spans="1:36" x14ac:dyDescent="0.25">
      <c r="A5646" s="1"/>
      <c r="B5646" s="2"/>
      <c r="AA5646" s="3"/>
      <c r="AD5646" s="3"/>
      <c r="AG5646" s="3"/>
      <c r="AJ5646" s="3"/>
    </row>
    <row r="5647" spans="1:36" x14ac:dyDescent="0.25">
      <c r="A5647" s="1"/>
      <c r="B5647" s="2"/>
      <c r="AA5647" s="3"/>
      <c r="AD5647" s="3"/>
      <c r="AG5647" s="3"/>
      <c r="AJ5647" s="3"/>
    </row>
    <row r="5648" spans="1:36" x14ac:dyDescent="0.25">
      <c r="A5648" s="1"/>
      <c r="B5648" s="2"/>
      <c r="AA5648" s="3"/>
      <c r="AD5648" s="3"/>
      <c r="AG5648" s="3"/>
      <c r="AJ5648" s="3"/>
    </row>
    <row r="5649" spans="1:36" x14ac:dyDescent="0.25">
      <c r="A5649" s="1"/>
      <c r="B5649" s="2"/>
      <c r="AA5649" s="3"/>
      <c r="AD5649" s="3"/>
      <c r="AG5649" s="3"/>
      <c r="AJ5649" s="3"/>
    </row>
    <row r="5650" spans="1:36" x14ac:dyDescent="0.25">
      <c r="A5650" s="1"/>
      <c r="B5650" s="2"/>
      <c r="AA5650" s="3"/>
      <c r="AD5650" s="3"/>
      <c r="AG5650" s="3"/>
      <c r="AJ5650" s="3"/>
    </row>
    <row r="5651" spans="1:36" x14ac:dyDescent="0.25">
      <c r="A5651" s="1"/>
      <c r="B5651" s="2"/>
      <c r="AA5651" s="3"/>
      <c r="AD5651" s="3"/>
      <c r="AG5651" s="3"/>
      <c r="AJ5651" s="3"/>
    </row>
    <row r="5652" spans="1:36" x14ac:dyDescent="0.25">
      <c r="A5652" s="1"/>
      <c r="B5652" s="2"/>
      <c r="AA5652" s="3"/>
      <c r="AD5652" s="3"/>
      <c r="AG5652" s="3"/>
      <c r="AJ5652" s="3"/>
    </row>
    <row r="5653" spans="1:36" x14ac:dyDescent="0.25">
      <c r="A5653" s="1"/>
      <c r="B5653" s="2"/>
      <c r="AA5653" s="3"/>
      <c r="AD5653" s="3"/>
      <c r="AG5653" s="3"/>
      <c r="AJ5653" s="3"/>
    </row>
    <row r="5654" spans="1:36" x14ac:dyDescent="0.25">
      <c r="A5654" s="1"/>
      <c r="B5654" s="2"/>
      <c r="AA5654" s="3"/>
      <c r="AD5654" s="3"/>
      <c r="AG5654" s="3"/>
      <c r="AJ5654" s="3"/>
    </row>
    <row r="5655" spans="1:36" x14ac:dyDescent="0.25">
      <c r="A5655" s="1"/>
      <c r="B5655" s="2"/>
      <c r="AA5655" s="3"/>
      <c r="AD5655" s="3"/>
      <c r="AG5655" s="3"/>
      <c r="AJ5655" s="3"/>
    </row>
    <row r="5656" spans="1:36" x14ac:dyDescent="0.25">
      <c r="A5656" s="1"/>
      <c r="B5656" s="2"/>
      <c r="AA5656" s="3"/>
      <c r="AD5656" s="3"/>
      <c r="AG5656" s="3"/>
      <c r="AJ5656" s="3"/>
    </row>
    <row r="5657" spans="1:36" x14ac:dyDescent="0.25">
      <c r="A5657" s="1"/>
      <c r="B5657" s="2"/>
      <c r="AA5657" s="3"/>
      <c r="AD5657" s="3"/>
      <c r="AG5657" s="3"/>
      <c r="AJ5657" s="3"/>
    </row>
    <row r="5658" spans="1:36" x14ac:dyDescent="0.25">
      <c r="A5658" s="1"/>
      <c r="B5658" s="2"/>
      <c r="AA5658" s="3"/>
      <c r="AD5658" s="3"/>
      <c r="AG5658" s="3"/>
      <c r="AJ5658" s="3"/>
    </row>
    <row r="5659" spans="1:36" x14ac:dyDescent="0.25">
      <c r="A5659" s="1"/>
      <c r="B5659" s="2"/>
      <c r="AA5659" s="3"/>
      <c r="AD5659" s="3"/>
      <c r="AG5659" s="3"/>
      <c r="AJ5659" s="3"/>
    </row>
    <row r="5660" spans="1:36" x14ac:dyDescent="0.25">
      <c r="A5660" s="1"/>
      <c r="B5660" s="2"/>
      <c r="AA5660" s="3"/>
      <c r="AD5660" s="3"/>
      <c r="AG5660" s="3"/>
      <c r="AJ5660" s="3"/>
    </row>
    <row r="5661" spans="1:36" x14ac:dyDescent="0.25">
      <c r="A5661" s="1"/>
      <c r="B5661" s="2"/>
      <c r="AA5661" s="3"/>
      <c r="AD5661" s="3"/>
      <c r="AG5661" s="3"/>
      <c r="AJ5661" s="3"/>
    </row>
    <row r="5662" spans="1:36" x14ac:dyDescent="0.25">
      <c r="A5662" s="1"/>
      <c r="B5662" s="2"/>
      <c r="AA5662" s="3"/>
      <c r="AD5662" s="3"/>
      <c r="AG5662" s="3"/>
      <c r="AJ5662" s="3"/>
    </row>
    <row r="5663" spans="1:36" x14ac:dyDescent="0.25">
      <c r="A5663" s="1"/>
      <c r="B5663" s="2"/>
      <c r="AA5663" s="3"/>
      <c r="AD5663" s="3"/>
      <c r="AG5663" s="3"/>
      <c r="AJ5663" s="3"/>
    </row>
    <row r="5664" spans="1:36" x14ac:dyDescent="0.25">
      <c r="A5664" s="1"/>
      <c r="B5664" s="2"/>
      <c r="AA5664" s="3"/>
      <c r="AD5664" s="3"/>
      <c r="AG5664" s="3"/>
      <c r="AJ5664" s="3"/>
    </row>
    <row r="5665" spans="1:36" x14ac:dyDescent="0.25">
      <c r="A5665" s="1"/>
      <c r="B5665" s="2"/>
      <c r="AA5665" s="3"/>
      <c r="AD5665" s="3"/>
      <c r="AG5665" s="3"/>
      <c r="AJ5665" s="3"/>
    </row>
    <row r="5666" spans="1:36" x14ac:dyDescent="0.25">
      <c r="A5666" s="1"/>
      <c r="B5666" s="2"/>
      <c r="AA5666" s="3"/>
      <c r="AD5666" s="3"/>
      <c r="AG5666" s="3"/>
      <c r="AJ5666" s="3"/>
    </row>
    <row r="5667" spans="1:36" x14ac:dyDescent="0.25">
      <c r="A5667" s="1"/>
      <c r="B5667" s="2"/>
      <c r="AA5667" s="3"/>
      <c r="AD5667" s="3"/>
      <c r="AG5667" s="3"/>
      <c r="AJ5667" s="3"/>
    </row>
    <row r="5668" spans="1:36" x14ac:dyDescent="0.25">
      <c r="A5668" s="1"/>
      <c r="B5668" s="2"/>
      <c r="AA5668" s="3"/>
      <c r="AD5668" s="3"/>
      <c r="AG5668" s="3"/>
      <c r="AJ5668" s="3"/>
    </row>
    <row r="5669" spans="1:36" x14ac:dyDescent="0.25">
      <c r="A5669" s="1"/>
      <c r="B5669" s="2"/>
      <c r="AA5669" s="3"/>
      <c r="AD5669" s="3"/>
      <c r="AG5669" s="3"/>
      <c r="AJ5669" s="3"/>
    </row>
    <row r="5670" spans="1:36" x14ac:dyDescent="0.25">
      <c r="A5670" s="1"/>
      <c r="B5670" s="2"/>
      <c r="AA5670" s="3"/>
      <c r="AD5670" s="3"/>
      <c r="AG5670" s="3"/>
      <c r="AJ5670" s="3"/>
    </row>
    <row r="5671" spans="1:36" x14ac:dyDescent="0.25">
      <c r="A5671" s="1"/>
      <c r="B5671" s="2"/>
      <c r="AA5671" s="3"/>
      <c r="AD5671" s="3"/>
      <c r="AG5671" s="3"/>
      <c r="AJ5671" s="3"/>
    </row>
    <row r="5672" spans="1:36" x14ac:dyDescent="0.25">
      <c r="A5672" s="1"/>
      <c r="B5672" s="2"/>
      <c r="AA5672" s="3"/>
      <c r="AD5672" s="3"/>
      <c r="AG5672" s="3"/>
      <c r="AJ5672" s="3"/>
    </row>
    <row r="5673" spans="1:36" x14ac:dyDescent="0.25">
      <c r="A5673" s="1"/>
      <c r="B5673" s="2"/>
      <c r="AA5673" s="3"/>
      <c r="AD5673" s="3"/>
      <c r="AG5673" s="3"/>
      <c r="AJ5673" s="3"/>
    </row>
    <row r="5674" spans="1:36" x14ac:dyDescent="0.25">
      <c r="A5674" s="1"/>
      <c r="B5674" s="2"/>
      <c r="AA5674" s="3"/>
      <c r="AD5674" s="3"/>
      <c r="AG5674" s="3"/>
      <c r="AJ5674" s="3"/>
    </row>
    <row r="5675" spans="1:36" x14ac:dyDescent="0.25">
      <c r="A5675" s="1"/>
      <c r="B5675" s="2"/>
      <c r="AA5675" s="3"/>
      <c r="AD5675" s="3"/>
      <c r="AG5675" s="3"/>
      <c r="AJ5675" s="3"/>
    </row>
    <row r="5676" spans="1:36" x14ac:dyDescent="0.25">
      <c r="A5676" s="1"/>
      <c r="B5676" s="2"/>
      <c r="AA5676" s="3"/>
      <c r="AD5676" s="3"/>
      <c r="AG5676" s="3"/>
      <c r="AJ5676" s="3"/>
    </row>
    <row r="5677" spans="1:36" x14ac:dyDescent="0.25">
      <c r="A5677" s="1"/>
      <c r="B5677" s="2"/>
      <c r="AA5677" s="3"/>
      <c r="AD5677" s="3"/>
      <c r="AG5677" s="3"/>
      <c r="AJ5677" s="3"/>
    </row>
    <row r="5678" spans="1:36" x14ac:dyDescent="0.25">
      <c r="A5678" s="1"/>
      <c r="B5678" s="2"/>
      <c r="AA5678" s="3"/>
      <c r="AD5678" s="3"/>
      <c r="AG5678" s="3"/>
      <c r="AJ5678" s="3"/>
    </row>
    <row r="5679" spans="1:36" x14ac:dyDescent="0.25">
      <c r="A5679" s="1"/>
      <c r="B5679" s="2"/>
      <c r="AA5679" s="3"/>
      <c r="AD5679" s="3"/>
      <c r="AG5679" s="3"/>
      <c r="AJ5679" s="3"/>
    </row>
    <row r="5680" spans="1:36" x14ac:dyDescent="0.25">
      <c r="A5680" s="1"/>
      <c r="B5680" s="2"/>
      <c r="AA5680" s="3"/>
      <c r="AD5680" s="3"/>
      <c r="AG5680" s="3"/>
      <c r="AJ5680" s="3"/>
    </row>
    <row r="5681" spans="1:36" x14ac:dyDescent="0.25">
      <c r="A5681" s="1"/>
      <c r="B5681" s="2"/>
      <c r="AA5681" s="3"/>
      <c r="AD5681" s="3"/>
      <c r="AG5681" s="3"/>
      <c r="AJ5681" s="3"/>
    </row>
    <row r="5682" spans="1:36" x14ac:dyDescent="0.25">
      <c r="A5682" s="1"/>
      <c r="B5682" s="2"/>
      <c r="AA5682" s="3"/>
      <c r="AD5682" s="3"/>
      <c r="AG5682" s="3"/>
      <c r="AJ5682" s="3"/>
    </row>
    <row r="5683" spans="1:36" x14ac:dyDescent="0.25">
      <c r="A5683" s="1"/>
      <c r="B5683" s="2"/>
      <c r="AA5683" s="3"/>
      <c r="AD5683" s="3"/>
      <c r="AG5683" s="3"/>
      <c r="AJ5683" s="3"/>
    </row>
    <row r="5684" spans="1:36" x14ac:dyDescent="0.25">
      <c r="A5684" s="1"/>
      <c r="B5684" s="2"/>
      <c r="AA5684" s="3"/>
      <c r="AD5684" s="3"/>
      <c r="AG5684" s="3"/>
      <c r="AJ5684" s="3"/>
    </row>
    <row r="5685" spans="1:36" x14ac:dyDescent="0.25">
      <c r="A5685" s="1"/>
      <c r="B5685" s="2"/>
      <c r="AA5685" s="3"/>
      <c r="AD5685" s="3"/>
      <c r="AG5685" s="3"/>
      <c r="AJ5685" s="3"/>
    </row>
    <row r="5686" spans="1:36" x14ac:dyDescent="0.25">
      <c r="A5686" s="1"/>
      <c r="B5686" s="2"/>
      <c r="AA5686" s="3"/>
      <c r="AD5686" s="3"/>
      <c r="AG5686" s="3"/>
      <c r="AJ5686" s="3"/>
    </row>
    <row r="5687" spans="1:36" x14ac:dyDescent="0.25">
      <c r="A5687" s="1"/>
      <c r="B5687" s="2"/>
      <c r="AA5687" s="3"/>
      <c r="AD5687" s="3"/>
      <c r="AG5687" s="3"/>
      <c r="AJ5687" s="3"/>
    </row>
    <row r="5688" spans="1:36" x14ac:dyDescent="0.25">
      <c r="A5688" s="1"/>
      <c r="B5688" s="2"/>
      <c r="AA5688" s="3"/>
      <c r="AD5688" s="3"/>
      <c r="AG5688" s="3"/>
      <c r="AJ5688" s="3"/>
    </row>
    <row r="5689" spans="1:36" x14ac:dyDescent="0.25">
      <c r="A5689" s="1"/>
      <c r="B5689" s="2"/>
      <c r="AA5689" s="3"/>
      <c r="AD5689" s="3"/>
      <c r="AG5689" s="3"/>
      <c r="AJ5689" s="3"/>
    </row>
    <row r="5690" spans="1:36" x14ac:dyDescent="0.25">
      <c r="A5690" s="1"/>
      <c r="B5690" s="2"/>
      <c r="AA5690" s="3"/>
      <c r="AD5690" s="3"/>
      <c r="AG5690" s="3"/>
      <c r="AJ5690" s="3"/>
    </row>
    <row r="5691" spans="1:36" x14ac:dyDescent="0.25">
      <c r="A5691" s="1"/>
      <c r="B5691" s="2"/>
      <c r="AA5691" s="3"/>
      <c r="AD5691" s="3"/>
      <c r="AG5691" s="3"/>
      <c r="AJ5691" s="3"/>
    </row>
    <row r="5692" spans="1:36" x14ac:dyDescent="0.25">
      <c r="A5692" s="1"/>
      <c r="B5692" s="2"/>
      <c r="AA5692" s="3"/>
      <c r="AD5692" s="3"/>
      <c r="AG5692" s="3"/>
      <c r="AJ5692" s="3"/>
    </row>
    <row r="5693" spans="1:36" x14ac:dyDescent="0.25">
      <c r="A5693" s="1"/>
      <c r="B5693" s="2"/>
      <c r="AA5693" s="3"/>
      <c r="AD5693" s="3"/>
      <c r="AG5693" s="3"/>
      <c r="AJ5693" s="3"/>
    </row>
    <row r="5694" spans="1:36" x14ac:dyDescent="0.25">
      <c r="A5694" s="1"/>
      <c r="B5694" s="2"/>
      <c r="AA5694" s="3"/>
      <c r="AD5694" s="3"/>
      <c r="AG5694" s="3"/>
      <c r="AJ5694" s="3"/>
    </row>
    <row r="5695" spans="1:36" x14ac:dyDescent="0.25">
      <c r="A5695" s="1"/>
      <c r="B5695" s="2"/>
      <c r="AA5695" s="3"/>
      <c r="AD5695" s="3"/>
      <c r="AG5695" s="3"/>
      <c r="AJ5695" s="3"/>
    </row>
    <row r="5696" spans="1:36" x14ac:dyDescent="0.25">
      <c r="A5696" s="1"/>
      <c r="B5696" s="2"/>
      <c r="AA5696" s="3"/>
      <c r="AD5696" s="3"/>
      <c r="AG5696" s="3"/>
      <c r="AJ5696" s="3"/>
    </row>
    <row r="5697" spans="1:36" x14ac:dyDescent="0.25">
      <c r="A5697" s="1"/>
      <c r="B5697" s="2"/>
      <c r="AA5697" s="3"/>
      <c r="AD5697" s="3"/>
      <c r="AG5697" s="3"/>
      <c r="AJ5697" s="3"/>
    </row>
    <row r="5698" spans="1:36" x14ac:dyDescent="0.25">
      <c r="A5698" s="1"/>
      <c r="B5698" s="2"/>
      <c r="AA5698" s="3"/>
      <c r="AD5698" s="3"/>
      <c r="AG5698" s="3"/>
      <c r="AJ5698" s="3"/>
    </row>
    <row r="5699" spans="1:36" x14ac:dyDescent="0.25">
      <c r="A5699" s="1"/>
      <c r="B5699" s="2"/>
      <c r="AA5699" s="3"/>
      <c r="AD5699" s="3"/>
      <c r="AG5699" s="3"/>
      <c r="AJ5699" s="3"/>
    </row>
    <row r="5700" spans="1:36" x14ac:dyDescent="0.25">
      <c r="A5700" s="1"/>
      <c r="B5700" s="2"/>
      <c r="AA5700" s="3"/>
      <c r="AD5700" s="3"/>
      <c r="AG5700" s="3"/>
      <c r="AJ5700" s="3"/>
    </row>
    <row r="5701" spans="1:36" x14ac:dyDescent="0.25">
      <c r="A5701" s="1"/>
      <c r="B5701" s="2"/>
      <c r="AA5701" s="3"/>
      <c r="AD5701" s="3"/>
      <c r="AG5701" s="3"/>
      <c r="AJ5701" s="3"/>
    </row>
    <row r="5702" spans="1:36" x14ac:dyDescent="0.25">
      <c r="A5702" s="1"/>
      <c r="B5702" s="2"/>
      <c r="AA5702" s="3"/>
      <c r="AD5702" s="3"/>
      <c r="AG5702" s="3"/>
      <c r="AJ5702" s="3"/>
    </row>
    <row r="5703" spans="1:36" x14ac:dyDescent="0.25">
      <c r="A5703" s="1"/>
      <c r="B5703" s="2"/>
      <c r="AA5703" s="3"/>
      <c r="AD5703" s="3"/>
      <c r="AG5703" s="3"/>
      <c r="AJ5703" s="3"/>
    </row>
    <row r="5704" spans="1:36" x14ac:dyDescent="0.25">
      <c r="A5704" s="1"/>
      <c r="B5704" s="2"/>
      <c r="AA5704" s="3"/>
      <c r="AD5704" s="3"/>
      <c r="AG5704" s="3"/>
      <c r="AJ5704" s="3"/>
    </row>
    <row r="5705" spans="1:36" x14ac:dyDescent="0.25">
      <c r="A5705" s="1"/>
      <c r="B5705" s="2"/>
      <c r="AA5705" s="3"/>
      <c r="AD5705" s="3"/>
      <c r="AG5705" s="3"/>
      <c r="AJ5705" s="3"/>
    </row>
    <row r="5706" spans="1:36" x14ac:dyDescent="0.25">
      <c r="A5706" s="1"/>
      <c r="B5706" s="2"/>
      <c r="AA5706" s="3"/>
      <c r="AD5706" s="3"/>
      <c r="AG5706" s="3"/>
      <c r="AJ5706" s="3"/>
    </row>
    <row r="5707" spans="1:36" x14ac:dyDescent="0.25">
      <c r="A5707" s="1"/>
      <c r="B5707" s="2"/>
      <c r="AA5707" s="3"/>
      <c r="AD5707" s="3"/>
      <c r="AG5707" s="3"/>
      <c r="AJ5707" s="3"/>
    </row>
    <row r="5708" spans="1:36" x14ac:dyDescent="0.25">
      <c r="A5708" s="1"/>
      <c r="B5708" s="2"/>
      <c r="AA5708" s="3"/>
      <c r="AD5708" s="3"/>
      <c r="AG5708" s="3"/>
      <c r="AJ5708" s="3"/>
    </row>
    <row r="5709" spans="1:36" x14ac:dyDescent="0.25">
      <c r="A5709" s="1"/>
      <c r="B5709" s="2"/>
      <c r="AA5709" s="3"/>
      <c r="AD5709" s="3"/>
      <c r="AG5709" s="3"/>
      <c r="AJ5709" s="3"/>
    </row>
    <row r="5710" spans="1:36" x14ac:dyDescent="0.25">
      <c r="A5710" s="1"/>
      <c r="B5710" s="2"/>
      <c r="AA5710" s="3"/>
      <c r="AD5710" s="3"/>
      <c r="AG5710" s="3"/>
      <c r="AJ5710" s="3"/>
    </row>
    <row r="5711" spans="1:36" x14ac:dyDescent="0.25">
      <c r="A5711" s="1"/>
      <c r="B5711" s="2"/>
      <c r="AA5711" s="3"/>
      <c r="AD5711" s="3"/>
      <c r="AG5711" s="3"/>
      <c r="AJ5711" s="3"/>
    </row>
    <row r="5712" spans="1:36" x14ac:dyDescent="0.25">
      <c r="A5712" s="1"/>
      <c r="B5712" s="2"/>
      <c r="AA5712" s="3"/>
      <c r="AD5712" s="3"/>
      <c r="AG5712" s="3"/>
      <c r="AJ5712" s="3"/>
    </row>
    <row r="5713" spans="1:36" x14ac:dyDescent="0.25">
      <c r="A5713" s="1"/>
      <c r="B5713" s="2"/>
      <c r="AA5713" s="3"/>
      <c r="AD5713" s="3"/>
      <c r="AG5713" s="3"/>
      <c r="AJ5713" s="3"/>
    </row>
    <row r="5714" spans="1:36" x14ac:dyDescent="0.25">
      <c r="A5714" s="1"/>
      <c r="B5714" s="2"/>
      <c r="AA5714" s="3"/>
      <c r="AD5714" s="3"/>
      <c r="AG5714" s="3"/>
      <c r="AJ5714" s="3"/>
    </row>
    <row r="5715" spans="1:36" x14ac:dyDescent="0.25">
      <c r="A5715" s="1"/>
      <c r="B5715" s="2"/>
      <c r="AA5715" s="3"/>
      <c r="AD5715" s="3"/>
      <c r="AG5715" s="3"/>
      <c r="AJ5715" s="3"/>
    </row>
    <row r="5716" spans="1:36" x14ac:dyDescent="0.25">
      <c r="A5716" s="1"/>
      <c r="B5716" s="2"/>
      <c r="AA5716" s="3"/>
      <c r="AD5716" s="3"/>
      <c r="AG5716" s="3"/>
      <c r="AJ5716" s="3"/>
    </row>
    <row r="5717" spans="1:36" x14ac:dyDescent="0.25">
      <c r="A5717" s="1"/>
      <c r="B5717" s="2"/>
      <c r="AA5717" s="3"/>
      <c r="AD5717" s="3"/>
      <c r="AG5717" s="3"/>
      <c r="AJ5717" s="3"/>
    </row>
    <row r="5718" spans="1:36" x14ac:dyDescent="0.25">
      <c r="A5718" s="1"/>
      <c r="B5718" s="2"/>
      <c r="AA5718" s="3"/>
      <c r="AD5718" s="3"/>
      <c r="AG5718" s="3"/>
      <c r="AJ5718" s="3"/>
    </row>
    <row r="5719" spans="1:36" x14ac:dyDescent="0.25">
      <c r="A5719" s="1"/>
      <c r="B5719" s="2"/>
      <c r="AA5719" s="3"/>
      <c r="AD5719" s="3"/>
      <c r="AG5719" s="3"/>
      <c r="AJ5719" s="3"/>
    </row>
    <row r="5720" spans="1:36" x14ac:dyDescent="0.25">
      <c r="A5720" s="1"/>
      <c r="B5720" s="2"/>
      <c r="AA5720" s="3"/>
      <c r="AD5720" s="3"/>
      <c r="AG5720" s="3"/>
      <c r="AJ5720" s="3"/>
    </row>
    <row r="5721" spans="1:36" x14ac:dyDescent="0.25">
      <c r="A5721" s="1"/>
      <c r="B5721" s="2"/>
      <c r="AA5721" s="3"/>
      <c r="AD5721" s="3"/>
      <c r="AG5721" s="3"/>
      <c r="AJ5721" s="3"/>
    </row>
    <row r="5722" spans="1:36" x14ac:dyDescent="0.25">
      <c r="A5722" s="1"/>
      <c r="B5722" s="2"/>
      <c r="AA5722" s="3"/>
      <c r="AD5722" s="3"/>
      <c r="AG5722" s="3"/>
      <c r="AJ5722" s="3"/>
    </row>
    <row r="5723" spans="1:36" x14ac:dyDescent="0.25">
      <c r="A5723" s="1"/>
      <c r="B5723" s="2"/>
      <c r="AA5723" s="3"/>
      <c r="AD5723" s="3"/>
      <c r="AG5723" s="3"/>
      <c r="AJ5723" s="3"/>
    </row>
    <row r="5724" spans="1:36" x14ac:dyDescent="0.25">
      <c r="A5724" s="1"/>
      <c r="B5724" s="2"/>
      <c r="AA5724" s="3"/>
      <c r="AD5724" s="3"/>
      <c r="AG5724" s="3"/>
      <c r="AJ5724" s="3"/>
    </row>
    <row r="5725" spans="1:36" x14ac:dyDescent="0.25">
      <c r="A5725" s="1"/>
      <c r="B5725" s="2"/>
      <c r="AA5725" s="3"/>
      <c r="AD5725" s="3"/>
      <c r="AG5725" s="3"/>
      <c r="AJ5725" s="3"/>
    </row>
    <row r="5726" spans="1:36" x14ac:dyDescent="0.25">
      <c r="A5726" s="1"/>
      <c r="B5726" s="2"/>
      <c r="AA5726" s="3"/>
      <c r="AD5726" s="3"/>
      <c r="AG5726" s="3"/>
      <c r="AJ5726" s="3"/>
    </row>
    <row r="5727" spans="1:36" x14ac:dyDescent="0.25">
      <c r="A5727" s="1"/>
      <c r="B5727" s="2"/>
      <c r="AA5727" s="3"/>
      <c r="AD5727" s="3"/>
      <c r="AG5727" s="3"/>
      <c r="AJ5727" s="3"/>
    </row>
    <row r="5728" spans="1:36" x14ac:dyDescent="0.25">
      <c r="A5728" s="1"/>
      <c r="B5728" s="2"/>
      <c r="AA5728" s="3"/>
      <c r="AD5728" s="3"/>
      <c r="AG5728" s="3"/>
      <c r="AJ5728" s="3"/>
    </row>
    <row r="5729" spans="1:36" x14ac:dyDescent="0.25">
      <c r="A5729" s="1"/>
      <c r="B5729" s="2"/>
      <c r="AA5729" s="3"/>
      <c r="AD5729" s="3"/>
      <c r="AG5729" s="3"/>
      <c r="AJ5729" s="3"/>
    </row>
    <row r="5730" spans="1:36" x14ac:dyDescent="0.25">
      <c r="A5730" s="1"/>
      <c r="B5730" s="2"/>
      <c r="AA5730" s="3"/>
      <c r="AD5730" s="3"/>
      <c r="AG5730" s="3"/>
      <c r="AJ5730" s="3"/>
    </row>
    <row r="5731" spans="1:36" x14ac:dyDescent="0.25">
      <c r="A5731" s="1"/>
      <c r="B5731" s="2"/>
      <c r="AA5731" s="3"/>
      <c r="AD5731" s="3"/>
      <c r="AG5731" s="3"/>
      <c r="AJ5731" s="3"/>
    </row>
    <row r="5732" spans="1:36" x14ac:dyDescent="0.25">
      <c r="A5732" s="1"/>
      <c r="B5732" s="2"/>
      <c r="AA5732" s="3"/>
      <c r="AD5732" s="3"/>
      <c r="AG5732" s="3"/>
      <c r="AJ5732" s="3"/>
    </row>
    <row r="5733" spans="1:36" x14ac:dyDescent="0.25">
      <c r="A5733" s="1"/>
      <c r="B5733" s="2"/>
      <c r="AA5733" s="3"/>
      <c r="AD5733" s="3"/>
      <c r="AG5733" s="3"/>
      <c r="AJ5733" s="3"/>
    </row>
    <row r="5734" spans="1:36" x14ac:dyDescent="0.25">
      <c r="A5734" s="1"/>
      <c r="B5734" s="2"/>
      <c r="AA5734" s="3"/>
      <c r="AD5734" s="3"/>
      <c r="AG5734" s="3"/>
      <c r="AJ5734" s="3"/>
    </row>
    <row r="5735" spans="1:36" x14ac:dyDescent="0.25">
      <c r="A5735" s="1"/>
      <c r="B5735" s="2"/>
      <c r="AA5735" s="3"/>
      <c r="AD5735" s="3"/>
      <c r="AG5735" s="3"/>
      <c r="AJ5735" s="3"/>
    </row>
    <row r="5736" spans="1:36" x14ac:dyDescent="0.25">
      <c r="A5736" s="1"/>
      <c r="B5736" s="2"/>
      <c r="AA5736" s="3"/>
      <c r="AD5736" s="3"/>
      <c r="AG5736" s="3"/>
      <c r="AJ5736" s="3"/>
    </row>
    <row r="5737" spans="1:36" x14ac:dyDescent="0.25">
      <c r="A5737" s="1"/>
      <c r="B5737" s="2"/>
      <c r="AA5737" s="3"/>
      <c r="AD5737" s="3"/>
      <c r="AG5737" s="3"/>
      <c r="AJ5737" s="3"/>
    </row>
    <row r="5738" spans="1:36" x14ac:dyDescent="0.25">
      <c r="A5738" s="1"/>
      <c r="B5738" s="2"/>
      <c r="AA5738" s="3"/>
      <c r="AD5738" s="3"/>
      <c r="AG5738" s="3"/>
      <c r="AJ5738" s="3"/>
    </row>
    <row r="5739" spans="1:36" x14ac:dyDescent="0.25">
      <c r="A5739" s="1"/>
      <c r="B5739" s="2"/>
      <c r="AA5739" s="3"/>
      <c r="AD5739" s="3"/>
      <c r="AG5739" s="3"/>
      <c r="AJ5739" s="3"/>
    </row>
    <row r="5740" spans="1:36" x14ac:dyDescent="0.25">
      <c r="A5740" s="1"/>
      <c r="B5740" s="2"/>
      <c r="AA5740" s="3"/>
      <c r="AD5740" s="3"/>
      <c r="AG5740" s="3"/>
      <c r="AJ5740" s="3"/>
    </row>
    <row r="5741" spans="1:36" x14ac:dyDescent="0.25">
      <c r="A5741" s="1"/>
      <c r="B5741" s="2"/>
      <c r="AA5741" s="3"/>
      <c r="AD5741" s="3"/>
      <c r="AG5741" s="3"/>
      <c r="AJ5741" s="3"/>
    </row>
    <row r="5742" spans="1:36" x14ac:dyDescent="0.25">
      <c r="A5742" s="1"/>
      <c r="B5742" s="2"/>
      <c r="AA5742" s="3"/>
      <c r="AD5742" s="3"/>
      <c r="AG5742" s="3"/>
      <c r="AJ5742" s="3"/>
    </row>
    <row r="5743" spans="1:36" x14ac:dyDescent="0.25">
      <c r="A5743" s="1"/>
      <c r="B5743" s="2"/>
      <c r="AA5743" s="3"/>
      <c r="AD5743" s="3"/>
      <c r="AG5743" s="3"/>
      <c r="AJ5743" s="3"/>
    </row>
    <row r="5744" spans="1:36" x14ac:dyDescent="0.25">
      <c r="A5744" s="1"/>
      <c r="B5744" s="2"/>
      <c r="AA5744" s="3"/>
      <c r="AD5744" s="3"/>
      <c r="AG5744" s="3"/>
      <c r="AJ5744" s="3"/>
    </row>
    <row r="5745" spans="1:36" x14ac:dyDescent="0.25">
      <c r="A5745" s="1"/>
      <c r="B5745" s="2"/>
      <c r="AA5745" s="3"/>
      <c r="AD5745" s="3"/>
      <c r="AG5745" s="3"/>
      <c r="AJ5745" s="3"/>
    </row>
    <row r="5746" spans="1:36" x14ac:dyDescent="0.25">
      <c r="A5746" s="1"/>
      <c r="B5746" s="2"/>
      <c r="AA5746" s="3"/>
      <c r="AD5746" s="3"/>
      <c r="AG5746" s="3"/>
      <c r="AJ5746" s="3"/>
    </row>
    <row r="5747" spans="1:36" x14ac:dyDescent="0.25">
      <c r="A5747" s="1"/>
      <c r="B5747" s="2"/>
      <c r="AA5747" s="3"/>
      <c r="AD5747" s="3"/>
      <c r="AG5747" s="3"/>
      <c r="AJ5747" s="3"/>
    </row>
    <row r="5748" spans="1:36" x14ac:dyDescent="0.25">
      <c r="A5748" s="1"/>
      <c r="B5748" s="2"/>
      <c r="AA5748" s="3"/>
      <c r="AD5748" s="3"/>
      <c r="AG5748" s="3"/>
      <c r="AJ5748" s="3"/>
    </row>
    <row r="5749" spans="1:36" x14ac:dyDescent="0.25">
      <c r="A5749" s="1"/>
      <c r="B5749" s="2"/>
      <c r="AA5749" s="3"/>
      <c r="AD5749" s="3"/>
      <c r="AG5749" s="3"/>
      <c r="AJ5749" s="3"/>
    </row>
    <row r="5750" spans="1:36" x14ac:dyDescent="0.25">
      <c r="A5750" s="1"/>
      <c r="B5750" s="2"/>
      <c r="AA5750" s="3"/>
      <c r="AD5750" s="3"/>
      <c r="AG5750" s="3"/>
      <c r="AJ5750" s="3"/>
    </row>
    <row r="5751" spans="1:36" x14ac:dyDescent="0.25">
      <c r="A5751" s="1"/>
      <c r="B5751" s="2"/>
      <c r="AA5751" s="3"/>
      <c r="AD5751" s="3"/>
      <c r="AG5751" s="3"/>
      <c r="AJ5751" s="3"/>
    </row>
    <row r="5752" spans="1:36" x14ac:dyDescent="0.25">
      <c r="A5752" s="1"/>
      <c r="B5752" s="2"/>
      <c r="AA5752" s="3"/>
      <c r="AD5752" s="3"/>
      <c r="AG5752" s="3"/>
      <c r="AJ5752" s="3"/>
    </row>
    <row r="5753" spans="1:36" x14ac:dyDescent="0.25">
      <c r="A5753" s="1"/>
      <c r="B5753" s="2"/>
      <c r="AA5753" s="3"/>
      <c r="AD5753" s="3"/>
      <c r="AG5753" s="3"/>
      <c r="AJ5753" s="3"/>
    </row>
    <row r="5754" spans="1:36" x14ac:dyDescent="0.25">
      <c r="A5754" s="1"/>
      <c r="B5754" s="2"/>
      <c r="AA5754" s="3"/>
      <c r="AD5754" s="3"/>
      <c r="AG5754" s="3"/>
      <c r="AJ5754" s="3"/>
    </row>
    <row r="5755" spans="1:36" x14ac:dyDescent="0.25">
      <c r="A5755" s="1"/>
      <c r="B5755" s="2"/>
      <c r="AA5755" s="3"/>
      <c r="AD5755" s="3"/>
      <c r="AG5755" s="3"/>
      <c r="AJ5755" s="3"/>
    </row>
    <row r="5756" spans="1:36" x14ac:dyDescent="0.25">
      <c r="A5756" s="1"/>
      <c r="B5756" s="2"/>
      <c r="AA5756" s="3"/>
      <c r="AD5756" s="3"/>
      <c r="AG5756" s="3"/>
      <c r="AJ5756" s="3"/>
    </row>
    <row r="5757" spans="1:36" x14ac:dyDescent="0.25">
      <c r="A5757" s="1"/>
      <c r="B5757" s="2"/>
      <c r="AA5757" s="3"/>
      <c r="AD5757" s="3"/>
      <c r="AG5757" s="3"/>
      <c r="AJ5757" s="3"/>
    </row>
    <row r="5758" spans="1:36" x14ac:dyDescent="0.25">
      <c r="A5758" s="1"/>
      <c r="B5758" s="2"/>
      <c r="AA5758" s="3"/>
      <c r="AD5758" s="3"/>
      <c r="AG5758" s="3"/>
      <c r="AJ5758" s="3"/>
    </row>
    <row r="5759" spans="1:36" x14ac:dyDescent="0.25">
      <c r="A5759" s="1"/>
      <c r="B5759" s="2"/>
      <c r="AA5759" s="3"/>
      <c r="AD5759" s="3"/>
      <c r="AG5759" s="3"/>
      <c r="AJ5759" s="3"/>
    </row>
    <row r="5760" spans="1:36" x14ac:dyDescent="0.25">
      <c r="A5760" s="1"/>
      <c r="B5760" s="2"/>
      <c r="AA5760" s="3"/>
      <c r="AD5760" s="3"/>
      <c r="AG5760" s="3"/>
      <c r="AJ5760" s="3"/>
    </row>
    <row r="5761" spans="1:36" x14ac:dyDescent="0.25">
      <c r="A5761" s="1"/>
      <c r="B5761" s="2"/>
      <c r="AA5761" s="3"/>
      <c r="AD5761" s="3"/>
      <c r="AG5761" s="3"/>
      <c r="AJ5761" s="3"/>
    </row>
    <row r="5762" spans="1:36" x14ac:dyDescent="0.25">
      <c r="A5762" s="1"/>
      <c r="B5762" s="2"/>
      <c r="AA5762" s="3"/>
      <c r="AD5762" s="3"/>
      <c r="AG5762" s="3"/>
      <c r="AJ5762" s="3"/>
    </row>
    <row r="5763" spans="1:36" x14ac:dyDescent="0.25">
      <c r="A5763" s="1"/>
      <c r="B5763" s="2"/>
      <c r="AA5763" s="3"/>
      <c r="AD5763" s="3"/>
      <c r="AG5763" s="3"/>
      <c r="AJ5763" s="3"/>
    </row>
    <row r="5764" spans="1:36" x14ac:dyDescent="0.25">
      <c r="A5764" s="1"/>
      <c r="B5764" s="2"/>
      <c r="AA5764" s="3"/>
      <c r="AD5764" s="3"/>
      <c r="AG5764" s="3"/>
      <c r="AJ5764" s="3"/>
    </row>
    <row r="5765" spans="1:36" x14ac:dyDescent="0.25">
      <c r="A5765" s="1"/>
      <c r="B5765" s="2"/>
      <c r="AA5765" s="3"/>
      <c r="AD5765" s="3"/>
      <c r="AG5765" s="3"/>
      <c r="AJ5765" s="3"/>
    </row>
    <row r="5766" spans="1:36" x14ac:dyDescent="0.25">
      <c r="A5766" s="1"/>
      <c r="B5766" s="2"/>
      <c r="AA5766" s="3"/>
      <c r="AD5766" s="3"/>
      <c r="AG5766" s="3"/>
      <c r="AJ5766" s="3"/>
    </row>
    <row r="5767" spans="1:36" x14ac:dyDescent="0.25">
      <c r="A5767" s="1"/>
      <c r="B5767" s="2"/>
      <c r="AA5767" s="3"/>
      <c r="AD5767" s="3"/>
      <c r="AG5767" s="3"/>
      <c r="AJ5767" s="3"/>
    </row>
    <row r="5768" spans="1:36" x14ac:dyDescent="0.25">
      <c r="A5768" s="1"/>
      <c r="B5768" s="2"/>
      <c r="AA5768" s="3"/>
      <c r="AD5768" s="3"/>
      <c r="AG5768" s="3"/>
      <c r="AJ5768" s="3"/>
    </row>
    <row r="5769" spans="1:36" x14ac:dyDescent="0.25">
      <c r="A5769" s="1"/>
      <c r="B5769" s="2"/>
      <c r="AA5769" s="3"/>
      <c r="AD5769" s="3"/>
      <c r="AG5769" s="3"/>
      <c r="AJ5769" s="3"/>
    </row>
    <row r="5770" spans="1:36" x14ac:dyDescent="0.25">
      <c r="A5770" s="1"/>
      <c r="B5770" s="2"/>
      <c r="AA5770" s="3"/>
      <c r="AD5770" s="3"/>
      <c r="AG5770" s="3"/>
      <c r="AJ5770" s="3"/>
    </row>
    <row r="5771" spans="1:36" x14ac:dyDescent="0.25">
      <c r="A5771" s="1"/>
      <c r="B5771" s="2"/>
      <c r="AA5771" s="3"/>
      <c r="AD5771" s="3"/>
      <c r="AG5771" s="3"/>
      <c r="AJ5771" s="3"/>
    </row>
    <row r="5772" spans="1:36" x14ac:dyDescent="0.25">
      <c r="A5772" s="1"/>
      <c r="B5772" s="2"/>
      <c r="AA5772" s="3"/>
      <c r="AD5772" s="3"/>
      <c r="AG5772" s="3"/>
      <c r="AJ5772" s="3"/>
    </row>
    <row r="5773" spans="1:36" x14ac:dyDescent="0.25">
      <c r="A5773" s="1"/>
      <c r="B5773" s="2"/>
      <c r="AA5773" s="3"/>
      <c r="AD5773" s="3"/>
      <c r="AG5773" s="3"/>
      <c r="AJ5773" s="3"/>
    </row>
    <row r="5774" spans="1:36" x14ac:dyDescent="0.25">
      <c r="A5774" s="1"/>
      <c r="B5774" s="2"/>
      <c r="AA5774" s="3"/>
      <c r="AD5774" s="3"/>
      <c r="AG5774" s="3"/>
      <c r="AJ5774" s="3"/>
    </row>
    <row r="5775" spans="1:36" x14ac:dyDescent="0.25">
      <c r="A5775" s="1"/>
      <c r="B5775" s="2"/>
      <c r="AA5775" s="3"/>
      <c r="AD5775" s="3"/>
      <c r="AG5775" s="3"/>
      <c r="AJ5775" s="3"/>
    </row>
    <row r="5776" spans="1:36" x14ac:dyDescent="0.25">
      <c r="A5776" s="1"/>
      <c r="B5776" s="2"/>
      <c r="AA5776" s="3"/>
      <c r="AD5776" s="3"/>
      <c r="AG5776" s="3"/>
      <c r="AJ5776" s="3"/>
    </row>
    <row r="5777" spans="1:36" x14ac:dyDescent="0.25">
      <c r="A5777" s="1"/>
      <c r="B5777" s="2"/>
      <c r="AA5777" s="3"/>
      <c r="AD5777" s="3"/>
      <c r="AG5777" s="3"/>
      <c r="AJ5777" s="3"/>
    </row>
    <row r="5778" spans="1:36" x14ac:dyDescent="0.25">
      <c r="A5778" s="1"/>
      <c r="B5778" s="2"/>
      <c r="AA5778" s="3"/>
      <c r="AD5778" s="3"/>
      <c r="AG5778" s="3"/>
      <c r="AJ5778" s="3"/>
    </row>
    <row r="5779" spans="1:36" x14ac:dyDescent="0.25">
      <c r="A5779" s="1"/>
      <c r="B5779" s="2"/>
      <c r="AA5779" s="3"/>
      <c r="AD5779" s="3"/>
      <c r="AG5779" s="3"/>
      <c r="AJ5779" s="3"/>
    </row>
    <row r="5780" spans="1:36" x14ac:dyDescent="0.25">
      <c r="A5780" s="1"/>
      <c r="B5780" s="2"/>
      <c r="AA5780" s="3"/>
      <c r="AD5780" s="3"/>
      <c r="AG5780" s="3"/>
      <c r="AJ5780" s="3"/>
    </row>
    <row r="5781" spans="1:36" x14ac:dyDescent="0.25">
      <c r="A5781" s="1"/>
      <c r="B5781" s="2"/>
      <c r="AA5781" s="3"/>
      <c r="AD5781" s="3"/>
      <c r="AG5781" s="3"/>
      <c r="AJ5781" s="3"/>
    </row>
    <row r="5782" spans="1:36" x14ac:dyDescent="0.25">
      <c r="A5782" s="1"/>
      <c r="B5782" s="2"/>
      <c r="AA5782" s="3"/>
      <c r="AD5782" s="3"/>
      <c r="AG5782" s="3"/>
      <c r="AJ5782" s="3"/>
    </row>
    <row r="5783" spans="1:36" x14ac:dyDescent="0.25">
      <c r="A5783" s="1"/>
      <c r="B5783" s="2"/>
      <c r="AA5783" s="3"/>
      <c r="AD5783" s="3"/>
      <c r="AG5783" s="3"/>
      <c r="AJ5783" s="3"/>
    </row>
    <row r="5784" spans="1:36" x14ac:dyDescent="0.25">
      <c r="A5784" s="1"/>
      <c r="B5784" s="2"/>
      <c r="AA5784" s="3"/>
      <c r="AD5784" s="3"/>
      <c r="AG5784" s="3"/>
      <c r="AJ5784" s="3"/>
    </row>
    <row r="5785" spans="1:36" x14ac:dyDescent="0.25">
      <c r="A5785" s="1"/>
      <c r="B5785" s="2"/>
      <c r="AA5785" s="3"/>
      <c r="AD5785" s="3"/>
      <c r="AG5785" s="3"/>
      <c r="AJ5785" s="3"/>
    </row>
    <row r="5786" spans="1:36" x14ac:dyDescent="0.25">
      <c r="A5786" s="1"/>
      <c r="B5786" s="2"/>
      <c r="AA5786" s="3"/>
      <c r="AD5786" s="3"/>
      <c r="AG5786" s="3"/>
      <c r="AJ5786" s="3"/>
    </row>
    <row r="5787" spans="1:36" x14ac:dyDescent="0.25">
      <c r="A5787" s="1"/>
      <c r="B5787" s="2"/>
      <c r="AA5787" s="3"/>
      <c r="AD5787" s="3"/>
      <c r="AG5787" s="3"/>
      <c r="AJ5787" s="3"/>
    </row>
    <row r="5788" spans="1:36" x14ac:dyDescent="0.25">
      <c r="A5788" s="1"/>
      <c r="B5788" s="2"/>
      <c r="AA5788" s="3"/>
      <c r="AD5788" s="3"/>
      <c r="AG5788" s="3"/>
      <c r="AJ5788" s="3"/>
    </row>
    <row r="5789" spans="1:36" x14ac:dyDescent="0.25">
      <c r="A5789" s="1"/>
      <c r="B5789" s="2"/>
      <c r="AA5789" s="3"/>
      <c r="AD5789" s="3"/>
      <c r="AG5789" s="3"/>
      <c r="AJ5789" s="3"/>
    </row>
    <row r="5790" spans="1:36" x14ac:dyDescent="0.25">
      <c r="A5790" s="1"/>
      <c r="B5790" s="2"/>
      <c r="AA5790" s="3"/>
      <c r="AD5790" s="3"/>
      <c r="AG5790" s="3"/>
      <c r="AJ5790" s="3"/>
    </row>
    <row r="5791" spans="1:36" x14ac:dyDescent="0.25">
      <c r="A5791" s="1"/>
      <c r="B5791" s="2"/>
      <c r="AA5791" s="3"/>
      <c r="AD5791" s="3"/>
      <c r="AG5791" s="3"/>
      <c r="AJ5791" s="3"/>
    </row>
    <row r="5792" spans="1:36" x14ac:dyDescent="0.25">
      <c r="A5792" s="1"/>
      <c r="B5792" s="2"/>
      <c r="AA5792" s="3"/>
      <c r="AD5792" s="3"/>
      <c r="AG5792" s="3"/>
      <c r="AJ5792" s="3"/>
    </row>
    <row r="5793" spans="1:36" x14ac:dyDescent="0.25">
      <c r="A5793" s="1"/>
      <c r="B5793" s="2"/>
      <c r="AA5793" s="3"/>
      <c r="AD5793" s="3"/>
      <c r="AG5793" s="3"/>
      <c r="AJ5793" s="3"/>
    </row>
    <row r="5794" spans="1:36" x14ac:dyDescent="0.25">
      <c r="A5794" s="1"/>
      <c r="B5794" s="2"/>
      <c r="AA5794" s="3"/>
      <c r="AD5794" s="3"/>
      <c r="AG5794" s="3"/>
      <c r="AJ5794" s="3"/>
    </row>
    <row r="5795" spans="1:36" x14ac:dyDescent="0.25">
      <c r="A5795" s="1"/>
      <c r="B5795" s="2"/>
      <c r="AA5795" s="3"/>
      <c r="AD5795" s="3"/>
      <c r="AG5795" s="3"/>
      <c r="AJ5795" s="3"/>
    </row>
    <row r="5796" spans="1:36" x14ac:dyDescent="0.25">
      <c r="A5796" s="1"/>
      <c r="B5796" s="2"/>
      <c r="AA5796" s="3"/>
      <c r="AD5796" s="3"/>
      <c r="AG5796" s="3"/>
      <c r="AJ5796" s="3"/>
    </row>
    <row r="5797" spans="1:36" x14ac:dyDescent="0.25">
      <c r="A5797" s="1"/>
      <c r="B5797" s="2"/>
      <c r="AA5797" s="3"/>
      <c r="AD5797" s="3"/>
      <c r="AG5797" s="3"/>
      <c r="AJ5797" s="3"/>
    </row>
    <row r="5798" spans="1:36" x14ac:dyDescent="0.25">
      <c r="A5798" s="1"/>
      <c r="B5798" s="2"/>
      <c r="AA5798" s="3"/>
      <c r="AD5798" s="3"/>
      <c r="AG5798" s="3"/>
      <c r="AJ5798" s="3"/>
    </row>
    <row r="5799" spans="1:36" x14ac:dyDescent="0.25">
      <c r="A5799" s="1"/>
      <c r="B5799" s="2"/>
      <c r="AA5799" s="3"/>
      <c r="AD5799" s="3"/>
      <c r="AG5799" s="3"/>
      <c r="AJ5799" s="3"/>
    </row>
    <row r="5800" spans="1:36" x14ac:dyDescent="0.25">
      <c r="A5800" s="1"/>
      <c r="B5800" s="2"/>
      <c r="AA5800" s="3"/>
      <c r="AD5800" s="3"/>
      <c r="AG5800" s="3"/>
      <c r="AJ5800" s="3"/>
    </row>
    <row r="5801" spans="1:36" x14ac:dyDescent="0.25">
      <c r="A5801" s="1"/>
      <c r="B5801" s="2"/>
      <c r="AA5801" s="3"/>
      <c r="AD5801" s="3"/>
      <c r="AG5801" s="3"/>
      <c r="AJ5801" s="3"/>
    </row>
    <row r="5802" spans="1:36" x14ac:dyDescent="0.25">
      <c r="A5802" s="1"/>
      <c r="B5802" s="2"/>
      <c r="AA5802" s="3"/>
      <c r="AD5802" s="3"/>
      <c r="AG5802" s="3"/>
      <c r="AJ5802" s="3"/>
    </row>
    <row r="5803" spans="1:36" x14ac:dyDescent="0.25">
      <c r="A5803" s="1"/>
      <c r="B5803" s="2"/>
      <c r="AA5803" s="3"/>
      <c r="AD5803" s="3"/>
      <c r="AG5803" s="3"/>
      <c r="AJ5803" s="3"/>
    </row>
    <row r="5804" spans="1:36" x14ac:dyDescent="0.25">
      <c r="A5804" s="1"/>
      <c r="B5804" s="2"/>
      <c r="AA5804" s="3"/>
      <c r="AD5804" s="3"/>
      <c r="AG5804" s="3"/>
      <c r="AJ5804" s="3"/>
    </row>
    <row r="5805" spans="1:36" x14ac:dyDescent="0.25">
      <c r="A5805" s="1"/>
      <c r="B5805" s="2"/>
      <c r="AA5805" s="3"/>
      <c r="AD5805" s="3"/>
      <c r="AG5805" s="3"/>
      <c r="AJ5805" s="3"/>
    </row>
    <row r="5806" spans="1:36" x14ac:dyDescent="0.25">
      <c r="A5806" s="1"/>
      <c r="B5806" s="2"/>
      <c r="AA5806" s="3"/>
      <c r="AD5806" s="3"/>
      <c r="AG5806" s="3"/>
      <c r="AJ5806" s="3"/>
    </row>
    <row r="5807" spans="1:36" x14ac:dyDescent="0.25">
      <c r="A5807" s="1"/>
      <c r="B5807" s="2"/>
      <c r="AA5807" s="3"/>
      <c r="AD5807" s="3"/>
      <c r="AG5807" s="3"/>
      <c r="AJ5807" s="3"/>
    </row>
    <row r="5808" spans="1:36" x14ac:dyDescent="0.25">
      <c r="A5808" s="1"/>
      <c r="B5808" s="2"/>
      <c r="AA5808" s="3"/>
      <c r="AD5808" s="3"/>
      <c r="AG5808" s="3"/>
      <c r="AJ5808" s="3"/>
    </row>
    <row r="5809" spans="1:36" x14ac:dyDescent="0.25">
      <c r="A5809" s="1"/>
      <c r="B5809" s="2"/>
      <c r="AA5809" s="3"/>
      <c r="AD5809" s="3"/>
      <c r="AG5809" s="3"/>
      <c r="AJ5809" s="3"/>
    </row>
    <row r="5810" spans="1:36" x14ac:dyDescent="0.25">
      <c r="A5810" s="1"/>
      <c r="B5810" s="2"/>
      <c r="AA5810" s="3"/>
      <c r="AD5810" s="3"/>
      <c r="AG5810" s="3"/>
      <c r="AJ5810" s="3"/>
    </row>
    <row r="5811" spans="1:36" x14ac:dyDescent="0.25">
      <c r="A5811" s="1"/>
      <c r="B5811" s="2"/>
      <c r="AA5811" s="3"/>
      <c r="AD5811" s="3"/>
      <c r="AG5811" s="3"/>
      <c r="AJ5811" s="3"/>
    </row>
    <row r="5812" spans="1:36" x14ac:dyDescent="0.25">
      <c r="A5812" s="1"/>
      <c r="B5812" s="2"/>
      <c r="AA5812" s="3"/>
      <c r="AD5812" s="3"/>
      <c r="AG5812" s="3"/>
      <c r="AJ5812" s="3"/>
    </row>
    <row r="5813" spans="1:36" x14ac:dyDescent="0.25">
      <c r="A5813" s="1"/>
      <c r="B5813" s="2"/>
      <c r="AA5813" s="3"/>
      <c r="AD5813" s="3"/>
      <c r="AG5813" s="3"/>
      <c r="AJ5813" s="3"/>
    </row>
    <row r="5814" spans="1:36" x14ac:dyDescent="0.25">
      <c r="A5814" s="1"/>
      <c r="B5814" s="2"/>
      <c r="AA5814" s="3"/>
      <c r="AD5814" s="3"/>
      <c r="AG5814" s="3"/>
      <c r="AJ5814" s="3"/>
    </row>
    <row r="5815" spans="1:36" x14ac:dyDescent="0.25">
      <c r="A5815" s="1"/>
      <c r="B5815" s="2"/>
      <c r="AA5815" s="3"/>
      <c r="AD5815" s="3"/>
      <c r="AG5815" s="3"/>
      <c r="AJ5815" s="3"/>
    </row>
    <row r="5816" spans="1:36" x14ac:dyDescent="0.25">
      <c r="A5816" s="1"/>
      <c r="B5816" s="2"/>
      <c r="AA5816" s="3"/>
      <c r="AD5816" s="3"/>
      <c r="AG5816" s="3"/>
      <c r="AJ5816" s="3"/>
    </row>
    <row r="5817" spans="1:36" x14ac:dyDescent="0.25">
      <c r="A5817" s="1"/>
      <c r="B5817" s="2"/>
      <c r="AA5817" s="3"/>
      <c r="AD5817" s="3"/>
      <c r="AG5817" s="3"/>
      <c r="AJ5817" s="3"/>
    </row>
    <row r="5818" spans="1:36" x14ac:dyDescent="0.25">
      <c r="A5818" s="1"/>
      <c r="B5818" s="2"/>
      <c r="AA5818" s="3"/>
      <c r="AD5818" s="3"/>
      <c r="AG5818" s="3"/>
      <c r="AJ5818" s="3"/>
    </row>
    <row r="5819" spans="1:36" x14ac:dyDescent="0.25">
      <c r="A5819" s="1"/>
      <c r="B5819" s="2"/>
      <c r="AA5819" s="3"/>
      <c r="AD5819" s="3"/>
      <c r="AG5819" s="3"/>
      <c r="AJ5819" s="3"/>
    </row>
    <row r="5820" spans="1:36" x14ac:dyDescent="0.25">
      <c r="A5820" s="1"/>
      <c r="B5820" s="2"/>
      <c r="AA5820" s="3"/>
      <c r="AD5820" s="3"/>
      <c r="AG5820" s="3"/>
      <c r="AJ5820" s="3"/>
    </row>
    <row r="5821" spans="1:36" x14ac:dyDescent="0.25">
      <c r="A5821" s="1"/>
      <c r="B5821" s="2"/>
      <c r="AA5821" s="3"/>
      <c r="AD5821" s="3"/>
      <c r="AG5821" s="3"/>
      <c r="AJ5821" s="3"/>
    </row>
    <row r="5822" spans="1:36" x14ac:dyDescent="0.25">
      <c r="A5822" s="1"/>
      <c r="B5822" s="2"/>
      <c r="AA5822" s="3"/>
      <c r="AD5822" s="3"/>
      <c r="AG5822" s="3"/>
      <c r="AJ5822" s="3"/>
    </row>
    <row r="5823" spans="1:36" x14ac:dyDescent="0.25">
      <c r="A5823" s="1"/>
      <c r="B5823" s="2"/>
      <c r="AA5823" s="3"/>
      <c r="AD5823" s="3"/>
      <c r="AG5823" s="3"/>
      <c r="AJ5823" s="3"/>
    </row>
    <row r="5824" spans="1:36" x14ac:dyDescent="0.25">
      <c r="A5824" s="1"/>
      <c r="B5824" s="2"/>
      <c r="AA5824" s="3"/>
      <c r="AD5824" s="3"/>
      <c r="AG5824" s="3"/>
      <c r="AJ5824" s="3"/>
    </row>
    <row r="5825" spans="1:36" x14ac:dyDescent="0.25">
      <c r="A5825" s="1"/>
      <c r="B5825" s="2"/>
      <c r="AA5825" s="3"/>
      <c r="AD5825" s="3"/>
      <c r="AG5825" s="3"/>
      <c r="AJ5825" s="3"/>
    </row>
    <row r="5826" spans="1:36" x14ac:dyDescent="0.25">
      <c r="A5826" s="1"/>
      <c r="B5826" s="2"/>
      <c r="AA5826" s="3"/>
      <c r="AD5826" s="3"/>
      <c r="AG5826" s="3"/>
      <c r="AJ5826" s="3"/>
    </row>
    <row r="5827" spans="1:36" x14ac:dyDescent="0.25">
      <c r="A5827" s="1"/>
      <c r="B5827" s="2"/>
      <c r="AA5827" s="3"/>
      <c r="AD5827" s="3"/>
      <c r="AG5827" s="3"/>
      <c r="AJ5827" s="3"/>
    </row>
    <row r="5828" spans="1:36" x14ac:dyDescent="0.25">
      <c r="A5828" s="1"/>
      <c r="B5828" s="2"/>
      <c r="AA5828" s="3"/>
      <c r="AD5828" s="3"/>
      <c r="AG5828" s="3"/>
      <c r="AJ5828" s="3"/>
    </row>
    <row r="5829" spans="1:36" x14ac:dyDescent="0.25">
      <c r="A5829" s="1"/>
      <c r="B5829" s="2"/>
      <c r="AA5829" s="3"/>
      <c r="AD5829" s="3"/>
      <c r="AG5829" s="3"/>
      <c r="AJ5829" s="3"/>
    </row>
    <row r="5830" spans="1:36" x14ac:dyDescent="0.25">
      <c r="A5830" s="1"/>
      <c r="B5830" s="2"/>
      <c r="AA5830" s="3"/>
      <c r="AD5830" s="3"/>
      <c r="AG5830" s="3"/>
      <c r="AJ5830" s="3"/>
    </row>
    <row r="5831" spans="1:36" x14ac:dyDescent="0.25">
      <c r="A5831" s="1"/>
      <c r="B5831" s="2"/>
      <c r="AA5831" s="3"/>
      <c r="AD5831" s="3"/>
      <c r="AG5831" s="3"/>
      <c r="AJ5831" s="3"/>
    </row>
    <row r="5832" spans="1:36" x14ac:dyDescent="0.25">
      <c r="A5832" s="1"/>
      <c r="B5832" s="2"/>
      <c r="AA5832" s="3"/>
      <c r="AD5832" s="3"/>
      <c r="AG5832" s="3"/>
      <c r="AJ5832" s="3"/>
    </row>
    <row r="5833" spans="1:36" x14ac:dyDescent="0.25">
      <c r="A5833" s="1"/>
      <c r="B5833" s="2"/>
      <c r="AA5833" s="3"/>
      <c r="AD5833" s="3"/>
      <c r="AG5833" s="3"/>
      <c r="AJ5833" s="3"/>
    </row>
    <row r="5834" spans="1:36" x14ac:dyDescent="0.25">
      <c r="A5834" s="1"/>
      <c r="B5834" s="2"/>
      <c r="AA5834" s="3"/>
      <c r="AD5834" s="3"/>
      <c r="AG5834" s="3"/>
      <c r="AJ5834" s="3"/>
    </row>
    <row r="5835" spans="1:36" x14ac:dyDescent="0.25">
      <c r="A5835" s="1"/>
      <c r="B5835" s="2"/>
      <c r="AA5835" s="3"/>
      <c r="AD5835" s="3"/>
      <c r="AG5835" s="3"/>
      <c r="AJ5835" s="3"/>
    </row>
    <row r="5836" spans="1:36" x14ac:dyDescent="0.25">
      <c r="A5836" s="1"/>
      <c r="B5836" s="2"/>
      <c r="AA5836" s="3"/>
      <c r="AD5836" s="3"/>
      <c r="AG5836" s="3"/>
      <c r="AJ5836" s="3"/>
    </row>
    <row r="5837" spans="1:36" x14ac:dyDescent="0.25">
      <c r="A5837" s="1"/>
      <c r="B5837" s="2"/>
      <c r="AA5837" s="3"/>
      <c r="AD5837" s="3"/>
      <c r="AG5837" s="3"/>
      <c r="AJ5837" s="3"/>
    </row>
    <row r="5838" spans="1:36" x14ac:dyDescent="0.25">
      <c r="A5838" s="1"/>
      <c r="B5838" s="2"/>
      <c r="AA5838" s="3"/>
      <c r="AD5838" s="3"/>
      <c r="AG5838" s="3"/>
      <c r="AJ5838" s="3"/>
    </row>
    <row r="5839" spans="1:36" x14ac:dyDescent="0.25">
      <c r="A5839" s="1"/>
      <c r="B5839" s="2"/>
      <c r="AA5839" s="3"/>
      <c r="AD5839" s="3"/>
      <c r="AG5839" s="3"/>
      <c r="AJ5839" s="3"/>
    </row>
    <row r="5840" spans="1:36" x14ac:dyDescent="0.25">
      <c r="A5840" s="1"/>
      <c r="B5840" s="2"/>
      <c r="AA5840" s="3"/>
      <c r="AD5840" s="3"/>
      <c r="AG5840" s="3"/>
      <c r="AJ5840" s="3"/>
    </row>
    <row r="5841" spans="1:36" x14ac:dyDescent="0.25">
      <c r="A5841" s="1"/>
      <c r="B5841" s="2"/>
      <c r="AA5841" s="3"/>
      <c r="AD5841" s="3"/>
      <c r="AG5841" s="3"/>
      <c r="AJ5841" s="3"/>
    </row>
    <row r="5842" spans="1:36" x14ac:dyDescent="0.25">
      <c r="A5842" s="1"/>
      <c r="B5842" s="2"/>
      <c r="AA5842" s="3"/>
      <c r="AD5842" s="3"/>
      <c r="AG5842" s="3"/>
      <c r="AJ5842" s="3"/>
    </row>
    <row r="5843" spans="1:36" x14ac:dyDescent="0.25">
      <c r="A5843" s="1"/>
      <c r="B5843" s="2"/>
      <c r="AA5843" s="3"/>
      <c r="AD5843" s="3"/>
      <c r="AG5843" s="3"/>
      <c r="AJ5843" s="3"/>
    </row>
    <row r="5844" spans="1:36" x14ac:dyDescent="0.25">
      <c r="A5844" s="1"/>
      <c r="B5844" s="2"/>
      <c r="AA5844" s="3"/>
      <c r="AD5844" s="3"/>
      <c r="AG5844" s="3"/>
      <c r="AJ5844" s="3"/>
    </row>
    <row r="5845" spans="1:36" x14ac:dyDescent="0.25">
      <c r="A5845" s="1"/>
      <c r="B5845" s="2"/>
      <c r="AA5845" s="3"/>
      <c r="AD5845" s="3"/>
      <c r="AG5845" s="3"/>
      <c r="AJ5845" s="3"/>
    </row>
    <row r="5846" spans="1:36" x14ac:dyDescent="0.25">
      <c r="A5846" s="1"/>
      <c r="B5846" s="2"/>
      <c r="AA5846" s="3"/>
      <c r="AD5846" s="3"/>
      <c r="AG5846" s="3"/>
      <c r="AJ5846" s="3"/>
    </row>
    <row r="5847" spans="1:36" x14ac:dyDescent="0.25">
      <c r="A5847" s="1"/>
      <c r="B5847" s="2"/>
      <c r="AA5847" s="3"/>
      <c r="AD5847" s="3"/>
      <c r="AG5847" s="3"/>
      <c r="AJ5847" s="3"/>
    </row>
    <row r="5848" spans="1:36" x14ac:dyDescent="0.25">
      <c r="A5848" s="1"/>
      <c r="B5848" s="2"/>
      <c r="AA5848" s="3"/>
      <c r="AD5848" s="3"/>
      <c r="AG5848" s="3"/>
      <c r="AJ5848" s="3"/>
    </row>
    <row r="5849" spans="1:36" x14ac:dyDescent="0.25">
      <c r="A5849" s="1"/>
      <c r="B5849" s="2"/>
      <c r="AA5849" s="3"/>
      <c r="AD5849" s="3"/>
      <c r="AG5849" s="3"/>
      <c r="AJ5849" s="3"/>
    </row>
    <row r="5850" spans="1:36" x14ac:dyDescent="0.25">
      <c r="A5850" s="1"/>
      <c r="B5850" s="2"/>
      <c r="AA5850" s="3"/>
      <c r="AD5850" s="3"/>
      <c r="AG5850" s="3"/>
      <c r="AJ5850" s="3"/>
    </row>
    <row r="5851" spans="1:36" x14ac:dyDescent="0.25">
      <c r="A5851" s="1"/>
      <c r="B5851" s="2"/>
      <c r="AA5851" s="3"/>
      <c r="AD5851" s="3"/>
      <c r="AG5851" s="3"/>
      <c r="AJ5851" s="3"/>
    </row>
    <row r="5852" spans="1:36" x14ac:dyDescent="0.25">
      <c r="A5852" s="1"/>
      <c r="B5852" s="2"/>
      <c r="AA5852" s="3"/>
      <c r="AD5852" s="3"/>
      <c r="AG5852" s="3"/>
      <c r="AJ5852" s="3"/>
    </row>
    <row r="5853" spans="1:36" x14ac:dyDescent="0.25">
      <c r="A5853" s="1"/>
      <c r="B5853" s="2"/>
      <c r="AA5853" s="3"/>
      <c r="AD5853" s="3"/>
      <c r="AG5853" s="3"/>
      <c r="AJ5853" s="3"/>
    </row>
    <row r="5854" spans="1:36" x14ac:dyDescent="0.25">
      <c r="A5854" s="1"/>
      <c r="B5854" s="2"/>
      <c r="AA5854" s="3"/>
      <c r="AD5854" s="3"/>
      <c r="AG5854" s="3"/>
      <c r="AJ5854" s="3"/>
    </row>
    <row r="5855" spans="1:36" x14ac:dyDescent="0.25">
      <c r="A5855" s="1"/>
      <c r="B5855" s="2"/>
      <c r="AA5855" s="3"/>
      <c r="AD5855" s="3"/>
      <c r="AG5855" s="3"/>
      <c r="AJ5855" s="3"/>
    </row>
    <row r="5856" spans="1:36" x14ac:dyDescent="0.25">
      <c r="A5856" s="1"/>
      <c r="B5856" s="2"/>
      <c r="AA5856" s="3"/>
      <c r="AD5856" s="3"/>
      <c r="AG5856" s="3"/>
      <c r="AJ5856" s="3"/>
    </row>
    <row r="5857" spans="1:36" x14ac:dyDescent="0.25">
      <c r="A5857" s="1"/>
      <c r="B5857" s="2"/>
      <c r="AA5857" s="3"/>
      <c r="AD5857" s="3"/>
      <c r="AG5857" s="3"/>
      <c r="AJ5857" s="3"/>
    </row>
    <row r="5858" spans="1:36" x14ac:dyDescent="0.25">
      <c r="A5858" s="1"/>
      <c r="B5858" s="2"/>
      <c r="AA5858" s="3"/>
      <c r="AD5858" s="3"/>
      <c r="AG5858" s="3"/>
      <c r="AJ5858" s="3"/>
    </row>
    <row r="5859" spans="1:36" x14ac:dyDescent="0.25">
      <c r="A5859" s="1"/>
      <c r="B5859" s="2"/>
      <c r="AA5859" s="3"/>
      <c r="AD5859" s="3"/>
      <c r="AG5859" s="3"/>
      <c r="AJ5859" s="3"/>
    </row>
    <row r="5860" spans="1:36" x14ac:dyDescent="0.25">
      <c r="A5860" s="1"/>
      <c r="B5860" s="2"/>
      <c r="AA5860" s="3"/>
      <c r="AD5860" s="3"/>
      <c r="AG5860" s="3"/>
      <c r="AJ5860" s="3"/>
    </row>
    <row r="5861" spans="1:36" x14ac:dyDescent="0.25">
      <c r="A5861" s="1"/>
      <c r="B5861" s="2"/>
      <c r="AA5861" s="3"/>
      <c r="AD5861" s="3"/>
      <c r="AG5861" s="3"/>
      <c r="AJ5861" s="3"/>
    </row>
    <row r="5862" spans="1:36" x14ac:dyDescent="0.25">
      <c r="A5862" s="1"/>
      <c r="B5862" s="2"/>
      <c r="AA5862" s="3"/>
      <c r="AD5862" s="3"/>
      <c r="AG5862" s="3"/>
      <c r="AJ5862" s="3"/>
    </row>
    <row r="5863" spans="1:36" x14ac:dyDescent="0.25">
      <c r="A5863" s="1"/>
      <c r="B5863" s="2"/>
      <c r="AA5863" s="3"/>
      <c r="AD5863" s="3"/>
      <c r="AG5863" s="3"/>
      <c r="AJ5863" s="3"/>
    </row>
    <row r="5864" spans="1:36" x14ac:dyDescent="0.25">
      <c r="A5864" s="1"/>
      <c r="B5864" s="2"/>
      <c r="AA5864" s="3"/>
      <c r="AD5864" s="3"/>
      <c r="AG5864" s="3"/>
      <c r="AJ5864" s="3"/>
    </row>
    <row r="5865" spans="1:36" x14ac:dyDescent="0.25">
      <c r="A5865" s="1"/>
      <c r="B5865" s="2"/>
      <c r="AA5865" s="3"/>
      <c r="AD5865" s="3"/>
      <c r="AG5865" s="3"/>
      <c r="AJ5865" s="3"/>
    </row>
    <row r="5866" spans="1:36" x14ac:dyDescent="0.25">
      <c r="A5866" s="1"/>
      <c r="B5866" s="2"/>
      <c r="AA5866" s="3"/>
      <c r="AD5866" s="3"/>
      <c r="AG5866" s="3"/>
      <c r="AJ5866" s="3"/>
    </row>
    <row r="5867" spans="1:36" x14ac:dyDescent="0.25">
      <c r="A5867" s="1"/>
      <c r="B5867" s="2"/>
      <c r="AA5867" s="3"/>
      <c r="AD5867" s="3"/>
      <c r="AG5867" s="3"/>
      <c r="AJ5867" s="3"/>
    </row>
    <row r="5868" spans="1:36" x14ac:dyDescent="0.25">
      <c r="A5868" s="1"/>
      <c r="B5868" s="2"/>
      <c r="AA5868" s="3"/>
      <c r="AD5868" s="3"/>
      <c r="AG5868" s="3"/>
      <c r="AJ5868" s="3"/>
    </row>
    <row r="5869" spans="1:36" x14ac:dyDescent="0.25">
      <c r="A5869" s="1"/>
      <c r="B5869" s="2"/>
      <c r="AA5869" s="3"/>
      <c r="AD5869" s="3"/>
      <c r="AG5869" s="3"/>
      <c r="AJ5869" s="3"/>
    </row>
    <row r="5870" spans="1:36" x14ac:dyDescent="0.25">
      <c r="A5870" s="1"/>
      <c r="B5870" s="2"/>
      <c r="AA5870" s="3"/>
      <c r="AD5870" s="3"/>
      <c r="AG5870" s="3"/>
      <c r="AJ5870" s="3"/>
    </row>
    <row r="5871" spans="1:36" x14ac:dyDescent="0.25">
      <c r="A5871" s="1"/>
      <c r="B5871" s="2"/>
      <c r="AA5871" s="3"/>
      <c r="AD5871" s="3"/>
      <c r="AG5871" s="3"/>
      <c r="AJ5871" s="3"/>
    </row>
    <row r="5872" spans="1:36" x14ac:dyDescent="0.25">
      <c r="A5872" s="1"/>
      <c r="B5872" s="2"/>
      <c r="AA5872" s="3"/>
      <c r="AD5872" s="3"/>
      <c r="AG5872" s="3"/>
      <c r="AJ5872" s="3"/>
    </row>
    <row r="5873" spans="1:36" x14ac:dyDescent="0.25">
      <c r="A5873" s="1"/>
      <c r="B5873" s="2"/>
      <c r="AA5873" s="3"/>
      <c r="AD5873" s="3"/>
      <c r="AG5873" s="3"/>
      <c r="AJ5873" s="3"/>
    </row>
    <row r="5874" spans="1:36" x14ac:dyDescent="0.25">
      <c r="A5874" s="1"/>
      <c r="B5874" s="2"/>
      <c r="AA5874" s="3"/>
      <c r="AD5874" s="3"/>
      <c r="AG5874" s="3"/>
      <c r="AJ5874" s="3"/>
    </row>
    <row r="5875" spans="1:36" x14ac:dyDescent="0.25">
      <c r="A5875" s="1"/>
      <c r="B5875" s="2"/>
      <c r="AA5875" s="3"/>
      <c r="AD5875" s="3"/>
      <c r="AG5875" s="3"/>
      <c r="AJ5875" s="3"/>
    </row>
    <row r="5876" spans="1:36" x14ac:dyDescent="0.25">
      <c r="A5876" s="1"/>
      <c r="B5876" s="2"/>
      <c r="AA5876" s="3"/>
      <c r="AD5876" s="3"/>
      <c r="AG5876" s="3"/>
      <c r="AJ5876" s="3"/>
    </row>
    <row r="5877" spans="1:36" x14ac:dyDescent="0.25">
      <c r="A5877" s="1"/>
      <c r="B5877" s="2"/>
      <c r="AA5877" s="3"/>
      <c r="AD5877" s="3"/>
      <c r="AG5877" s="3"/>
      <c r="AJ5877" s="3"/>
    </row>
    <row r="5878" spans="1:36" x14ac:dyDescent="0.25">
      <c r="A5878" s="1"/>
      <c r="B5878" s="2"/>
      <c r="AA5878" s="3"/>
      <c r="AD5878" s="3"/>
      <c r="AG5878" s="3"/>
      <c r="AJ5878" s="3"/>
    </row>
    <row r="5879" spans="1:36" x14ac:dyDescent="0.25">
      <c r="A5879" s="1"/>
      <c r="B5879" s="2"/>
      <c r="AA5879" s="3"/>
      <c r="AD5879" s="3"/>
      <c r="AG5879" s="3"/>
      <c r="AJ5879" s="3"/>
    </row>
    <row r="5880" spans="1:36" x14ac:dyDescent="0.25">
      <c r="A5880" s="1"/>
      <c r="B5880" s="2"/>
      <c r="AA5880" s="3"/>
      <c r="AD5880" s="3"/>
      <c r="AG5880" s="3"/>
      <c r="AJ5880" s="3"/>
    </row>
    <row r="5881" spans="1:36" x14ac:dyDescent="0.25">
      <c r="A5881" s="1"/>
      <c r="B5881" s="2"/>
      <c r="AA5881" s="3"/>
      <c r="AD5881" s="3"/>
      <c r="AG5881" s="3"/>
      <c r="AJ5881" s="3"/>
    </row>
    <row r="5882" spans="1:36" x14ac:dyDescent="0.25">
      <c r="A5882" s="1"/>
      <c r="B5882" s="2"/>
      <c r="AA5882" s="3"/>
      <c r="AD5882" s="3"/>
      <c r="AG5882" s="3"/>
      <c r="AJ5882" s="3"/>
    </row>
    <row r="5883" spans="1:36" x14ac:dyDescent="0.25">
      <c r="A5883" s="1"/>
      <c r="B5883" s="2"/>
      <c r="AA5883" s="3"/>
      <c r="AD5883" s="3"/>
      <c r="AG5883" s="3"/>
      <c r="AJ5883" s="3"/>
    </row>
    <row r="5884" spans="1:36" x14ac:dyDescent="0.25">
      <c r="A5884" s="1"/>
      <c r="B5884" s="2"/>
      <c r="AA5884" s="3"/>
      <c r="AD5884" s="3"/>
      <c r="AG5884" s="3"/>
      <c r="AJ5884" s="3"/>
    </row>
    <row r="5885" spans="1:36" x14ac:dyDescent="0.25">
      <c r="A5885" s="1"/>
      <c r="B5885" s="2"/>
      <c r="AA5885" s="3"/>
      <c r="AD5885" s="3"/>
      <c r="AG5885" s="3"/>
      <c r="AJ5885" s="3"/>
    </row>
    <row r="5886" spans="1:36" x14ac:dyDescent="0.25">
      <c r="A5886" s="1"/>
      <c r="B5886" s="2"/>
      <c r="AA5886" s="3"/>
      <c r="AD5886" s="3"/>
      <c r="AG5886" s="3"/>
      <c r="AJ5886" s="3"/>
    </row>
    <row r="5887" spans="1:36" x14ac:dyDescent="0.25">
      <c r="A5887" s="1"/>
      <c r="B5887" s="2"/>
      <c r="AA5887" s="3"/>
      <c r="AD5887" s="3"/>
      <c r="AG5887" s="3"/>
      <c r="AJ5887" s="3"/>
    </row>
    <row r="5888" spans="1:36" x14ac:dyDescent="0.25">
      <c r="A5888" s="1"/>
      <c r="B5888" s="2"/>
      <c r="AA5888" s="3"/>
      <c r="AD5888" s="3"/>
      <c r="AG5888" s="3"/>
      <c r="AJ5888" s="3"/>
    </row>
    <row r="5889" spans="1:36" x14ac:dyDescent="0.25">
      <c r="A5889" s="1"/>
      <c r="B5889" s="2"/>
      <c r="AA5889" s="3"/>
      <c r="AD5889" s="3"/>
      <c r="AG5889" s="3"/>
      <c r="AJ5889" s="3"/>
    </row>
    <row r="5890" spans="1:36" x14ac:dyDescent="0.25">
      <c r="A5890" s="1"/>
      <c r="B5890" s="2"/>
      <c r="AA5890" s="3"/>
      <c r="AD5890" s="3"/>
      <c r="AG5890" s="3"/>
      <c r="AJ5890" s="3"/>
    </row>
    <row r="5891" spans="1:36" x14ac:dyDescent="0.25">
      <c r="A5891" s="1"/>
      <c r="B5891" s="2"/>
      <c r="AA5891" s="3"/>
      <c r="AD5891" s="3"/>
      <c r="AG5891" s="3"/>
      <c r="AJ5891" s="3"/>
    </row>
    <row r="5892" spans="1:36" x14ac:dyDescent="0.25">
      <c r="A5892" s="1"/>
      <c r="B5892" s="2"/>
      <c r="AA5892" s="3"/>
      <c r="AD5892" s="3"/>
      <c r="AG5892" s="3"/>
      <c r="AJ5892" s="3"/>
    </row>
    <row r="5893" spans="1:36" x14ac:dyDescent="0.25">
      <c r="A5893" s="1"/>
      <c r="B5893" s="2"/>
      <c r="AA5893" s="3"/>
      <c r="AD5893" s="3"/>
      <c r="AG5893" s="3"/>
      <c r="AJ5893" s="3"/>
    </row>
    <row r="5894" spans="1:36" x14ac:dyDescent="0.25">
      <c r="A5894" s="1"/>
      <c r="B5894" s="2"/>
      <c r="AA5894" s="3"/>
      <c r="AD5894" s="3"/>
      <c r="AG5894" s="3"/>
      <c r="AJ5894" s="3"/>
    </row>
    <row r="5895" spans="1:36" x14ac:dyDescent="0.25">
      <c r="A5895" s="1"/>
      <c r="B5895" s="2"/>
      <c r="AA5895" s="3"/>
      <c r="AD5895" s="3"/>
      <c r="AG5895" s="3"/>
      <c r="AJ5895" s="3"/>
    </row>
    <row r="5896" spans="1:36" x14ac:dyDescent="0.25">
      <c r="A5896" s="1"/>
      <c r="B5896" s="2"/>
      <c r="AA5896" s="3"/>
      <c r="AD5896" s="3"/>
      <c r="AG5896" s="3"/>
      <c r="AJ5896" s="3"/>
    </row>
    <row r="5897" spans="1:36" x14ac:dyDescent="0.25">
      <c r="A5897" s="1"/>
      <c r="B5897" s="2"/>
      <c r="AA5897" s="3"/>
      <c r="AD5897" s="3"/>
      <c r="AG5897" s="3"/>
      <c r="AJ5897" s="3"/>
    </row>
    <row r="5898" spans="1:36" x14ac:dyDescent="0.25">
      <c r="A5898" s="1"/>
      <c r="B5898" s="2"/>
      <c r="AA5898" s="3"/>
      <c r="AD5898" s="3"/>
      <c r="AG5898" s="3"/>
      <c r="AJ5898" s="3"/>
    </row>
    <row r="5899" spans="1:36" x14ac:dyDescent="0.25">
      <c r="A5899" s="1"/>
      <c r="B5899" s="2"/>
      <c r="AA5899" s="3"/>
      <c r="AD5899" s="3"/>
      <c r="AG5899" s="3"/>
      <c r="AJ5899" s="3"/>
    </row>
    <row r="5900" spans="1:36" x14ac:dyDescent="0.25">
      <c r="A5900" s="1"/>
      <c r="B5900" s="2"/>
      <c r="AA5900" s="3"/>
      <c r="AD5900" s="3"/>
      <c r="AG5900" s="3"/>
      <c r="AJ5900" s="3"/>
    </row>
    <row r="5901" spans="1:36" x14ac:dyDescent="0.25">
      <c r="A5901" s="1"/>
      <c r="B5901" s="2"/>
      <c r="AA5901" s="3"/>
      <c r="AD5901" s="3"/>
      <c r="AG5901" s="3"/>
      <c r="AJ5901" s="3"/>
    </row>
    <row r="5902" spans="1:36" x14ac:dyDescent="0.25">
      <c r="A5902" s="1"/>
      <c r="B5902" s="2"/>
      <c r="AA5902" s="3"/>
      <c r="AD5902" s="3"/>
      <c r="AG5902" s="3"/>
      <c r="AJ5902" s="3"/>
    </row>
    <row r="5903" spans="1:36" x14ac:dyDescent="0.25">
      <c r="A5903" s="1"/>
      <c r="B5903" s="2"/>
      <c r="AA5903" s="3"/>
      <c r="AD5903" s="3"/>
      <c r="AG5903" s="3"/>
      <c r="AJ5903" s="3"/>
    </row>
    <row r="5904" spans="1:36" x14ac:dyDescent="0.25">
      <c r="A5904" s="1"/>
      <c r="B5904" s="2"/>
      <c r="AA5904" s="3"/>
      <c r="AD5904" s="3"/>
      <c r="AG5904" s="3"/>
      <c r="AJ5904" s="3"/>
    </row>
    <row r="5905" spans="1:36" x14ac:dyDescent="0.25">
      <c r="A5905" s="1"/>
      <c r="B5905" s="2"/>
      <c r="AA5905" s="3"/>
      <c r="AD5905" s="3"/>
      <c r="AG5905" s="3"/>
      <c r="AJ5905" s="3"/>
    </row>
    <row r="5906" spans="1:36" x14ac:dyDescent="0.25">
      <c r="A5906" s="1"/>
      <c r="B5906" s="2"/>
      <c r="AA5906" s="3"/>
      <c r="AD5906" s="3"/>
      <c r="AG5906" s="3"/>
      <c r="AJ5906" s="3"/>
    </row>
    <row r="5907" spans="1:36" x14ac:dyDescent="0.25">
      <c r="A5907" s="1"/>
      <c r="B5907" s="2"/>
      <c r="AA5907" s="3"/>
      <c r="AD5907" s="3"/>
      <c r="AG5907" s="3"/>
      <c r="AJ5907" s="3"/>
    </row>
    <row r="5908" spans="1:36" x14ac:dyDescent="0.25">
      <c r="A5908" s="1"/>
      <c r="B5908" s="2"/>
      <c r="AA5908" s="3"/>
      <c r="AD5908" s="3"/>
      <c r="AG5908" s="3"/>
      <c r="AJ5908" s="3"/>
    </row>
    <row r="5909" spans="1:36" x14ac:dyDescent="0.25">
      <c r="A5909" s="1"/>
      <c r="B5909" s="2"/>
      <c r="AA5909" s="3"/>
      <c r="AD5909" s="3"/>
      <c r="AG5909" s="3"/>
      <c r="AJ5909" s="3"/>
    </row>
    <row r="5910" spans="1:36" x14ac:dyDescent="0.25">
      <c r="A5910" s="1"/>
      <c r="B5910" s="2"/>
      <c r="AA5910" s="3"/>
      <c r="AD5910" s="3"/>
      <c r="AG5910" s="3"/>
      <c r="AJ5910" s="3"/>
    </row>
    <row r="5911" spans="1:36" x14ac:dyDescent="0.25">
      <c r="A5911" s="1"/>
      <c r="B5911" s="2"/>
      <c r="AA5911" s="3"/>
      <c r="AD5911" s="3"/>
      <c r="AG5911" s="3"/>
      <c r="AJ5911" s="3"/>
    </row>
    <row r="5912" spans="1:36" x14ac:dyDescent="0.25">
      <c r="A5912" s="1"/>
      <c r="B5912" s="2"/>
      <c r="AA5912" s="3"/>
      <c r="AD5912" s="3"/>
      <c r="AG5912" s="3"/>
      <c r="AJ5912" s="3"/>
    </row>
    <row r="5913" spans="1:36" x14ac:dyDescent="0.25">
      <c r="A5913" s="1"/>
      <c r="B5913" s="2"/>
      <c r="AA5913" s="3"/>
      <c r="AD5913" s="3"/>
      <c r="AG5913" s="3"/>
      <c r="AJ5913" s="3"/>
    </row>
    <row r="5914" spans="1:36" x14ac:dyDescent="0.25">
      <c r="A5914" s="1"/>
      <c r="B5914" s="2"/>
      <c r="AA5914" s="3"/>
      <c r="AD5914" s="3"/>
      <c r="AG5914" s="3"/>
      <c r="AJ5914" s="3"/>
    </row>
    <row r="5915" spans="1:36" x14ac:dyDescent="0.25">
      <c r="A5915" s="1"/>
      <c r="B5915" s="2"/>
      <c r="AA5915" s="3"/>
      <c r="AD5915" s="3"/>
      <c r="AG5915" s="3"/>
      <c r="AJ5915" s="3"/>
    </row>
    <row r="5916" spans="1:36" x14ac:dyDescent="0.25">
      <c r="A5916" s="1"/>
      <c r="B5916" s="2"/>
      <c r="AA5916" s="3"/>
      <c r="AD5916" s="3"/>
      <c r="AG5916" s="3"/>
      <c r="AJ5916" s="3"/>
    </row>
    <row r="5917" spans="1:36" x14ac:dyDescent="0.25">
      <c r="A5917" s="1"/>
      <c r="B5917" s="2"/>
      <c r="AA5917" s="3"/>
      <c r="AD5917" s="3"/>
      <c r="AG5917" s="3"/>
      <c r="AJ5917" s="3"/>
    </row>
    <row r="5918" spans="1:36" x14ac:dyDescent="0.25">
      <c r="A5918" s="1"/>
      <c r="B5918" s="2"/>
      <c r="AA5918" s="3"/>
      <c r="AD5918" s="3"/>
      <c r="AG5918" s="3"/>
      <c r="AJ5918" s="3"/>
    </row>
    <row r="5919" spans="1:36" x14ac:dyDescent="0.25">
      <c r="A5919" s="1"/>
      <c r="B5919" s="2"/>
      <c r="AA5919" s="3"/>
      <c r="AD5919" s="3"/>
      <c r="AG5919" s="3"/>
      <c r="AJ5919" s="3"/>
    </row>
    <row r="5920" spans="1:36" x14ac:dyDescent="0.25">
      <c r="A5920" s="1"/>
      <c r="B5920" s="2"/>
      <c r="AA5920" s="3"/>
      <c r="AD5920" s="3"/>
      <c r="AG5920" s="3"/>
      <c r="AJ5920" s="3"/>
    </row>
    <row r="5921" spans="1:36" x14ac:dyDescent="0.25">
      <c r="A5921" s="1"/>
      <c r="B5921" s="2"/>
      <c r="AA5921" s="3"/>
      <c r="AD5921" s="3"/>
      <c r="AG5921" s="3"/>
      <c r="AJ5921" s="3"/>
    </row>
    <row r="5922" spans="1:36" x14ac:dyDescent="0.25">
      <c r="A5922" s="1"/>
      <c r="B5922" s="2"/>
      <c r="AA5922" s="3"/>
      <c r="AD5922" s="3"/>
      <c r="AG5922" s="3"/>
      <c r="AJ5922" s="3"/>
    </row>
    <row r="5923" spans="1:36" x14ac:dyDescent="0.25">
      <c r="A5923" s="1"/>
      <c r="B5923" s="2"/>
      <c r="AA5923" s="3"/>
      <c r="AD5923" s="3"/>
      <c r="AG5923" s="3"/>
      <c r="AJ5923" s="3"/>
    </row>
    <row r="5924" spans="1:36" x14ac:dyDescent="0.25">
      <c r="A5924" s="1"/>
      <c r="B5924" s="2"/>
      <c r="AA5924" s="3"/>
      <c r="AD5924" s="3"/>
      <c r="AG5924" s="3"/>
      <c r="AJ5924" s="3"/>
    </row>
    <row r="5925" spans="1:36" x14ac:dyDescent="0.25">
      <c r="A5925" s="1"/>
      <c r="B5925" s="2"/>
      <c r="AA5925" s="3"/>
      <c r="AD5925" s="3"/>
      <c r="AG5925" s="3"/>
      <c r="AJ5925" s="3"/>
    </row>
    <row r="5926" spans="1:36" x14ac:dyDescent="0.25">
      <c r="A5926" s="1"/>
      <c r="B5926" s="2"/>
      <c r="AA5926" s="3"/>
      <c r="AD5926" s="3"/>
      <c r="AG5926" s="3"/>
      <c r="AJ5926" s="3"/>
    </row>
    <row r="5927" spans="1:36" x14ac:dyDescent="0.25">
      <c r="A5927" s="1"/>
      <c r="B5927" s="2"/>
      <c r="AA5927" s="3"/>
      <c r="AD5927" s="3"/>
      <c r="AG5927" s="3"/>
      <c r="AJ5927" s="3"/>
    </row>
    <row r="5928" spans="1:36" x14ac:dyDescent="0.25">
      <c r="A5928" s="1"/>
      <c r="B5928" s="2"/>
      <c r="AA5928" s="3"/>
      <c r="AD5928" s="3"/>
      <c r="AG5928" s="3"/>
      <c r="AJ5928" s="3"/>
    </row>
    <row r="5929" spans="1:36" x14ac:dyDescent="0.25">
      <c r="A5929" s="1"/>
      <c r="B5929" s="2"/>
      <c r="AA5929" s="3"/>
      <c r="AD5929" s="3"/>
      <c r="AG5929" s="3"/>
      <c r="AJ5929" s="3"/>
    </row>
    <row r="5930" spans="1:36" x14ac:dyDescent="0.25">
      <c r="A5930" s="1"/>
      <c r="B5930" s="2"/>
      <c r="AA5930" s="3"/>
      <c r="AD5930" s="3"/>
      <c r="AG5930" s="3"/>
      <c r="AJ5930" s="3"/>
    </row>
    <row r="5931" spans="1:36" x14ac:dyDescent="0.25">
      <c r="A5931" s="1"/>
      <c r="B5931" s="2"/>
      <c r="AA5931" s="3"/>
      <c r="AD5931" s="3"/>
      <c r="AG5931" s="3"/>
      <c r="AJ5931" s="3"/>
    </row>
    <row r="5932" spans="1:36" x14ac:dyDescent="0.25">
      <c r="A5932" s="1"/>
      <c r="B5932" s="2"/>
      <c r="AA5932" s="3"/>
      <c r="AD5932" s="3"/>
      <c r="AG5932" s="3"/>
      <c r="AJ5932" s="3"/>
    </row>
    <row r="5933" spans="1:36" x14ac:dyDescent="0.25">
      <c r="A5933" s="1"/>
      <c r="B5933" s="2"/>
      <c r="AA5933" s="3"/>
      <c r="AD5933" s="3"/>
      <c r="AG5933" s="3"/>
      <c r="AJ5933" s="3"/>
    </row>
    <row r="5934" spans="1:36" x14ac:dyDescent="0.25">
      <c r="A5934" s="1"/>
      <c r="B5934" s="2"/>
      <c r="AA5934" s="3"/>
      <c r="AD5934" s="3"/>
      <c r="AG5934" s="3"/>
      <c r="AJ5934" s="3"/>
    </row>
    <row r="5935" spans="1:36" x14ac:dyDescent="0.25">
      <c r="A5935" s="1"/>
      <c r="B5935" s="2"/>
      <c r="AA5935" s="3"/>
      <c r="AD5935" s="3"/>
      <c r="AG5935" s="3"/>
      <c r="AJ5935" s="3"/>
    </row>
    <row r="5936" spans="1:36" x14ac:dyDescent="0.25">
      <c r="A5936" s="1"/>
      <c r="B5936" s="2"/>
      <c r="AA5936" s="3"/>
      <c r="AD5936" s="3"/>
      <c r="AG5936" s="3"/>
      <c r="AJ5936" s="3"/>
    </row>
    <row r="5937" spans="1:36" x14ac:dyDescent="0.25">
      <c r="A5937" s="1"/>
      <c r="B5937" s="2"/>
      <c r="AA5937" s="3"/>
      <c r="AD5937" s="3"/>
      <c r="AG5937" s="3"/>
      <c r="AJ5937" s="3"/>
    </row>
    <row r="5938" spans="1:36" x14ac:dyDescent="0.25">
      <c r="A5938" s="1"/>
      <c r="B5938" s="2"/>
      <c r="AA5938" s="3"/>
      <c r="AD5938" s="3"/>
      <c r="AG5938" s="3"/>
      <c r="AJ5938" s="3"/>
    </row>
    <row r="5939" spans="1:36" x14ac:dyDescent="0.25">
      <c r="A5939" s="1"/>
      <c r="B5939" s="2"/>
      <c r="AA5939" s="3"/>
      <c r="AD5939" s="3"/>
      <c r="AG5939" s="3"/>
      <c r="AJ5939" s="3"/>
    </row>
    <row r="5940" spans="1:36" x14ac:dyDescent="0.25">
      <c r="A5940" s="1"/>
      <c r="B5940" s="2"/>
      <c r="AA5940" s="3"/>
      <c r="AD5940" s="3"/>
      <c r="AG5940" s="3"/>
      <c r="AJ5940" s="3"/>
    </row>
    <row r="5941" spans="1:36" x14ac:dyDescent="0.25">
      <c r="A5941" s="1"/>
      <c r="B5941" s="2"/>
      <c r="AA5941" s="3"/>
      <c r="AD5941" s="3"/>
      <c r="AG5941" s="3"/>
      <c r="AJ5941" s="3"/>
    </row>
    <row r="5942" spans="1:36" x14ac:dyDescent="0.25">
      <c r="A5942" s="1"/>
      <c r="B5942" s="2"/>
      <c r="AA5942" s="3"/>
      <c r="AD5942" s="3"/>
      <c r="AG5942" s="3"/>
      <c r="AJ5942" s="3"/>
    </row>
    <row r="5943" spans="1:36" x14ac:dyDescent="0.25">
      <c r="A5943" s="1"/>
      <c r="B5943" s="2"/>
      <c r="AA5943" s="3"/>
      <c r="AD5943" s="3"/>
      <c r="AG5943" s="3"/>
      <c r="AJ5943" s="3"/>
    </row>
    <row r="5944" spans="1:36" x14ac:dyDescent="0.25">
      <c r="A5944" s="1"/>
      <c r="B5944" s="2"/>
      <c r="AA5944" s="3"/>
      <c r="AD5944" s="3"/>
      <c r="AG5944" s="3"/>
      <c r="AJ5944" s="3"/>
    </row>
    <row r="5945" spans="1:36" x14ac:dyDescent="0.25">
      <c r="A5945" s="1"/>
      <c r="B5945" s="2"/>
      <c r="AA5945" s="3"/>
      <c r="AD5945" s="3"/>
      <c r="AG5945" s="3"/>
      <c r="AJ5945" s="3"/>
    </row>
    <row r="5946" spans="1:36" x14ac:dyDescent="0.25">
      <c r="A5946" s="1"/>
      <c r="B5946" s="2"/>
      <c r="AA5946" s="3"/>
      <c r="AD5946" s="3"/>
      <c r="AG5946" s="3"/>
      <c r="AJ5946" s="3"/>
    </row>
    <row r="5947" spans="1:36" x14ac:dyDescent="0.25">
      <c r="A5947" s="1"/>
      <c r="B5947" s="2"/>
      <c r="AA5947" s="3"/>
      <c r="AD5947" s="3"/>
      <c r="AG5947" s="3"/>
      <c r="AJ5947" s="3"/>
    </row>
    <row r="5948" spans="1:36" x14ac:dyDescent="0.25">
      <c r="A5948" s="1"/>
      <c r="B5948" s="2"/>
      <c r="AA5948" s="3"/>
      <c r="AD5948" s="3"/>
      <c r="AG5948" s="3"/>
      <c r="AJ5948" s="3"/>
    </row>
    <row r="5949" spans="1:36" x14ac:dyDescent="0.25">
      <c r="A5949" s="1"/>
      <c r="B5949" s="2"/>
      <c r="AA5949" s="3"/>
      <c r="AD5949" s="3"/>
      <c r="AG5949" s="3"/>
      <c r="AJ5949" s="3"/>
    </row>
    <row r="5950" spans="1:36" x14ac:dyDescent="0.25">
      <c r="A5950" s="1"/>
      <c r="B5950" s="2"/>
      <c r="AA5950" s="3"/>
      <c r="AD5950" s="3"/>
      <c r="AG5950" s="3"/>
      <c r="AJ5950" s="3"/>
    </row>
    <row r="5951" spans="1:36" x14ac:dyDescent="0.25">
      <c r="A5951" s="1"/>
      <c r="B5951" s="2"/>
      <c r="AA5951" s="3"/>
      <c r="AD5951" s="3"/>
      <c r="AG5951" s="3"/>
      <c r="AJ5951" s="3"/>
    </row>
    <row r="5952" spans="1:36" x14ac:dyDescent="0.25">
      <c r="A5952" s="1"/>
      <c r="B5952" s="2"/>
      <c r="AA5952" s="3"/>
      <c r="AD5952" s="3"/>
      <c r="AG5952" s="3"/>
      <c r="AJ5952" s="3"/>
    </row>
    <row r="5953" spans="1:36" x14ac:dyDescent="0.25">
      <c r="A5953" s="1"/>
      <c r="B5953" s="2"/>
      <c r="AA5953" s="3"/>
      <c r="AD5953" s="3"/>
      <c r="AG5953" s="3"/>
      <c r="AJ5953" s="3"/>
    </row>
    <row r="5954" spans="1:36" x14ac:dyDescent="0.25">
      <c r="A5954" s="1"/>
      <c r="B5954" s="2"/>
      <c r="AA5954" s="3"/>
      <c r="AD5954" s="3"/>
      <c r="AG5954" s="3"/>
      <c r="AJ5954" s="3"/>
    </row>
    <row r="5955" spans="1:36" x14ac:dyDescent="0.25">
      <c r="A5955" s="1"/>
      <c r="B5955" s="2"/>
      <c r="AA5955" s="3"/>
      <c r="AD5955" s="3"/>
      <c r="AG5955" s="3"/>
      <c r="AJ5955" s="3"/>
    </row>
    <row r="5956" spans="1:36" x14ac:dyDescent="0.25">
      <c r="A5956" s="1"/>
      <c r="B5956" s="2"/>
      <c r="AA5956" s="3"/>
      <c r="AD5956" s="3"/>
      <c r="AG5956" s="3"/>
      <c r="AJ5956" s="3"/>
    </row>
    <row r="5957" spans="1:36" x14ac:dyDescent="0.25">
      <c r="A5957" s="1"/>
      <c r="B5957" s="2"/>
      <c r="AA5957" s="3"/>
      <c r="AD5957" s="3"/>
      <c r="AG5957" s="3"/>
      <c r="AJ5957" s="3"/>
    </row>
    <row r="5958" spans="1:36" x14ac:dyDescent="0.25">
      <c r="A5958" s="1"/>
      <c r="B5958" s="2"/>
      <c r="AA5958" s="3"/>
      <c r="AD5958" s="3"/>
      <c r="AG5958" s="3"/>
      <c r="AJ5958" s="3"/>
    </row>
    <row r="5959" spans="1:36" x14ac:dyDescent="0.25">
      <c r="A5959" s="1"/>
      <c r="B5959" s="2"/>
      <c r="AA5959" s="3"/>
      <c r="AD5959" s="3"/>
      <c r="AG5959" s="3"/>
      <c r="AJ5959" s="3"/>
    </row>
    <row r="5960" spans="1:36" x14ac:dyDescent="0.25">
      <c r="A5960" s="1"/>
      <c r="B5960" s="2"/>
      <c r="AA5960" s="3"/>
      <c r="AD5960" s="3"/>
      <c r="AG5960" s="3"/>
      <c r="AJ5960" s="3"/>
    </row>
    <row r="5961" spans="1:36" x14ac:dyDescent="0.25">
      <c r="A5961" s="1"/>
      <c r="B5961" s="2"/>
      <c r="AA5961" s="3"/>
      <c r="AD5961" s="3"/>
      <c r="AG5961" s="3"/>
      <c r="AJ5961" s="3"/>
    </row>
    <row r="5962" spans="1:36" x14ac:dyDescent="0.25">
      <c r="A5962" s="1"/>
      <c r="B5962" s="2"/>
      <c r="AA5962" s="3"/>
      <c r="AD5962" s="3"/>
      <c r="AG5962" s="3"/>
      <c r="AJ5962" s="3"/>
    </row>
    <row r="5963" spans="1:36" x14ac:dyDescent="0.25">
      <c r="A5963" s="1"/>
      <c r="B5963" s="2"/>
      <c r="AA5963" s="3"/>
      <c r="AD5963" s="3"/>
      <c r="AG5963" s="3"/>
      <c r="AJ5963" s="3"/>
    </row>
    <row r="5964" spans="1:36" x14ac:dyDescent="0.25">
      <c r="A5964" s="1"/>
      <c r="B5964" s="2"/>
      <c r="AA5964" s="3"/>
      <c r="AD5964" s="3"/>
      <c r="AG5964" s="3"/>
      <c r="AJ5964" s="3"/>
    </row>
    <row r="5965" spans="1:36" x14ac:dyDescent="0.25">
      <c r="A5965" s="1"/>
      <c r="B5965" s="2"/>
      <c r="AA5965" s="3"/>
      <c r="AD5965" s="3"/>
      <c r="AG5965" s="3"/>
      <c r="AJ5965" s="3"/>
    </row>
    <row r="5966" spans="1:36" x14ac:dyDescent="0.25">
      <c r="A5966" s="1"/>
      <c r="B5966" s="2"/>
      <c r="AA5966" s="3"/>
      <c r="AD5966" s="3"/>
      <c r="AG5966" s="3"/>
      <c r="AJ5966" s="3"/>
    </row>
    <row r="5967" spans="1:36" x14ac:dyDescent="0.25">
      <c r="A5967" s="1"/>
      <c r="B5967" s="2"/>
      <c r="AA5967" s="3"/>
      <c r="AD5967" s="3"/>
      <c r="AG5967" s="3"/>
      <c r="AJ5967" s="3"/>
    </row>
    <row r="5968" spans="1:36" x14ac:dyDescent="0.25">
      <c r="A5968" s="1"/>
      <c r="B5968" s="2"/>
      <c r="AA5968" s="3"/>
      <c r="AD5968" s="3"/>
      <c r="AG5968" s="3"/>
      <c r="AJ5968" s="3"/>
    </row>
    <row r="5969" spans="1:36" x14ac:dyDescent="0.25">
      <c r="A5969" s="1"/>
      <c r="B5969" s="2"/>
      <c r="AA5969" s="3"/>
      <c r="AD5969" s="3"/>
      <c r="AG5969" s="3"/>
      <c r="AJ5969" s="3"/>
    </row>
    <row r="5970" spans="1:36" x14ac:dyDescent="0.25">
      <c r="A5970" s="1"/>
      <c r="B5970" s="2"/>
      <c r="AA5970" s="3"/>
      <c r="AD5970" s="3"/>
      <c r="AG5970" s="3"/>
      <c r="AJ5970" s="3"/>
    </row>
    <row r="5971" spans="1:36" x14ac:dyDescent="0.25">
      <c r="A5971" s="1"/>
      <c r="B5971" s="2"/>
      <c r="AA5971" s="3"/>
      <c r="AD5971" s="3"/>
      <c r="AG5971" s="3"/>
      <c r="AJ5971" s="3"/>
    </row>
    <row r="5972" spans="1:36" x14ac:dyDescent="0.25">
      <c r="A5972" s="1"/>
      <c r="B5972" s="2"/>
      <c r="AA5972" s="3"/>
      <c r="AD5972" s="3"/>
      <c r="AG5972" s="3"/>
      <c r="AJ5972" s="3"/>
    </row>
    <row r="5973" spans="1:36" x14ac:dyDescent="0.25">
      <c r="A5973" s="1"/>
      <c r="B5973" s="2"/>
      <c r="AA5973" s="3"/>
      <c r="AD5973" s="3"/>
      <c r="AG5973" s="3"/>
      <c r="AJ5973" s="3"/>
    </row>
    <row r="5974" spans="1:36" x14ac:dyDescent="0.25">
      <c r="A5974" s="1"/>
      <c r="B5974" s="2"/>
      <c r="AA5974" s="3"/>
      <c r="AD5974" s="3"/>
      <c r="AG5974" s="3"/>
      <c r="AJ5974" s="3"/>
    </row>
    <row r="5975" spans="1:36" x14ac:dyDescent="0.25">
      <c r="A5975" s="1"/>
      <c r="B5975" s="2"/>
      <c r="AA5975" s="3"/>
      <c r="AD5975" s="3"/>
      <c r="AG5975" s="3"/>
      <c r="AJ5975" s="3"/>
    </row>
    <row r="5976" spans="1:36" x14ac:dyDescent="0.25">
      <c r="A5976" s="1"/>
      <c r="B5976" s="2"/>
      <c r="AA5976" s="3"/>
      <c r="AD5976" s="3"/>
      <c r="AG5976" s="3"/>
      <c r="AJ5976" s="3"/>
    </row>
    <row r="5977" spans="1:36" x14ac:dyDescent="0.25">
      <c r="A5977" s="1"/>
      <c r="B5977" s="2"/>
      <c r="AA5977" s="3"/>
      <c r="AD5977" s="3"/>
      <c r="AG5977" s="3"/>
      <c r="AJ5977" s="3"/>
    </row>
    <row r="5978" spans="1:36" x14ac:dyDescent="0.25">
      <c r="A5978" s="1"/>
      <c r="B5978" s="2"/>
      <c r="AA5978" s="3"/>
      <c r="AD5978" s="3"/>
      <c r="AG5978" s="3"/>
      <c r="AJ5978" s="3"/>
    </row>
    <row r="5979" spans="1:36" x14ac:dyDescent="0.25">
      <c r="A5979" s="1"/>
      <c r="B5979" s="2"/>
      <c r="AA5979" s="3"/>
      <c r="AD5979" s="3"/>
      <c r="AG5979" s="3"/>
      <c r="AJ5979" s="3"/>
    </row>
    <row r="5980" spans="1:36" x14ac:dyDescent="0.25">
      <c r="A5980" s="1"/>
      <c r="B5980" s="2"/>
      <c r="AA5980" s="3"/>
      <c r="AD5980" s="3"/>
      <c r="AG5980" s="3"/>
      <c r="AJ5980" s="3"/>
    </row>
    <row r="5981" spans="1:36" x14ac:dyDescent="0.25">
      <c r="A5981" s="1"/>
      <c r="B5981" s="2"/>
      <c r="AA5981" s="3"/>
      <c r="AD5981" s="3"/>
      <c r="AG5981" s="3"/>
      <c r="AJ5981" s="3"/>
    </row>
    <row r="5982" spans="1:36" x14ac:dyDescent="0.25">
      <c r="A5982" s="1"/>
      <c r="B5982" s="2"/>
      <c r="AA5982" s="3"/>
      <c r="AD5982" s="3"/>
      <c r="AG5982" s="3"/>
      <c r="AJ5982" s="3"/>
    </row>
    <row r="5983" spans="1:36" x14ac:dyDescent="0.25">
      <c r="A5983" s="1"/>
      <c r="B5983" s="2"/>
      <c r="AA5983" s="3"/>
      <c r="AD5983" s="3"/>
      <c r="AG5983" s="3"/>
      <c r="AJ5983" s="3"/>
    </row>
    <row r="5984" spans="1:36" x14ac:dyDescent="0.25">
      <c r="A5984" s="1"/>
      <c r="B5984" s="2"/>
      <c r="AA5984" s="3"/>
      <c r="AD5984" s="3"/>
      <c r="AG5984" s="3"/>
      <c r="AJ5984" s="3"/>
    </row>
    <row r="5985" spans="1:36" x14ac:dyDescent="0.25">
      <c r="A5985" s="1"/>
      <c r="B5985" s="2"/>
      <c r="AA5985" s="3"/>
      <c r="AD5985" s="3"/>
      <c r="AG5985" s="3"/>
      <c r="AJ5985" s="3"/>
    </row>
    <row r="5986" spans="1:36" x14ac:dyDescent="0.25">
      <c r="A5986" s="1"/>
      <c r="B5986" s="2"/>
      <c r="AA5986" s="3"/>
      <c r="AD5986" s="3"/>
      <c r="AG5986" s="3"/>
      <c r="AJ5986" s="3"/>
    </row>
    <row r="5987" spans="1:36" x14ac:dyDescent="0.25">
      <c r="A5987" s="1"/>
      <c r="B5987" s="2"/>
      <c r="AA5987" s="3"/>
      <c r="AD5987" s="3"/>
      <c r="AG5987" s="3"/>
      <c r="AJ5987" s="3"/>
    </row>
    <row r="5988" spans="1:36" x14ac:dyDescent="0.25">
      <c r="A5988" s="1"/>
      <c r="B5988" s="2"/>
      <c r="AA5988" s="3"/>
      <c r="AD5988" s="3"/>
      <c r="AG5988" s="3"/>
      <c r="AJ5988" s="3"/>
    </row>
    <row r="5989" spans="1:36" x14ac:dyDescent="0.25">
      <c r="A5989" s="1"/>
      <c r="B5989" s="2"/>
      <c r="AA5989" s="3"/>
      <c r="AD5989" s="3"/>
      <c r="AG5989" s="3"/>
      <c r="AJ5989" s="3"/>
    </row>
    <row r="5990" spans="1:36" x14ac:dyDescent="0.25">
      <c r="A5990" s="1"/>
      <c r="B5990" s="2"/>
      <c r="AA5990" s="3"/>
      <c r="AD5990" s="3"/>
      <c r="AG5990" s="3"/>
      <c r="AJ5990" s="3"/>
    </row>
    <row r="5991" spans="1:36" x14ac:dyDescent="0.25">
      <c r="A5991" s="1"/>
      <c r="B5991" s="2"/>
      <c r="AA5991" s="3"/>
      <c r="AD5991" s="3"/>
      <c r="AG5991" s="3"/>
      <c r="AJ5991" s="3"/>
    </row>
    <row r="5992" spans="1:36" x14ac:dyDescent="0.25">
      <c r="A5992" s="1"/>
      <c r="B5992" s="2"/>
      <c r="AA5992" s="3"/>
      <c r="AD5992" s="3"/>
      <c r="AG5992" s="3"/>
      <c r="AJ5992" s="3"/>
    </row>
    <row r="5993" spans="1:36" x14ac:dyDescent="0.25">
      <c r="A5993" s="1"/>
      <c r="B5993" s="2"/>
      <c r="AA5993" s="3"/>
      <c r="AD5993" s="3"/>
      <c r="AG5993" s="3"/>
      <c r="AJ5993" s="3"/>
    </row>
    <row r="5994" spans="1:36" x14ac:dyDescent="0.25">
      <c r="A5994" s="1"/>
      <c r="B5994" s="2"/>
      <c r="AA5994" s="3"/>
      <c r="AD5994" s="3"/>
      <c r="AG5994" s="3"/>
      <c r="AJ5994" s="3"/>
    </row>
    <row r="5995" spans="1:36" x14ac:dyDescent="0.25">
      <c r="A5995" s="1"/>
      <c r="B5995" s="2"/>
      <c r="AA5995" s="3"/>
      <c r="AD5995" s="3"/>
      <c r="AG5995" s="3"/>
      <c r="AJ5995" s="3"/>
    </row>
    <row r="5996" spans="1:36" x14ac:dyDescent="0.25">
      <c r="A5996" s="1"/>
      <c r="B5996" s="2"/>
      <c r="AA5996" s="3"/>
      <c r="AD5996" s="3"/>
      <c r="AG5996" s="3"/>
      <c r="AJ5996" s="3"/>
    </row>
    <row r="5997" spans="1:36" x14ac:dyDescent="0.25">
      <c r="A5997" s="1"/>
      <c r="B5997" s="2"/>
      <c r="AA5997" s="3"/>
      <c r="AD5997" s="3"/>
      <c r="AG5997" s="3"/>
      <c r="AJ5997" s="3"/>
    </row>
    <row r="5998" spans="1:36" x14ac:dyDescent="0.25">
      <c r="A5998" s="1"/>
      <c r="B5998" s="2"/>
      <c r="AA5998" s="3"/>
      <c r="AD5998" s="3"/>
      <c r="AG5998" s="3"/>
      <c r="AJ5998" s="3"/>
    </row>
    <row r="5999" spans="1:36" x14ac:dyDescent="0.25">
      <c r="A5999" s="1"/>
      <c r="B5999" s="2"/>
      <c r="AA5999" s="3"/>
      <c r="AD5999" s="3"/>
      <c r="AG5999" s="3"/>
      <c r="AJ5999" s="3"/>
    </row>
    <row r="6000" spans="1:36" x14ac:dyDescent="0.25">
      <c r="A6000" s="1"/>
      <c r="B6000" s="2"/>
      <c r="AA6000" s="3"/>
      <c r="AD6000" s="3"/>
      <c r="AG6000" s="3"/>
      <c r="AJ6000" s="3"/>
    </row>
    <row r="6001" spans="1:36" x14ac:dyDescent="0.25">
      <c r="A6001" s="1"/>
      <c r="B6001" s="2"/>
      <c r="AA6001" s="3"/>
      <c r="AD6001" s="3"/>
      <c r="AG6001" s="3"/>
      <c r="AJ6001" s="3"/>
    </row>
    <row r="6002" spans="1:36" x14ac:dyDescent="0.25">
      <c r="A6002" s="1"/>
      <c r="B6002" s="2"/>
      <c r="AA6002" s="3"/>
      <c r="AD6002" s="3"/>
      <c r="AG6002" s="3"/>
      <c r="AJ6002" s="3"/>
    </row>
    <row r="6003" spans="1:36" x14ac:dyDescent="0.25">
      <c r="A6003" s="1"/>
      <c r="B6003" s="2"/>
      <c r="AA6003" s="3"/>
      <c r="AD6003" s="3"/>
      <c r="AG6003" s="3"/>
      <c r="AJ6003" s="3"/>
    </row>
    <row r="6004" spans="1:36" x14ac:dyDescent="0.25">
      <c r="A6004" s="1"/>
      <c r="B6004" s="2"/>
      <c r="AA6004" s="3"/>
      <c r="AD6004" s="3"/>
      <c r="AG6004" s="3"/>
      <c r="AJ6004" s="3"/>
    </row>
    <row r="6005" spans="1:36" x14ac:dyDescent="0.25">
      <c r="A6005" s="1"/>
      <c r="B6005" s="2"/>
      <c r="AA6005" s="3"/>
      <c r="AD6005" s="3"/>
      <c r="AG6005" s="3"/>
      <c r="AJ6005" s="3"/>
    </row>
    <row r="6006" spans="1:36" x14ac:dyDescent="0.25">
      <c r="A6006" s="1"/>
      <c r="B6006" s="2"/>
      <c r="AA6006" s="3"/>
      <c r="AD6006" s="3"/>
      <c r="AG6006" s="3"/>
      <c r="AJ6006" s="3"/>
    </row>
    <row r="6007" spans="1:36" x14ac:dyDescent="0.25">
      <c r="A6007" s="1"/>
      <c r="B6007" s="2"/>
      <c r="AA6007" s="3"/>
      <c r="AD6007" s="3"/>
      <c r="AG6007" s="3"/>
      <c r="AJ6007" s="3"/>
    </row>
    <row r="6008" spans="1:36" x14ac:dyDescent="0.25">
      <c r="A6008" s="1"/>
      <c r="B6008" s="2"/>
      <c r="AA6008" s="3"/>
      <c r="AD6008" s="3"/>
      <c r="AG6008" s="3"/>
      <c r="AJ6008" s="3"/>
    </row>
    <row r="6009" spans="1:36" x14ac:dyDescent="0.25">
      <c r="A6009" s="1"/>
      <c r="B6009" s="2"/>
      <c r="AA6009" s="3"/>
      <c r="AD6009" s="3"/>
      <c r="AG6009" s="3"/>
      <c r="AJ6009" s="3"/>
    </row>
    <row r="6010" spans="1:36" x14ac:dyDescent="0.25">
      <c r="A6010" s="1"/>
      <c r="B6010" s="2"/>
      <c r="AA6010" s="3"/>
      <c r="AD6010" s="3"/>
      <c r="AG6010" s="3"/>
      <c r="AJ6010" s="3"/>
    </row>
    <row r="6011" spans="1:36" x14ac:dyDescent="0.25">
      <c r="A6011" s="1"/>
      <c r="B6011" s="2"/>
      <c r="AA6011" s="3"/>
      <c r="AD6011" s="3"/>
      <c r="AG6011" s="3"/>
      <c r="AJ6011" s="3"/>
    </row>
    <row r="6012" spans="1:36" x14ac:dyDescent="0.25">
      <c r="A6012" s="1"/>
      <c r="B6012" s="2"/>
      <c r="AA6012" s="3"/>
      <c r="AD6012" s="3"/>
      <c r="AG6012" s="3"/>
      <c r="AJ6012" s="3"/>
    </row>
    <row r="6013" spans="1:36" x14ac:dyDescent="0.25">
      <c r="A6013" s="1"/>
      <c r="B6013" s="2"/>
      <c r="AA6013" s="3"/>
      <c r="AD6013" s="3"/>
      <c r="AG6013" s="3"/>
      <c r="AJ6013" s="3"/>
    </row>
    <row r="6014" spans="1:36" x14ac:dyDescent="0.25">
      <c r="A6014" s="1"/>
      <c r="B6014" s="2"/>
      <c r="AA6014" s="3"/>
      <c r="AD6014" s="3"/>
      <c r="AG6014" s="3"/>
      <c r="AJ6014" s="3"/>
    </row>
    <row r="6015" spans="1:36" x14ac:dyDescent="0.25">
      <c r="A6015" s="1"/>
      <c r="B6015" s="2"/>
      <c r="AA6015" s="3"/>
      <c r="AD6015" s="3"/>
      <c r="AG6015" s="3"/>
      <c r="AJ6015" s="3"/>
    </row>
    <row r="6016" spans="1:36" x14ac:dyDescent="0.25">
      <c r="A6016" s="1"/>
      <c r="B6016" s="2"/>
      <c r="AA6016" s="3"/>
      <c r="AD6016" s="3"/>
      <c r="AG6016" s="3"/>
      <c r="AJ6016" s="3"/>
    </row>
    <row r="6017" spans="1:36" x14ac:dyDescent="0.25">
      <c r="A6017" s="1"/>
      <c r="B6017" s="2"/>
      <c r="AA6017" s="3"/>
      <c r="AD6017" s="3"/>
      <c r="AG6017" s="3"/>
      <c r="AJ6017" s="3"/>
    </row>
    <row r="6018" spans="1:36" x14ac:dyDescent="0.25">
      <c r="A6018" s="1"/>
      <c r="B6018" s="2"/>
      <c r="AA6018" s="3"/>
      <c r="AD6018" s="3"/>
      <c r="AG6018" s="3"/>
      <c r="AJ6018" s="3"/>
    </row>
    <row r="6019" spans="1:36" x14ac:dyDescent="0.25">
      <c r="A6019" s="1"/>
      <c r="B6019" s="2"/>
      <c r="AA6019" s="3"/>
      <c r="AD6019" s="3"/>
      <c r="AG6019" s="3"/>
      <c r="AJ6019" s="3"/>
    </row>
    <row r="6020" spans="1:36" x14ac:dyDescent="0.25">
      <c r="A6020" s="1"/>
      <c r="B6020" s="2"/>
      <c r="AA6020" s="3"/>
      <c r="AD6020" s="3"/>
      <c r="AG6020" s="3"/>
      <c r="AJ6020" s="3"/>
    </row>
    <row r="6021" spans="1:36" x14ac:dyDescent="0.25">
      <c r="A6021" s="1"/>
      <c r="B6021" s="2"/>
      <c r="AA6021" s="3"/>
      <c r="AD6021" s="3"/>
      <c r="AG6021" s="3"/>
      <c r="AJ6021" s="3"/>
    </row>
    <row r="6022" spans="1:36" x14ac:dyDescent="0.25">
      <c r="A6022" s="1"/>
      <c r="B6022" s="2"/>
      <c r="AA6022" s="3"/>
      <c r="AD6022" s="3"/>
      <c r="AG6022" s="3"/>
      <c r="AJ6022" s="3"/>
    </row>
    <row r="6023" spans="1:36" x14ac:dyDescent="0.25">
      <c r="A6023" s="1"/>
      <c r="B6023" s="2"/>
      <c r="AA6023" s="3"/>
      <c r="AD6023" s="3"/>
      <c r="AG6023" s="3"/>
      <c r="AJ6023" s="3"/>
    </row>
    <row r="6024" spans="1:36" x14ac:dyDescent="0.25">
      <c r="A6024" s="1"/>
      <c r="B6024" s="2"/>
      <c r="AA6024" s="3"/>
      <c r="AD6024" s="3"/>
      <c r="AG6024" s="3"/>
      <c r="AJ6024" s="3"/>
    </row>
    <row r="6025" spans="1:36" x14ac:dyDescent="0.25">
      <c r="A6025" s="1"/>
      <c r="B6025" s="2"/>
      <c r="AA6025" s="3"/>
      <c r="AD6025" s="3"/>
      <c r="AG6025" s="3"/>
      <c r="AJ6025" s="3"/>
    </row>
    <row r="6026" spans="1:36" x14ac:dyDescent="0.25">
      <c r="A6026" s="1"/>
      <c r="B6026" s="2"/>
      <c r="AA6026" s="3"/>
      <c r="AD6026" s="3"/>
      <c r="AG6026" s="3"/>
      <c r="AJ6026" s="3"/>
    </row>
    <row r="6027" spans="1:36" x14ac:dyDescent="0.25">
      <c r="A6027" s="1"/>
      <c r="B6027" s="2"/>
      <c r="AA6027" s="3"/>
      <c r="AD6027" s="3"/>
      <c r="AG6027" s="3"/>
      <c r="AJ6027" s="3"/>
    </row>
    <row r="6028" spans="1:36" x14ac:dyDescent="0.25">
      <c r="A6028" s="1"/>
      <c r="B6028" s="2"/>
      <c r="AA6028" s="3"/>
      <c r="AD6028" s="3"/>
      <c r="AG6028" s="3"/>
      <c r="AJ6028" s="3"/>
    </row>
    <row r="6029" spans="1:36" x14ac:dyDescent="0.25">
      <c r="A6029" s="1"/>
      <c r="B6029" s="2"/>
      <c r="AA6029" s="3"/>
      <c r="AD6029" s="3"/>
      <c r="AG6029" s="3"/>
      <c r="AJ6029" s="3"/>
    </row>
    <row r="6030" spans="1:36" x14ac:dyDescent="0.25">
      <c r="A6030" s="1"/>
      <c r="B6030" s="2"/>
      <c r="AA6030" s="3"/>
      <c r="AD6030" s="3"/>
      <c r="AG6030" s="3"/>
      <c r="AJ6030" s="3"/>
    </row>
    <row r="6031" spans="1:36" x14ac:dyDescent="0.25">
      <c r="A6031" s="1"/>
      <c r="B6031" s="2"/>
      <c r="AA6031" s="3"/>
      <c r="AD6031" s="3"/>
      <c r="AG6031" s="3"/>
      <c r="AJ6031" s="3"/>
    </row>
    <row r="6032" spans="1:36" x14ac:dyDescent="0.25">
      <c r="A6032" s="1"/>
      <c r="B6032" s="2"/>
      <c r="AA6032" s="3"/>
      <c r="AD6032" s="3"/>
      <c r="AG6032" s="3"/>
      <c r="AJ6032" s="3"/>
    </row>
    <row r="6033" spans="1:36" x14ac:dyDescent="0.25">
      <c r="A6033" s="1"/>
      <c r="B6033" s="2"/>
      <c r="AA6033" s="3"/>
      <c r="AD6033" s="3"/>
      <c r="AG6033" s="3"/>
      <c r="AJ6033" s="3"/>
    </row>
    <row r="6034" spans="1:36" x14ac:dyDescent="0.25">
      <c r="A6034" s="1"/>
      <c r="B6034" s="2"/>
      <c r="AA6034" s="3"/>
      <c r="AD6034" s="3"/>
      <c r="AG6034" s="3"/>
      <c r="AJ6034" s="3"/>
    </row>
    <row r="6035" spans="1:36" x14ac:dyDescent="0.25">
      <c r="A6035" s="1"/>
      <c r="B6035" s="2"/>
      <c r="AA6035" s="3"/>
      <c r="AD6035" s="3"/>
      <c r="AG6035" s="3"/>
      <c r="AJ6035" s="3"/>
    </row>
    <row r="6036" spans="1:36" x14ac:dyDescent="0.25">
      <c r="A6036" s="1"/>
      <c r="B6036" s="2"/>
      <c r="AA6036" s="3"/>
      <c r="AD6036" s="3"/>
      <c r="AG6036" s="3"/>
      <c r="AJ6036" s="3"/>
    </row>
    <row r="6037" spans="1:36" x14ac:dyDescent="0.25">
      <c r="A6037" s="1"/>
      <c r="B6037" s="2"/>
      <c r="AA6037" s="3"/>
      <c r="AD6037" s="3"/>
      <c r="AG6037" s="3"/>
      <c r="AJ6037" s="3"/>
    </row>
    <row r="6038" spans="1:36" x14ac:dyDescent="0.25">
      <c r="A6038" s="1"/>
      <c r="B6038" s="2"/>
      <c r="AA6038" s="3"/>
      <c r="AD6038" s="3"/>
      <c r="AG6038" s="3"/>
      <c r="AJ6038" s="3"/>
    </row>
    <row r="6039" spans="1:36" x14ac:dyDescent="0.25">
      <c r="A6039" s="1"/>
      <c r="B6039" s="2"/>
      <c r="AA6039" s="3"/>
      <c r="AD6039" s="3"/>
      <c r="AG6039" s="3"/>
      <c r="AJ6039" s="3"/>
    </row>
    <row r="6040" spans="1:36" x14ac:dyDescent="0.25">
      <c r="A6040" s="1"/>
      <c r="B6040" s="2"/>
      <c r="AA6040" s="3"/>
      <c r="AD6040" s="3"/>
      <c r="AG6040" s="3"/>
      <c r="AJ6040" s="3"/>
    </row>
    <row r="6041" spans="1:36" x14ac:dyDescent="0.25">
      <c r="A6041" s="1"/>
      <c r="B6041" s="2"/>
      <c r="AA6041" s="3"/>
      <c r="AD6041" s="3"/>
      <c r="AG6041" s="3"/>
      <c r="AJ6041" s="3"/>
    </row>
    <row r="6042" spans="1:36" x14ac:dyDescent="0.25">
      <c r="A6042" s="1"/>
      <c r="B6042" s="2"/>
      <c r="AA6042" s="3"/>
      <c r="AD6042" s="3"/>
      <c r="AG6042" s="3"/>
      <c r="AJ6042" s="3"/>
    </row>
    <row r="6043" spans="1:36" x14ac:dyDescent="0.25">
      <c r="A6043" s="1"/>
      <c r="B6043" s="2"/>
      <c r="AA6043" s="3"/>
      <c r="AD6043" s="3"/>
      <c r="AG6043" s="3"/>
      <c r="AJ6043" s="3"/>
    </row>
    <row r="6044" spans="1:36" x14ac:dyDescent="0.25">
      <c r="A6044" s="1"/>
      <c r="B6044" s="2"/>
      <c r="AA6044" s="3"/>
      <c r="AD6044" s="3"/>
      <c r="AG6044" s="3"/>
      <c r="AJ6044" s="3"/>
    </row>
    <row r="6045" spans="1:36" x14ac:dyDescent="0.25">
      <c r="A6045" s="1"/>
      <c r="B6045" s="2"/>
      <c r="AA6045" s="3"/>
      <c r="AD6045" s="3"/>
      <c r="AG6045" s="3"/>
      <c r="AJ6045" s="3"/>
    </row>
    <row r="6046" spans="1:36" x14ac:dyDescent="0.25">
      <c r="A6046" s="1"/>
      <c r="B6046" s="2"/>
      <c r="AA6046" s="3"/>
      <c r="AD6046" s="3"/>
      <c r="AG6046" s="3"/>
      <c r="AJ6046" s="3"/>
    </row>
    <row r="6047" spans="1:36" x14ac:dyDescent="0.25">
      <c r="A6047" s="1"/>
      <c r="B6047" s="2"/>
      <c r="AA6047" s="3"/>
      <c r="AD6047" s="3"/>
      <c r="AG6047" s="3"/>
      <c r="AJ6047" s="3"/>
    </row>
    <row r="6048" spans="1:36" x14ac:dyDescent="0.25">
      <c r="A6048" s="1"/>
      <c r="B6048" s="2"/>
      <c r="AA6048" s="3"/>
      <c r="AD6048" s="3"/>
      <c r="AG6048" s="3"/>
      <c r="AJ6048" s="3"/>
    </row>
    <row r="6049" spans="1:36" x14ac:dyDescent="0.25">
      <c r="A6049" s="1"/>
      <c r="B6049" s="2"/>
      <c r="AA6049" s="3"/>
      <c r="AD6049" s="3"/>
      <c r="AG6049" s="3"/>
      <c r="AJ6049" s="3"/>
    </row>
    <row r="6050" spans="1:36" x14ac:dyDescent="0.25">
      <c r="A6050" s="1"/>
      <c r="B6050" s="2"/>
      <c r="AA6050" s="3"/>
      <c r="AD6050" s="3"/>
      <c r="AG6050" s="3"/>
      <c r="AJ6050" s="3"/>
    </row>
    <row r="6051" spans="1:36" x14ac:dyDescent="0.25">
      <c r="A6051" s="1"/>
      <c r="B6051" s="2"/>
      <c r="AA6051" s="3"/>
      <c r="AD6051" s="3"/>
      <c r="AG6051" s="3"/>
      <c r="AJ6051" s="3"/>
    </row>
    <row r="6052" spans="1:36" x14ac:dyDescent="0.25">
      <c r="A6052" s="1"/>
      <c r="B6052" s="2"/>
      <c r="AA6052" s="3"/>
      <c r="AD6052" s="3"/>
      <c r="AG6052" s="3"/>
      <c r="AJ6052" s="3"/>
    </row>
    <row r="6053" spans="1:36" x14ac:dyDescent="0.25">
      <c r="A6053" s="1"/>
      <c r="B6053" s="2"/>
      <c r="AA6053" s="3"/>
      <c r="AD6053" s="3"/>
      <c r="AG6053" s="3"/>
      <c r="AJ6053" s="3"/>
    </row>
    <row r="6054" spans="1:36" x14ac:dyDescent="0.25">
      <c r="A6054" s="1"/>
      <c r="B6054" s="2"/>
      <c r="AA6054" s="3"/>
      <c r="AD6054" s="3"/>
      <c r="AG6054" s="3"/>
      <c r="AJ6054" s="3"/>
    </row>
    <row r="6055" spans="1:36" x14ac:dyDescent="0.25">
      <c r="A6055" s="1"/>
      <c r="B6055" s="2"/>
      <c r="AA6055" s="3"/>
      <c r="AD6055" s="3"/>
      <c r="AG6055" s="3"/>
      <c r="AJ6055" s="3"/>
    </row>
    <row r="6056" spans="1:36" x14ac:dyDescent="0.25">
      <c r="A6056" s="1"/>
      <c r="B6056" s="2"/>
      <c r="AA6056" s="3"/>
      <c r="AD6056" s="3"/>
      <c r="AG6056" s="3"/>
      <c r="AJ6056" s="3"/>
    </row>
    <row r="6057" spans="1:36" x14ac:dyDescent="0.25">
      <c r="A6057" s="1"/>
      <c r="B6057" s="2"/>
      <c r="AA6057" s="3"/>
      <c r="AD6057" s="3"/>
      <c r="AG6057" s="3"/>
      <c r="AJ6057" s="3"/>
    </row>
    <row r="6058" spans="1:36" x14ac:dyDescent="0.25">
      <c r="A6058" s="1"/>
      <c r="B6058" s="2"/>
      <c r="AA6058" s="3"/>
      <c r="AD6058" s="3"/>
      <c r="AG6058" s="3"/>
      <c r="AJ6058" s="3"/>
    </row>
    <row r="6059" spans="1:36" x14ac:dyDescent="0.25">
      <c r="A6059" s="1"/>
      <c r="B6059" s="2"/>
      <c r="AA6059" s="3"/>
      <c r="AD6059" s="3"/>
      <c r="AG6059" s="3"/>
      <c r="AJ6059" s="3"/>
    </row>
    <row r="6060" spans="1:36" x14ac:dyDescent="0.25">
      <c r="A6060" s="1"/>
      <c r="B6060" s="2"/>
      <c r="AA6060" s="3"/>
      <c r="AD6060" s="3"/>
      <c r="AG6060" s="3"/>
      <c r="AJ6060" s="3"/>
    </row>
    <row r="6061" spans="1:36" x14ac:dyDescent="0.25">
      <c r="A6061" s="1"/>
      <c r="B6061" s="2"/>
      <c r="AA6061" s="3"/>
      <c r="AD6061" s="3"/>
      <c r="AG6061" s="3"/>
      <c r="AJ6061" s="3"/>
    </row>
    <row r="6062" spans="1:36" x14ac:dyDescent="0.25">
      <c r="A6062" s="1"/>
      <c r="B6062" s="2"/>
      <c r="AA6062" s="3"/>
      <c r="AD6062" s="3"/>
      <c r="AG6062" s="3"/>
      <c r="AJ6062" s="3"/>
    </row>
    <row r="6063" spans="1:36" x14ac:dyDescent="0.25">
      <c r="A6063" s="1"/>
      <c r="B6063" s="2"/>
      <c r="AA6063" s="3"/>
      <c r="AD6063" s="3"/>
      <c r="AG6063" s="3"/>
      <c r="AJ6063" s="3"/>
    </row>
    <row r="6064" spans="1:36" x14ac:dyDescent="0.25">
      <c r="A6064" s="1"/>
      <c r="B6064" s="2"/>
      <c r="AA6064" s="3"/>
      <c r="AD6064" s="3"/>
      <c r="AG6064" s="3"/>
      <c r="AJ6064" s="3"/>
    </row>
    <row r="6065" spans="1:36" x14ac:dyDescent="0.25">
      <c r="A6065" s="1"/>
      <c r="B6065" s="2"/>
      <c r="AA6065" s="3"/>
      <c r="AD6065" s="3"/>
      <c r="AG6065" s="3"/>
      <c r="AJ6065" s="3"/>
    </row>
    <row r="6066" spans="1:36" x14ac:dyDescent="0.25">
      <c r="A6066" s="1"/>
      <c r="B6066" s="2"/>
      <c r="AA6066" s="3"/>
      <c r="AD6066" s="3"/>
      <c r="AG6066" s="3"/>
      <c r="AJ6066" s="3"/>
    </row>
    <row r="6067" spans="1:36" x14ac:dyDescent="0.25">
      <c r="A6067" s="1"/>
      <c r="B6067" s="2"/>
      <c r="AA6067" s="3"/>
      <c r="AD6067" s="3"/>
      <c r="AG6067" s="3"/>
      <c r="AJ6067" s="3"/>
    </row>
    <row r="6068" spans="1:36" x14ac:dyDescent="0.25">
      <c r="A6068" s="1"/>
      <c r="B6068" s="2"/>
      <c r="AA6068" s="3"/>
      <c r="AD6068" s="3"/>
      <c r="AG6068" s="3"/>
      <c r="AJ6068" s="3"/>
    </row>
    <row r="6069" spans="1:36" x14ac:dyDescent="0.25">
      <c r="A6069" s="1"/>
      <c r="B6069" s="2"/>
      <c r="AA6069" s="3"/>
      <c r="AD6069" s="3"/>
      <c r="AG6069" s="3"/>
      <c r="AJ6069" s="3"/>
    </row>
    <row r="6070" spans="1:36" x14ac:dyDescent="0.25">
      <c r="A6070" s="1"/>
      <c r="B6070" s="2"/>
      <c r="AA6070" s="3"/>
      <c r="AD6070" s="3"/>
      <c r="AG6070" s="3"/>
      <c r="AJ6070" s="3"/>
    </row>
    <row r="6071" spans="1:36" x14ac:dyDescent="0.25">
      <c r="A6071" s="1"/>
      <c r="B6071" s="2"/>
      <c r="AA6071" s="3"/>
      <c r="AD6071" s="3"/>
      <c r="AG6071" s="3"/>
      <c r="AJ6071" s="3"/>
    </row>
    <row r="6072" spans="1:36" x14ac:dyDescent="0.25">
      <c r="A6072" s="1"/>
      <c r="B6072" s="2"/>
      <c r="AA6072" s="3"/>
      <c r="AD6072" s="3"/>
      <c r="AG6072" s="3"/>
      <c r="AJ6072" s="3"/>
    </row>
    <row r="6073" spans="1:36" x14ac:dyDescent="0.25">
      <c r="A6073" s="1"/>
      <c r="B6073" s="2"/>
      <c r="AA6073" s="3"/>
      <c r="AD6073" s="3"/>
      <c r="AG6073" s="3"/>
      <c r="AJ6073" s="3"/>
    </row>
    <row r="6074" spans="1:36" x14ac:dyDescent="0.25">
      <c r="A6074" s="1"/>
      <c r="B6074" s="2"/>
      <c r="AA6074" s="3"/>
      <c r="AD6074" s="3"/>
      <c r="AG6074" s="3"/>
      <c r="AJ6074" s="3"/>
    </row>
    <row r="6075" spans="1:36" x14ac:dyDescent="0.25">
      <c r="A6075" s="1"/>
      <c r="B6075" s="2"/>
      <c r="AA6075" s="3"/>
      <c r="AD6075" s="3"/>
      <c r="AG6075" s="3"/>
      <c r="AJ6075" s="3"/>
    </row>
    <row r="6076" spans="1:36" x14ac:dyDescent="0.25">
      <c r="A6076" s="1"/>
      <c r="B6076" s="2"/>
      <c r="AA6076" s="3"/>
      <c r="AD6076" s="3"/>
      <c r="AG6076" s="3"/>
      <c r="AJ6076" s="3"/>
    </row>
    <row r="6077" spans="1:36" x14ac:dyDescent="0.25">
      <c r="A6077" s="1"/>
      <c r="B6077" s="2"/>
      <c r="AA6077" s="3"/>
      <c r="AD6077" s="3"/>
      <c r="AG6077" s="3"/>
      <c r="AJ6077" s="3"/>
    </row>
    <row r="6078" spans="1:36" x14ac:dyDescent="0.25">
      <c r="A6078" s="1"/>
      <c r="B6078" s="2"/>
      <c r="AA6078" s="3"/>
      <c r="AD6078" s="3"/>
      <c r="AG6078" s="3"/>
      <c r="AJ6078" s="3"/>
    </row>
    <row r="6079" spans="1:36" x14ac:dyDescent="0.25">
      <c r="A6079" s="1"/>
      <c r="B6079" s="2"/>
      <c r="AA6079" s="3"/>
      <c r="AD6079" s="3"/>
      <c r="AG6079" s="3"/>
      <c r="AJ6079" s="3"/>
    </row>
    <row r="6080" spans="1:36" x14ac:dyDescent="0.25">
      <c r="A6080" s="1"/>
      <c r="B6080" s="2"/>
      <c r="AA6080" s="3"/>
      <c r="AD6080" s="3"/>
      <c r="AG6080" s="3"/>
      <c r="AJ6080" s="3"/>
    </row>
    <row r="6081" spans="1:36" x14ac:dyDescent="0.25">
      <c r="A6081" s="1"/>
      <c r="B6081" s="2"/>
      <c r="AA6081" s="3"/>
      <c r="AD6081" s="3"/>
      <c r="AG6081" s="3"/>
      <c r="AJ6081" s="3"/>
    </row>
    <row r="6082" spans="1:36" x14ac:dyDescent="0.25">
      <c r="A6082" s="1"/>
      <c r="B6082" s="2"/>
      <c r="AA6082" s="3"/>
      <c r="AD6082" s="3"/>
      <c r="AG6082" s="3"/>
      <c r="AJ6082" s="3"/>
    </row>
    <row r="6083" spans="1:36" x14ac:dyDescent="0.25">
      <c r="A6083" s="1"/>
      <c r="B6083" s="2"/>
      <c r="AA6083" s="3"/>
      <c r="AD6083" s="3"/>
      <c r="AG6083" s="3"/>
      <c r="AJ6083" s="3"/>
    </row>
    <row r="6084" spans="1:36" x14ac:dyDescent="0.25">
      <c r="A6084" s="1"/>
      <c r="B6084" s="2"/>
      <c r="AA6084" s="3"/>
      <c r="AD6084" s="3"/>
      <c r="AG6084" s="3"/>
      <c r="AJ6084" s="3"/>
    </row>
    <row r="6085" spans="1:36" x14ac:dyDescent="0.25">
      <c r="A6085" s="1"/>
      <c r="B6085" s="2"/>
      <c r="AA6085" s="3"/>
      <c r="AD6085" s="3"/>
      <c r="AG6085" s="3"/>
      <c r="AJ6085" s="3"/>
    </row>
    <row r="6086" spans="1:36" x14ac:dyDescent="0.25">
      <c r="A6086" s="1"/>
      <c r="B6086" s="2"/>
      <c r="AA6086" s="3"/>
      <c r="AD6086" s="3"/>
      <c r="AG6086" s="3"/>
      <c r="AJ6086" s="3"/>
    </row>
    <row r="6087" spans="1:36" x14ac:dyDescent="0.25">
      <c r="A6087" s="1"/>
      <c r="B6087" s="2"/>
      <c r="AA6087" s="3"/>
      <c r="AD6087" s="3"/>
      <c r="AG6087" s="3"/>
      <c r="AJ6087" s="3"/>
    </row>
    <row r="6088" spans="1:36" x14ac:dyDescent="0.25">
      <c r="A6088" s="1"/>
      <c r="B6088" s="2"/>
      <c r="AA6088" s="3"/>
      <c r="AD6088" s="3"/>
      <c r="AG6088" s="3"/>
      <c r="AJ6088" s="3"/>
    </row>
    <row r="6089" spans="1:36" x14ac:dyDescent="0.25">
      <c r="A6089" s="1"/>
      <c r="B6089" s="2"/>
      <c r="AA6089" s="3"/>
      <c r="AD6089" s="3"/>
      <c r="AG6089" s="3"/>
      <c r="AJ6089" s="3"/>
    </row>
    <row r="6090" spans="1:36" x14ac:dyDescent="0.25">
      <c r="A6090" s="1"/>
      <c r="B6090" s="2"/>
      <c r="AA6090" s="3"/>
      <c r="AD6090" s="3"/>
      <c r="AG6090" s="3"/>
      <c r="AJ6090" s="3"/>
    </row>
    <row r="6091" spans="1:36" x14ac:dyDescent="0.25">
      <c r="A6091" s="1"/>
      <c r="B6091" s="2"/>
      <c r="AA6091" s="3"/>
      <c r="AD6091" s="3"/>
      <c r="AG6091" s="3"/>
      <c r="AJ6091" s="3"/>
    </row>
    <row r="6092" spans="1:36" x14ac:dyDescent="0.25">
      <c r="A6092" s="1"/>
      <c r="B6092" s="2"/>
      <c r="AA6092" s="3"/>
      <c r="AD6092" s="3"/>
      <c r="AG6092" s="3"/>
      <c r="AJ6092" s="3"/>
    </row>
    <row r="6093" spans="1:36" x14ac:dyDescent="0.25">
      <c r="A6093" s="1"/>
      <c r="B6093" s="2"/>
      <c r="AA6093" s="3"/>
      <c r="AD6093" s="3"/>
      <c r="AG6093" s="3"/>
      <c r="AJ6093" s="3"/>
    </row>
    <row r="6094" spans="1:36" x14ac:dyDescent="0.25">
      <c r="A6094" s="1"/>
      <c r="B6094" s="2"/>
      <c r="AA6094" s="3"/>
      <c r="AD6094" s="3"/>
      <c r="AG6094" s="3"/>
      <c r="AJ6094" s="3"/>
    </row>
    <row r="6095" spans="1:36" x14ac:dyDescent="0.25">
      <c r="A6095" s="1"/>
      <c r="B6095" s="2"/>
      <c r="AA6095" s="3"/>
      <c r="AD6095" s="3"/>
      <c r="AG6095" s="3"/>
      <c r="AJ6095" s="3"/>
    </row>
    <row r="6096" spans="1:36" x14ac:dyDescent="0.25">
      <c r="A6096" s="1"/>
      <c r="B6096" s="2"/>
      <c r="AA6096" s="3"/>
      <c r="AD6096" s="3"/>
      <c r="AG6096" s="3"/>
      <c r="AJ6096" s="3"/>
    </row>
    <row r="6097" spans="1:36" x14ac:dyDescent="0.25">
      <c r="A6097" s="1"/>
      <c r="B6097" s="2"/>
      <c r="AA6097" s="3"/>
      <c r="AD6097" s="3"/>
      <c r="AG6097" s="3"/>
      <c r="AJ6097" s="3"/>
    </row>
    <row r="6098" spans="1:36" x14ac:dyDescent="0.25">
      <c r="A6098" s="1"/>
      <c r="B6098" s="2"/>
      <c r="AA6098" s="3"/>
      <c r="AD6098" s="3"/>
      <c r="AG6098" s="3"/>
      <c r="AJ6098" s="3"/>
    </row>
    <row r="6099" spans="1:36" x14ac:dyDescent="0.25">
      <c r="A6099" s="1"/>
      <c r="B6099" s="2"/>
      <c r="AA6099" s="3"/>
      <c r="AD6099" s="3"/>
      <c r="AG6099" s="3"/>
      <c r="AJ6099" s="3"/>
    </row>
    <row r="6100" spans="1:36" x14ac:dyDescent="0.25">
      <c r="A6100" s="1"/>
      <c r="B6100" s="2"/>
      <c r="AA6100" s="3"/>
      <c r="AD6100" s="3"/>
      <c r="AG6100" s="3"/>
      <c r="AJ6100" s="3"/>
    </row>
    <row r="6101" spans="1:36" x14ac:dyDescent="0.25">
      <c r="A6101" s="1"/>
      <c r="B6101" s="2"/>
      <c r="AA6101" s="3"/>
      <c r="AD6101" s="3"/>
      <c r="AG6101" s="3"/>
      <c r="AJ6101" s="3"/>
    </row>
    <row r="6102" spans="1:36" x14ac:dyDescent="0.25">
      <c r="A6102" s="1"/>
      <c r="B6102" s="2"/>
      <c r="AA6102" s="3"/>
      <c r="AD6102" s="3"/>
      <c r="AG6102" s="3"/>
      <c r="AJ6102" s="3"/>
    </row>
    <row r="6103" spans="1:36" x14ac:dyDescent="0.25">
      <c r="A6103" s="1"/>
      <c r="B6103" s="2"/>
      <c r="AA6103" s="3"/>
      <c r="AD6103" s="3"/>
      <c r="AG6103" s="3"/>
      <c r="AJ6103" s="3"/>
    </row>
    <row r="6104" spans="1:36" x14ac:dyDescent="0.25">
      <c r="A6104" s="1"/>
      <c r="B6104" s="2"/>
      <c r="AA6104" s="3"/>
      <c r="AD6104" s="3"/>
      <c r="AG6104" s="3"/>
      <c r="AJ6104" s="3"/>
    </row>
    <row r="6105" spans="1:36" x14ac:dyDescent="0.25">
      <c r="A6105" s="1"/>
      <c r="B6105" s="2"/>
      <c r="AA6105" s="3"/>
      <c r="AD6105" s="3"/>
      <c r="AG6105" s="3"/>
      <c r="AJ6105" s="3"/>
    </row>
    <row r="6106" spans="1:36" x14ac:dyDescent="0.25">
      <c r="A6106" s="1"/>
      <c r="B6106" s="2"/>
      <c r="AA6106" s="3"/>
      <c r="AD6106" s="3"/>
      <c r="AG6106" s="3"/>
      <c r="AJ6106" s="3"/>
    </row>
    <row r="6107" spans="1:36" x14ac:dyDescent="0.25">
      <c r="A6107" s="1"/>
      <c r="B6107" s="2"/>
      <c r="AA6107" s="3"/>
      <c r="AD6107" s="3"/>
      <c r="AG6107" s="3"/>
      <c r="AJ6107" s="3"/>
    </row>
    <row r="6108" spans="1:36" x14ac:dyDescent="0.25">
      <c r="A6108" s="1"/>
      <c r="B6108" s="2"/>
      <c r="AA6108" s="3"/>
      <c r="AD6108" s="3"/>
      <c r="AG6108" s="3"/>
      <c r="AJ6108" s="3"/>
    </row>
    <row r="6109" spans="1:36" x14ac:dyDescent="0.25">
      <c r="A6109" s="1"/>
      <c r="B6109" s="2"/>
      <c r="AA6109" s="3"/>
      <c r="AD6109" s="3"/>
      <c r="AG6109" s="3"/>
      <c r="AJ6109" s="3"/>
    </row>
    <row r="6110" spans="1:36" x14ac:dyDescent="0.25">
      <c r="A6110" s="1"/>
      <c r="B6110" s="2"/>
      <c r="AA6110" s="3"/>
      <c r="AD6110" s="3"/>
      <c r="AG6110" s="3"/>
      <c r="AJ6110" s="3"/>
    </row>
    <row r="6111" spans="1:36" x14ac:dyDescent="0.25">
      <c r="A6111" s="1"/>
      <c r="B6111" s="2"/>
      <c r="AA6111" s="3"/>
      <c r="AD6111" s="3"/>
      <c r="AG6111" s="3"/>
      <c r="AJ6111" s="3"/>
    </row>
    <row r="6112" spans="1:36" x14ac:dyDescent="0.25">
      <c r="A6112" s="1"/>
      <c r="B6112" s="2"/>
      <c r="AA6112" s="3"/>
      <c r="AD6112" s="3"/>
      <c r="AG6112" s="3"/>
      <c r="AJ6112" s="3"/>
    </row>
    <row r="6113" spans="1:36" x14ac:dyDescent="0.25">
      <c r="A6113" s="1"/>
      <c r="B6113" s="2"/>
      <c r="AA6113" s="3"/>
      <c r="AD6113" s="3"/>
      <c r="AG6113" s="3"/>
      <c r="AJ6113" s="3"/>
    </row>
    <row r="6114" spans="1:36" x14ac:dyDescent="0.25">
      <c r="A6114" s="1"/>
      <c r="B6114" s="2"/>
      <c r="AA6114" s="3"/>
      <c r="AD6114" s="3"/>
      <c r="AG6114" s="3"/>
      <c r="AJ6114" s="3"/>
    </row>
    <row r="6115" spans="1:36" x14ac:dyDescent="0.25">
      <c r="A6115" s="1"/>
      <c r="B6115" s="2"/>
      <c r="AA6115" s="3"/>
      <c r="AD6115" s="3"/>
      <c r="AG6115" s="3"/>
      <c r="AJ6115" s="3"/>
    </row>
    <row r="6116" spans="1:36" x14ac:dyDescent="0.25">
      <c r="A6116" s="1"/>
      <c r="B6116" s="2"/>
      <c r="AA6116" s="3"/>
      <c r="AD6116" s="3"/>
      <c r="AG6116" s="3"/>
      <c r="AJ6116" s="3"/>
    </row>
    <row r="6117" spans="1:36" x14ac:dyDescent="0.25">
      <c r="A6117" s="1"/>
      <c r="B6117" s="2"/>
      <c r="AA6117" s="3"/>
      <c r="AD6117" s="3"/>
      <c r="AG6117" s="3"/>
      <c r="AJ6117" s="3"/>
    </row>
    <row r="6118" spans="1:36" x14ac:dyDescent="0.25">
      <c r="A6118" s="1"/>
      <c r="B6118" s="2"/>
      <c r="AA6118" s="3"/>
      <c r="AD6118" s="3"/>
      <c r="AG6118" s="3"/>
      <c r="AJ6118" s="3"/>
    </row>
    <row r="6119" spans="1:36" x14ac:dyDescent="0.25">
      <c r="A6119" s="1"/>
      <c r="B6119" s="2"/>
      <c r="AA6119" s="3"/>
      <c r="AD6119" s="3"/>
      <c r="AG6119" s="3"/>
      <c r="AJ6119" s="3"/>
    </row>
    <row r="6120" spans="1:36" x14ac:dyDescent="0.25">
      <c r="A6120" s="1"/>
      <c r="B6120" s="2"/>
      <c r="AA6120" s="3"/>
      <c r="AD6120" s="3"/>
      <c r="AG6120" s="3"/>
      <c r="AJ6120" s="3"/>
    </row>
    <row r="6121" spans="1:36" x14ac:dyDescent="0.25">
      <c r="A6121" s="1"/>
      <c r="B6121" s="2"/>
      <c r="AA6121" s="3"/>
      <c r="AD6121" s="3"/>
      <c r="AG6121" s="3"/>
      <c r="AJ6121" s="3"/>
    </row>
    <row r="6122" spans="1:36" x14ac:dyDescent="0.25">
      <c r="A6122" s="1"/>
      <c r="B6122" s="2"/>
      <c r="AA6122" s="3"/>
      <c r="AD6122" s="3"/>
      <c r="AG6122" s="3"/>
      <c r="AJ6122" s="3"/>
    </row>
    <row r="6123" spans="1:36" x14ac:dyDescent="0.25">
      <c r="A6123" s="1"/>
      <c r="B6123" s="2"/>
      <c r="AA6123" s="3"/>
      <c r="AD6123" s="3"/>
      <c r="AG6123" s="3"/>
      <c r="AJ6123" s="3"/>
    </row>
    <row r="6124" spans="1:36" x14ac:dyDescent="0.25">
      <c r="A6124" s="1"/>
      <c r="B6124" s="2"/>
      <c r="AA6124" s="3"/>
      <c r="AD6124" s="3"/>
      <c r="AG6124" s="3"/>
      <c r="AJ6124" s="3"/>
    </row>
    <row r="6125" spans="1:36" x14ac:dyDescent="0.25">
      <c r="A6125" s="1"/>
      <c r="B6125" s="2"/>
      <c r="AA6125" s="3"/>
      <c r="AD6125" s="3"/>
      <c r="AG6125" s="3"/>
      <c r="AJ6125" s="3"/>
    </row>
    <row r="6126" spans="1:36" x14ac:dyDescent="0.25">
      <c r="A6126" s="1"/>
      <c r="B6126" s="2"/>
      <c r="AA6126" s="3"/>
      <c r="AD6126" s="3"/>
      <c r="AG6126" s="3"/>
      <c r="AJ6126" s="3"/>
    </row>
    <row r="6127" spans="1:36" x14ac:dyDescent="0.25">
      <c r="A6127" s="1"/>
      <c r="B6127" s="2"/>
      <c r="AA6127" s="3"/>
      <c r="AD6127" s="3"/>
      <c r="AG6127" s="3"/>
      <c r="AJ6127" s="3"/>
    </row>
    <row r="6128" spans="1:36" x14ac:dyDescent="0.25">
      <c r="A6128" s="1"/>
      <c r="B6128" s="2"/>
      <c r="AA6128" s="3"/>
      <c r="AD6128" s="3"/>
      <c r="AG6128" s="3"/>
      <c r="AJ6128" s="3"/>
    </row>
    <row r="6129" spans="1:36" x14ac:dyDescent="0.25">
      <c r="A6129" s="1"/>
      <c r="B6129" s="2"/>
      <c r="AA6129" s="3"/>
      <c r="AD6129" s="3"/>
      <c r="AG6129" s="3"/>
      <c r="AJ6129" s="3"/>
    </row>
    <row r="6130" spans="1:36" x14ac:dyDescent="0.25">
      <c r="A6130" s="1"/>
      <c r="B6130" s="2"/>
      <c r="AA6130" s="3"/>
      <c r="AD6130" s="3"/>
      <c r="AG6130" s="3"/>
      <c r="AJ6130" s="3"/>
    </row>
    <row r="6131" spans="1:36" x14ac:dyDescent="0.25">
      <c r="A6131" s="1"/>
      <c r="B6131" s="2"/>
      <c r="AA6131" s="3"/>
      <c r="AD6131" s="3"/>
      <c r="AG6131" s="3"/>
      <c r="AJ6131" s="3"/>
    </row>
    <row r="6132" spans="1:36" x14ac:dyDescent="0.25">
      <c r="A6132" s="1"/>
      <c r="B6132" s="2"/>
      <c r="AA6132" s="3"/>
      <c r="AD6132" s="3"/>
      <c r="AG6132" s="3"/>
      <c r="AJ6132" s="3"/>
    </row>
    <row r="6133" spans="1:36" x14ac:dyDescent="0.25">
      <c r="A6133" s="1"/>
      <c r="B6133" s="2"/>
      <c r="AA6133" s="3"/>
      <c r="AD6133" s="3"/>
      <c r="AG6133" s="3"/>
      <c r="AJ6133" s="3"/>
    </row>
    <row r="6134" spans="1:36" x14ac:dyDescent="0.25">
      <c r="A6134" s="1"/>
      <c r="B6134" s="2"/>
      <c r="AA6134" s="3"/>
      <c r="AD6134" s="3"/>
      <c r="AG6134" s="3"/>
      <c r="AJ6134" s="3"/>
    </row>
    <row r="6135" spans="1:36" x14ac:dyDescent="0.25">
      <c r="A6135" s="1"/>
      <c r="B6135" s="2"/>
      <c r="AA6135" s="3"/>
      <c r="AD6135" s="3"/>
      <c r="AG6135" s="3"/>
      <c r="AJ6135" s="3"/>
    </row>
    <row r="6136" spans="1:36" x14ac:dyDescent="0.25">
      <c r="A6136" s="1"/>
      <c r="B6136" s="2"/>
      <c r="AA6136" s="3"/>
      <c r="AD6136" s="3"/>
      <c r="AG6136" s="3"/>
      <c r="AJ6136" s="3"/>
    </row>
    <row r="6137" spans="1:36" x14ac:dyDescent="0.25">
      <c r="A6137" s="1"/>
      <c r="B6137" s="2"/>
      <c r="AA6137" s="3"/>
      <c r="AD6137" s="3"/>
      <c r="AG6137" s="3"/>
      <c r="AJ6137" s="3"/>
    </row>
    <row r="6138" spans="1:36" x14ac:dyDescent="0.25">
      <c r="A6138" s="1"/>
      <c r="B6138" s="2"/>
      <c r="AA6138" s="3"/>
      <c r="AD6138" s="3"/>
      <c r="AG6138" s="3"/>
      <c r="AJ6138" s="3"/>
    </row>
    <row r="6139" spans="1:36" x14ac:dyDescent="0.25">
      <c r="A6139" s="1"/>
      <c r="B6139" s="2"/>
      <c r="AA6139" s="3"/>
      <c r="AD6139" s="3"/>
      <c r="AG6139" s="3"/>
      <c r="AJ6139" s="3"/>
    </row>
    <row r="6140" spans="1:36" x14ac:dyDescent="0.25">
      <c r="A6140" s="1"/>
      <c r="B6140" s="2"/>
      <c r="AA6140" s="3"/>
      <c r="AD6140" s="3"/>
      <c r="AG6140" s="3"/>
      <c r="AJ6140" s="3"/>
    </row>
    <row r="6141" spans="1:36" x14ac:dyDescent="0.25">
      <c r="A6141" s="1"/>
      <c r="B6141" s="2"/>
      <c r="AA6141" s="3"/>
      <c r="AD6141" s="3"/>
      <c r="AG6141" s="3"/>
      <c r="AJ6141" s="3"/>
    </row>
    <row r="6142" spans="1:36" x14ac:dyDescent="0.25">
      <c r="A6142" s="1"/>
      <c r="B6142" s="2"/>
      <c r="AA6142" s="3"/>
      <c r="AD6142" s="3"/>
      <c r="AG6142" s="3"/>
      <c r="AJ6142" s="3"/>
    </row>
    <row r="6143" spans="1:36" x14ac:dyDescent="0.25">
      <c r="A6143" s="1"/>
      <c r="B6143" s="2"/>
      <c r="AA6143" s="3"/>
      <c r="AD6143" s="3"/>
      <c r="AG6143" s="3"/>
      <c r="AJ6143" s="3"/>
    </row>
    <row r="6144" spans="1:36" x14ac:dyDescent="0.25">
      <c r="A6144" s="1"/>
      <c r="B6144" s="2"/>
      <c r="AA6144" s="3"/>
      <c r="AD6144" s="3"/>
      <c r="AG6144" s="3"/>
      <c r="AJ6144" s="3"/>
    </row>
    <row r="6145" spans="1:36" x14ac:dyDescent="0.25">
      <c r="A6145" s="1"/>
      <c r="B6145" s="2"/>
      <c r="AA6145" s="3"/>
      <c r="AD6145" s="3"/>
      <c r="AG6145" s="3"/>
      <c r="AJ6145" s="3"/>
    </row>
    <row r="6146" spans="1:36" x14ac:dyDescent="0.25">
      <c r="A6146" s="1"/>
      <c r="B6146" s="2"/>
      <c r="AA6146" s="3"/>
      <c r="AD6146" s="3"/>
      <c r="AG6146" s="3"/>
      <c r="AJ6146" s="3"/>
    </row>
    <row r="6147" spans="1:36" x14ac:dyDescent="0.25">
      <c r="A6147" s="1"/>
      <c r="B6147" s="2"/>
      <c r="AA6147" s="3"/>
      <c r="AD6147" s="3"/>
      <c r="AG6147" s="3"/>
      <c r="AJ6147" s="3"/>
    </row>
    <row r="6148" spans="1:36" x14ac:dyDescent="0.25">
      <c r="A6148" s="1"/>
      <c r="B6148" s="2"/>
      <c r="AA6148" s="3"/>
      <c r="AD6148" s="3"/>
      <c r="AG6148" s="3"/>
      <c r="AJ6148" s="3"/>
    </row>
    <row r="6149" spans="1:36" x14ac:dyDescent="0.25">
      <c r="A6149" s="1"/>
      <c r="B6149" s="2"/>
      <c r="AA6149" s="3"/>
      <c r="AD6149" s="3"/>
      <c r="AG6149" s="3"/>
      <c r="AJ6149" s="3"/>
    </row>
    <row r="6150" spans="1:36" x14ac:dyDescent="0.25">
      <c r="A6150" s="1"/>
      <c r="B6150" s="2"/>
      <c r="AA6150" s="3"/>
      <c r="AD6150" s="3"/>
      <c r="AG6150" s="3"/>
      <c r="AJ6150" s="3"/>
    </row>
    <row r="6151" spans="1:36" x14ac:dyDescent="0.25">
      <c r="A6151" s="1"/>
      <c r="B6151" s="2"/>
      <c r="AA6151" s="3"/>
      <c r="AD6151" s="3"/>
      <c r="AG6151" s="3"/>
      <c r="AJ6151" s="3"/>
    </row>
    <row r="6152" spans="1:36" x14ac:dyDescent="0.25">
      <c r="A6152" s="1"/>
      <c r="B6152" s="2"/>
      <c r="AA6152" s="3"/>
      <c r="AD6152" s="3"/>
      <c r="AG6152" s="3"/>
      <c r="AJ6152" s="3"/>
    </row>
    <row r="6153" spans="1:36" x14ac:dyDescent="0.25">
      <c r="A6153" s="1"/>
      <c r="B6153" s="2"/>
      <c r="AA6153" s="3"/>
      <c r="AD6153" s="3"/>
      <c r="AG6153" s="3"/>
      <c r="AJ6153" s="3"/>
    </row>
    <row r="6154" spans="1:36" x14ac:dyDescent="0.25">
      <c r="A6154" s="1"/>
      <c r="B6154" s="2"/>
      <c r="AA6154" s="3"/>
      <c r="AD6154" s="3"/>
      <c r="AG6154" s="3"/>
      <c r="AJ6154" s="3"/>
    </row>
    <row r="6155" spans="1:36" x14ac:dyDescent="0.25">
      <c r="A6155" s="1"/>
      <c r="B6155" s="2"/>
      <c r="AA6155" s="3"/>
      <c r="AD6155" s="3"/>
      <c r="AG6155" s="3"/>
      <c r="AJ6155" s="3"/>
    </row>
    <row r="6156" spans="1:36" x14ac:dyDescent="0.25">
      <c r="A6156" s="1"/>
      <c r="B6156" s="2"/>
      <c r="AA6156" s="3"/>
      <c r="AD6156" s="3"/>
      <c r="AG6156" s="3"/>
      <c r="AJ6156" s="3"/>
    </row>
    <row r="6157" spans="1:36" x14ac:dyDescent="0.25">
      <c r="A6157" s="1"/>
      <c r="B6157" s="2"/>
      <c r="AA6157" s="3"/>
      <c r="AD6157" s="3"/>
      <c r="AG6157" s="3"/>
      <c r="AJ6157" s="3"/>
    </row>
    <row r="6158" spans="1:36" x14ac:dyDescent="0.25">
      <c r="A6158" s="1"/>
      <c r="B6158" s="2"/>
      <c r="AA6158" s="3"/>
      <c r="AD6158" s="3"/>
      <c r="AG6158" s="3"/>
      <c r="AJ6158" s="3"/>
    </row>
    <row r="6159" spans="1:36" x14ac:dyDescent="0.25">
      <c r="A6159" s="1"/>
      <c r="B6159" s="2"/>
      <c r="AA6159" s="3"/>
      <c r="AD6159" s="3"/>
      <c r="AG6159" s="3"/>
      <c r="AJ6159" s="3"/>
    </row>
    <row r="6160" spans="1:36" x14ac:dyDescent="0.25">
      <c r="A6160" s="1"/>
      <c r="B6160" s="2"/>
      <c r="AA6160" s="3"/>
      <c r="AD6160" s="3"/>
      <c r="AG6160" s="3"/>
      <c r="AJ6160" s="3"/>
    </row>
    <row r="6161" spans="1:36" x14ac:dyDescent="0.25">
      <c r="A6161" s="1"/>
      <c r="B6161" s="2"/>
      <c r="AA6161" s="3"/>
      <c r="AD6161" s="3"/>
      <c r="AG6161" s="3"/>
      <c r="AJ6161" s="3"/>
    </row>
    <row r="6162" spans="1:36" x14ac:dyDescent="0.25">
      <c r="A6162" s="1"/>
      <c r="B6162" s="2"/>
      <c r="AA6162" s="3"/>
      <c r="AD6162" s="3"/>
      <c r="AG6162" s="3"/>
      <c r="AJ6162" s="3"/>
    </row>
    <row r="6163" spans="1:36" x14ac:dyDescent="0.25">
      <c r="A6163" s="1"/>
      <c r="B6163" s="2"/>
      <c r="AA6163" s="3"/>
      <c r="AD6163" s="3"/>
      <c r="AG6163" s="3"/>
      <c r="AJ6163" s="3"/>
    </row>
    <row r="6164" spans="1:36" x14ac:dyDescent="0.25">
      <c r="A6164" s="1"/>
      <c r="B6164" s="2"/>
      <c r="AA6164" s="3"/>
      <c r="AD6164" s="3"/>
      <c r="AG6164" s="3"/>
      <c r="AJ6164" s="3"/>
    </row>
    <row r="6165" spans="1:36" x14ac:dyDescent="0.25">
      <c r="A6165" s="1"/>
      <c r="B6165" s="2"/>
      <c r="AA6165" s="3"/>
      <c r="AD6165" s="3"/>
      <c r="AG6165" s="3"/>
      <c r="AJ6165" s="3"/>
    </row>
    <row r="6166" spans="1:36" x14ac:dyDescent="0.25">
      <c r="A6166" s="1"/>
      <c r="B6166" s="2"/>
      <c r="AA6166" s="3"/>
      <c r="AD6166" s="3"/>
      <c r="AG6166" s="3"/>
      <c r="AJ6166" s="3"/>
    </row>
    <row r="6167" spans="1:36" x14ac:dyDescent="0.25">
      <c r="A6167" s="1"/>
      <c r="B6167" s="2"/>
      <c r="AA6167" s="3"/>
      <c r="AD6167" s="3"/>
      <c r="AG6167" s="3"/>
      <c r="AJ6167" s="3"/>
    </row>
    <row r="6168" spans="1:36" x14ac:dyDescent="0.25">
      <c r="A6168" s="1"/>
      <c r="B6168" s="2"/>
      <c r="AA6168" s="3"/>
      <c r="AD6168" s="3"/>
      <c r="AG6168" s="3"/>
      <c r="AJ6168" s="3"/>
    </row>
    <row r="6169" spans="1:36" x14ac:dyDescent="0.25">
      <c r="A6169" s="1"/>
      <c r="B6169" s="2"/>
      <c r="AA6169" s="3"/>
      <c r="AD6169" s="3"/>
      <c r="AG6169" s="3"/>
      <c r="AJ6169" s="3"/>
    </row>
    <row r="6170" spans="1:36" x14ac:dyDescent="0.25">
      <c r="A6170" s="1"/>
      <c r="B6170" s="2"/>
      <c r="AA6170" s="3"/>
      <c r="AD6170" s="3"/>
      <c r="AG6170" s="3"/>
      <c r="AJ6170" s="3"/>
    </row>
    <row r="6171" spans="1:36" x14ac:dyDescent="0.25">
      <c r="A6171" s="1"/>
      <c r="B6171" s="2"/>
      <c r="AA6171" s="3"/>
      <c r="AD6171" s="3"/>
      <c r="AG6171" s="3"/>
      <c r="AJ6171" s="3"/>
    </row>
    <row r="6172" spans="1:36" x14ac:dyDescent="0.25">
      <c r="A6172" s="1"/>
      <c r="B6172" s="2"/>
      <c r="AA6172" s="3"/>
      <c r="AD6172" s="3"/>
      <c r="AG6172" s="3"/>
      <c r="AJ6172" s="3"/>
    </row>
    <row r="6173" spans="1:36" x14ac:dyDescent="0.25">
      <c r="A6173" s="1"/>
      <c r="B6173" s="2"/>
      <c r="AA6173" s="3"/>
      <c r="AD6173" s="3"/>
      <c r="AG6173" s="3"/>
      <c r="AJ6173" s="3"/>
    </row>
    <row r="6174" spans="1:36" x14ac:dyDescent="0.25">
      <c r="A6174" s="1"/>
      <c r="B6174" s="2"/>
      <c r="AA6174" s="3"/>
      <c r="AD6174" s="3"/>
      <c r="AG6174" s="3"/>
      <c r="AJ6174" s="3"/>
    </row>
    <row r="6175" spans="1:36" x14ac:dyDescent="0.25">
      <c r="A6175" s="1"/>
      <c r="B6175" s="2"/>
      <c r="AA6175" s="3"/>
      <c r="AD6175" s="3"/>
      <c r="AG6175" s="3"/>
      <c r="AJ6175" s="3"/>
    </row>
    <row r="6176" spans="1:36" x14ac:dyDescent="0.25">
      <c r="A6176" s="1"/>
      <c r="B6176" s="2"/>
      <c r="AA6176" s="3"/>
      <c r="AD6176" s="3"/>
      <c r="AG6176" s="3"/>
      <c r="AJ6176" s="3"/>
    </row>
    <row r="6177" spans="1:36" x14ac:dyDescent="0.25">
      <c r="A6177" s="1"/>
      <c r="B6177" s="2"/>
      <c r="AA6177" s="3"/>
      <c r="AD6177" s="3"/>
      <c r="AG6177" s="3"/>
      <c r="AJ6177" s="3"/>
    </row>
    <row r="6178" spans="1:36" x14ac:dyDescent="0.25">
      <c r="A6178" s="1"/>
      <c r="B6178" s="2"/>
      <c r="AA6178" s="3"/>
      <c r="AD6178" s="3"/>
      <c r="AG6178" s="3"/>
      <c r="AJ6178" s="3"/>
    </row>
    <row r="6179" spans="1:36" x14ac:dyDescent="0.25">
      <c r="A6179" s="1"/>
      <c r="B6179" s="2"/>
      <c r="AA6179" s="3"/>
      <c r="AD6179" s="3"/>
      <c r="AG6179" s="3"/>
      <c r="AJ6179" s="3"/>
    </row>
    <row r="6180" spans="1:36" x14ac:dyDescent="0.25">
      <c r="A6180" s="1"/>
      <c r="B6180" s="2"/>
      <c r="AA6180" s="3"/>
      <c r="AD6180" s="3"/>
      <c r="AG6180" s="3"/>
      <c r="AJ6180" s="3"/>
    </row>
    <row r="6181" spans="1:36" x14ac:dyDescent="0.25">
      <c r="A6181" s="1"/>
      <c r="B6181" s="2"/>
      <c r="AA6181" s="3"/>
      <c r="AD6181" s="3"/>
      <c r="AG6181" s="3"/>
      <c r="AJ6181" s="3"/>
    </row>
    <row r="6182" spans="1:36" x14ac:dyDescent="0.25">
      <c r="A6182" s="1"/>
      <c r="B6182" s="2"/>
      <c r="AA6182" s="3"/>
      <c r="AD6182" s="3"/>
      <c r="AG6182" s="3"/>
      <c r="AJ6182" s="3"/>
    </row>
    <row r="6183" spans="1:36" x14ac:dyDescent="0.25">
      <c r="A6183" s="1"/>
      <c r="B6183" s="2"/>
      <c r="AA6183" s="3"/>
      <c r="AD6183" s="3"/>
      <c r="AG6183" s="3"/>
      <c r="AJ6183" s="3"/>
    </row>
    <row r="6184" spans="1:36" x14ac:dyDescent="0.25">
      <c r="A6184" s="1"/>
      <c r="B6184" s="2"/>
      <c r="AA6184" s="3"/>
      <c r="AD6184" s="3"/>
      <c r="AG6184" s="3"/>
      <c r="AJ6184" s="3"/>
    </row>
    <row r="6185" spans="1:36" x14ac:dyDescent="0.25">
      <c r="A6185" s="1"/>
      <c r="B6185" s="2"/>
      <c r="AA6185" s="3"/>
      <c r="AD6185" s="3"/>
      <c r="AG6185" s="3"/>
      <c r="AJ6185" s="3"/>
    </row>
    <row r="6186" spans="1:36" x14ac:dyDescent="0.25">
      <c r="A6186" s="1"/>
      <c r="B6186" s="2"/>
      <c r="AA6186" s="3"/>
      <c r="AD6186" s="3"/>
      <c r="AG6186" s="3"/>
      <c r="AJ6186" s="3"/>
    </row>
    <row r="6187" spans="1:36" x14ac:dyDescent="0.25">
      <c r="A6187" s="1"/>
      <c r="B6187" s="2"/>
      <c r="AA6187" s="3"/>
      <c r="AD6187" s="3"/>
      <c r="AG6187" s="3"/>
      <c r="AJ6187" s="3"/>
    </row>
    <row r="6188" spans="1:36" x14ac:dyDescent="0.25">
      <c r="A6188" s="1"/>
      <c r="B6188" s="2"/>
      <c r="AA6188" s="3"/>
      <c r="AD6188" s="3"/>
      <c r="AG6188" s="3"/>
      <c r="AJ6188" s="3"/>
    </row>
    <row r="6189" spans="1:36" x14ac:dyDescent="0.25">
      <c r="A6189" s="1"/>
      <c r="B6189" s="2"/>
      <c r="AA6189" s="3"/>
      <c r="AD6189" s="3"/>
      <c r="AG6189" s="3"/>
      <c r="AJ6189" s="3"/>
    </row>
    <row r="6190" spans="1:36" x14ac:dyDescent="0.25">
      <c r="A6190" s="1"/>
      <c r="B6190" s="2"/>
      <c r="AA6190" s="3"/>
      <c r="AD6190" s="3"/>
      <c r="AG6190" s="3"/>
      <c r="AJ6190" s="3"/>
    </row>
    <row r="6191" spans="1:36" x14ac:dyDescent="0.25">
      <c r="A6191" s="1"/>
      <c r="B6191" s="2"/>
      <c r="AA6191" s="3"/>
      <c r="AD6191" s="3"/>
      <c r="AG6191" s="3"/>
      <c r="AJ6191" s="3"/>
    </row>
    <row r="6192" spans="1:36" x14ac:dyDescent="0.25">
      <c r="A6192" s="1"/>
      <c r="B6192" s="2"/>
      <c r="AA6192" s="3"/>
      <c r="AD6192" s="3"/>
      <c r="AG6192" s="3"/>
      <c r="AJ6192" s="3"/>
    </row>
    <row r="6193" spans="1:36" x14ac:dyDescent="0.25">
      <c r="A6193" s="1"/>
      <c r="B6193" s="2"/>
      <c r="AA6193" s="3"/>
      <c r="AD6193" s="3"/>
      <c r="AG6193" s="3"/>
      <c r="AJ6193" s="3"/>
    </row>
    <row r="6194" spans="1:36" x14ac:dyDescent="0.25">
      <c r="A6194" s="1"/>
      <c r="B6194" s="2"/>
      <c r="AA6194" s="3"/>
      <c r="AD6194" s="3"/>
      <c r="AG6194" s="3"/>
      <c r="AJ6194" s="3"/>
    </row>
    <row r="6195" spans="1:36" x14ac:dyDescent="0.25">
      <c r="A6195" s="1"/>
      <c r="B6195" s="2"/>
      <c r="AA6195" s="3"/>
      <c r="AD6195" s="3"/>
      <c r="AG6195" s="3"/>
      <c r="AJ6195" s="3"/>
    </row>
    <row r="6196" spans="1:36" x14ac:dyDescent="0.25">
      <c r="A6196" s="1"/>
      <c r="B6196" s="2"/>
      <c r="AA6196" s="3"/>
      <c r="AD6196" s="3"/>
      <c r="AG6196" s="3"/>
      <c r="AJ6196" s="3"/>
    </row>
    <row r="6197" spans="1:36" x14ac:dyDescent="0.25">
      <c r="A6197" s="1"/>
      <c r="B6197" s="2"/>
      <c r="AA6197" s="3"/>
      <c r="AD6197" s="3"/>
      <c r="AG6197" s="3"/>
      <c r="AJ6197" s="3"/>
    </row>
    <row r="6198" spans="1:36" x14ac:dyDescent="0.25">
      <c r="A6198" s="1"/>
      <c r="B6198" s="2"/>
      <c r="AA6198" s="3"/>
      <c r="AD6198" s="3"/>
      <c r="AG6198" s="3"/>
      <c r="AJ6198" s="3"/>
    </row>
    <row r="6199" spans="1:36" x14ac:dyDescent="0.25">
      <c r="A6199" s="1"/>
      <c r="B6199" s="2"/>
      <c r="AA6199" s="3"/>
      <c r="AD6199" s="3"/>
      <c r="AG6199" s="3"/>
      <c r="AJ6199" s="3"/>
    </row>
    <row r="6200" spans="1:36" x14ac:dyDescent="0.25">
      <c r="A6200" s="1"/>
      <c r="B6200" s="2"/>
      <c r="AA6200" s="3"/>
      <c r="AD6200" s="3"/>
      <c r="AG6200" s="3"/>
      <c r="AJ6200" s="3"/>
    </row>
    <row r="6201" spans="1:36" x14ac:dyDescent="0.25">
      <c r="A6201" s="1"/>
      <c r="B6201" s="2"/>
      <c r="AA6201" s="3"/>
      <c r="AD6201" s="3"/>
      <c r="AG6201" s="3"/>
      <c r="AJ6201" s="3"/>
    </row>
    <row r="6202" spans="1:36" x14ac:dyDescent="0.25">
      <c r="A6202" s="1"/>
      <c r="B6202" s="2"/>
      <c r="AA6202" s="3"/>
      <c r="AD6202" s="3"/>
      <c r="AG6202" s="3"/>
      <c r="AJ6202" s="3"/>
    </row>
    <row r="6203" spans="1:36" x14ac:dyDescent="0.25">
      <c r="A6203" s="1"/>
      <c r="B6203" s="2"/>
      <c r="AA6203" s="3"/>
      <c r="AD6203" s="3"/>
      <c r="AG6203" s="3"/>
      <c r="AJ6203" s="3"/>
    </row>
    <row r="6204" spans="1:36" x14ac:dyDescent="0.25">
      <c r="A6204" s="1"/>
      <c r="B6204" s="2"/>
      <c r="AA6204" s="3"/>
      <c r="AD6204" s="3"/>
      <c r="AG6204" s="3"/>
      <c r="AJ6204" s="3"/>
    </row>
    <row r="6205" spans="1:36" x14ac:dyDescent="0.25">
      <c r="A6205" s="1"/>
      <c r="B6205" s="2"/>
      <c r="AA6205" s="3"/>
      <c r="AD6205" s="3"/>
      <c r="AG6205" s="3"/>
      <c r="AJ6205" s="3"/>
    </row>
    <row r="6206" spans="1:36" x14ac:dyDescent="0.25">
      <c r="A6206" s="1"/>
      <c r="B6206" s="2"/>
      <c r="AA6206" s="3"/>
      <c r="AD6206" s="3"/>
      <c r="AG6206" s="3"/>
      <c r="AJ6206" s="3"/>
    </row>
    <row r="6207" spans="1:36" x14ac:dyDescent="0.25">
      <c r="A6207" s="1"/>
      <c r="B6207" s="2"/>
      <c r="AA6207" s="3"/>
      <c r="AD6207" s="3"/>
      <c r="AG6207" s="3"/>
      <c r="AJ6207" s="3"/>
    </row>
    <row r="6208" spans="1:36" x14ac:dyDescent="0.25">
      <c r="A6208" s="1"/>
      <c r="B6208" s="2"/>
      <c r="AA6208" s="3"/>
      <c r="AD6208" s="3"/>
      <c r="AG6208" s="3"/>
      <c r="AJ6208" s="3"/>
    </row>
    <row r="6209" spans="1:36" x14ac:dyDescent="0.25">
      <c r="A6209" s="1"/>
      <c r="B6209" s="2"/>
      <c r="AA6209" s="3"/>
      <c r="AD6209" s="3"/>
      <c r="AG6209" s="3"/>
      <c r="AJ6209" s="3"/>
    </row>
    <row r="6210" spans="1:36" x14ac:dyDescent="0.25">
      <c r="A6210" s="1"/>
      <c r="B6210" s="2"/>
      <c r="AA6210" s="3"/>
      <c r="AD6210" s="3"/>
      <c r="AG6210" s="3"/>
      <c r="AJ6210" s="3"/>
    </row>
    <row r="6211" spans="1:36" x14ac:dyDescent="0.25">
      <c r="A6211" s="1"/>
      <c r="B6211" s="2"/>
      <c r="AA6211" s="3"/>
      <c r="AD6211" s="3"/>
      <c r="AG6211" s="3"/>
      <c r="AJ6211" s="3"/>
    </row>
    <row r="6212" spans="1:36" x14ac:dyDescent="0.25">
      <c r="A6212" s="1"/>
      <c r="B6212" s="2"/>
      <c r="AA6212" s="3"/>
      <c r="AD6212" s="3"/>
      <c r="AG6212" s="3"/>
      <c r="AJ6212" s="3"/>
    </row>
    <row r="6213" spans="1:36" x14ac:dyDescent="0.25">
      <c r="A6213" s="1"/>
      <c r="B6213" s="2"/>
      <c r="AA6213" s="3"/>
      <c r="AD6213" s="3"/>
      <c r="AG6213" s="3"/>
      <c r="AJ6213" s="3"/>
    </row>
    <row r="6214" spans="1:36" x14ac:dyDescent="0.25">
      <c r="A6214" s="1"/>
      <c r="B6214" s="2"/>
      <c r="AA6214" s="3"/>
      <c r="AD6214" s="3"/>
      <c r="AG6214" s="3"/>
      <c r="AJ6214" s="3"/>
    </row>
    <row r="6215" spans="1:36" x14ac:dyDescent="0.25">
      <c r="A6215" s="1"/>
      <c r="B6215" s="2"/>
      <c r="AA6215" s="3"/>
      <c r="AD6215" s="3"/>
      <c r="AG6215" s="3"/>
      <c r="AJ6215" s="3"/>
    </row>
    <row r="6216" spans="1:36" x14ac:dyDescent="0.25">
      <c r="A6216" s="1"/>
      <c r="B6216" s="2"/>
      <c r="AA6216" s="3"/>
      <c r="AD6216" s="3"/>
      <c r="AG6216" s="3"/>
      <c r="AJ6216" s="3"/>
    </row>
    <row r="6217" spans="1:36" x14ac:dyDescent="0.25">
      <c r="A6217" s="1"/>
      <c r="B6217" s="2"/>
      <c r="AA6217" s="3"/>
      <c r="AD6217" s="3"/>
      <c r="AG6217" s="3"/>
      <c r="AJ6217" s="3"/>
    </row>
    <row r="6218" spans="1:36" x14ac:dyDescent="0.25">
      <c r="A6218" s="1"/>
      <c r="B6218" s="2"/>
      <c r="AA6218" s="3"/>
      <c r="AD6218" s="3"/>
      <c r="AG6218" s="3"/>
      <c r="AJ6218" s="3"/>
    </row>
    <row r="6219" spans="1:36" x14ac:dyDescent="0.25">
      <c r="A6219" s="1"/>
      <c r="B6219" s="2"/>
      <c r="AA6219" s="3"/>
      <c r="AD6219" s="3"/>
      <c r="AG6219" s="3"/>
      <c r="AJ6219" s="3"/>
    </row>
    <row r="6220" spans="1:36" x14ac:dyDescent="0.25">
      <c r="A6220" s="1"/>
      <c r="B6220" s="2"/>
      <c r="AA6220" s="3"/>
      <c r="AD6220" s="3"/>
      <c r="AG6220" s="3"/>
      <c r="AJ6220" s="3"/>
    </row>
    <row r="6221" spans="1:36" x14ac:dyDescent="0.25">
      <c r="A6221" s="1"/>
      <c r="B6221" s="2"/>
      <c r="AA6221" s="3"/>
      <c r="AD6221" s="3"/>
      <c r="AG6221" s="3"/>
      <c r="AJ6221" s="3"/>
    </row>
    <row r="6222" spans="1:36" x14ac:dyDescent="0.25">
      <c r="A6222" s="1"/>
      <c r="B6222" s="2"/>
      <c r="AA6222" s="3"/>
      <c r="AD6222" s="3"/>
      <c r="AG6222" s="3"/>
      <c r="AJ6222" s="3"/>
    </row>
    <row r="6223" spans="1:36" x14ac:dyDescent="0.25">
      <c r="A6223" s="1"/>
      <c r="B6223" s="2"/>
      <c r="AA6223" s="3"/>
      <c r="AD6223" s="3"/>
      <c r="AG6223" s="3"/>
      <c r="AJ6223" s="3"/>
    </row>
    <row r="6224" spans="1:36" x14ac:dyDescent="0.25">
      <c r="A6224" s="1"/>
      <c r="B6224" s="2"/>
      <c r="AA6224" s="3"/>
      <c r="AD6224" s="3"/>
      <c r="AG6224" s="3"/>
      <c r="AJ6224" s="3"/>
    </row>
    <row r="6225" spans="1:36" x14ac:dyDescent="0.25">
      <c r="A6225" s="1"/>
      <c r="B6225" s="2"/>
      <c r="AA6225" s="3"/>
      <c r="AD6225" s="3"/>
      <c r="AG6225" s="3"/>
      <c r="AJ6225" s="3"/>
    </row>
    <row r="6226" spans="1:36" x14ac:dyDescent="0.25">
      <c r="A6226" s="1"/>
      <c r="B6226" s="2"/>
      <c r="AA6226" s="3"/>
      <c r="AD6226" s="3"/>
      <c r="AG6226" s="3"/>
      <c r="AJ6226" s="3"/>
    </row>
    <row r="6227" spans="1:36" x14ac:dyDescent="0.25">
      <c r="A6227" s="1"/>
      <c r="B6227" s="2"/>
      <c r="AA6227" s="3"/>
      <c r="AD6227" s="3"/>
      <c r="AG6227" s="3"/>
      <c r="AJ6227" s="3"/>
    </row>
    <row r="6228" spans="1:36" x14ac:dyDescent="0.25">
      <c r="A6228" s="1"/>
      <c r="B6228" s="2"/>
      <c r="AA6228" s="3"/>
      <c r="AD6228" s="3"/>
      <c r="AG6228" s="3"/>
      <c r="AJ6228" s="3"/>
    </row>
    <row r="6229" spans="1:36" x14ac:dyDescent="0.25">
      <c r="A6229" s="1"/>
      <c r="B6229" s="2"/>
      <c r="AA6229" s="3"/>
      <c r="AD6229" s="3"/>
      <c r="AG6229" s="3"/>
      <c r="AJ6229" s="3"/>
    </row>
    <row r="6230" spans="1:36" x14ac:dyDescent="0.25">
      <c r="A6230" s="1"/>
      <c r="B6230" s="2"/>
      <c r="AA6230" s="3"/>
      <c r="AD6230" s="3"/>
      <c r="AG6230" s="3"/>
      <c r="AJ6230" s="3"/>
    </row>
    <row r="6231" spans="1:36" x14ac:dyDescent="0.25">
      <c r="A6231" s="1"/>
      <c r="B6231" s="2"/>
      <c r="AA6231" s="3"/>
      <c r="AD6231" s="3"/>
      <c r="AG6231" s="3"/>
      <c r="AJ6231" s="3"/>
    </row>
    <row r="6232" spans="1:36" x14ac:dyDescent="0.25">
      <c r="A6232" s="1"/>
      <c r="B6232" s="2"/>
      <c r="AA6232" s="3"/>
      <c r="AD6232" s="3"/>
      <c r="AG6232" s="3"/>
      <c r="AJ6232" s="3"/>
    </row>
    <row r="6233" spans="1:36" x14ac:dyDescent="0.25">
      <c r="A6233" s="1"/>
      <c r="B6233" s="2"/>
      <c r="AA6233" s="3"/>
      <c r="AD6233" s="3"/>
      <c r="AG6233" s="3"/>
      <c r="AJ6233" s="3"/>
    </row>
    <row r="6234" spans="1:36" x14ac:dyDescent="0.25">
      <c r="A6234" s="1"/>
      <c r="B6234" s="2"/>
      <c r="AA6234" s="3"/>
      <c r="AD6234" s="3"/>
      <c r="AG6234" s="3"/>
      <c r="AJ6234" s="3"/>
    </row>
    <row r="6235" spans="1:36" x14ac:dyDescent="0.25">
      <c r="A6235" s="1"/>
      <c r="B6235" s="2"/>
      <c r="AA6235" s="3"/>
      <c r="AD6235" s="3"/>
      <c r="AG6235" s="3"/>
      <c r="AJ6235" s="3"/>
    </row>
    <row r="6236" spans="1:36" x14ac:dyDescent="0.25">
      <c r="A6236" s="1"/>
      <c r="B6236" s="2"/>
      <c r="AA6236" s="3"/>
      <c r="AD6236" s="3"/>
      <c r="AG6236" s="3"/>
      <c r="AJ6236" s="3"/>
    </row>
    <row r="6237" spans="1:36" x14ac:dyDescent="0.25">
      <c r="A6237" s="1"/>
      <c r="B6237" s="2"/>
      <c r="AA6237" s="3"/>
      <c r="AD6237" s="3"/>
      <c r="AG6237" s="3"/>
      <c r="AJ6237" s="3"/>
    </row>
    <row r="6238" spans="1:36" x14ac:dyDescent="0.25">
      <c r="A6238" s="1"/>
      <c r="B6238" s="2"/>
      <c r="AA6238" s="3"/>
      <c r="AD6238" s="3"/>
      <c r="AG6238" s="3"/>
      <c r="AJ6238" s="3"/>
    </row>
    <row r="6239" spans="1:36" x14ac:dyDescent="0.25">
      <c r="A6239" s="1"/>
      <c r="B6239" s="2"/>
      <c r="AA6239" s="3"/>
      <c r="AD6239" s="3"/>
      <c r="AG6239" s="3"/>
      <c r="AJ6239" s="3"/>
    </row>
    <row r="6240" spans="1:36" x14ac:dyDescent="0.25">
      <c r="A6240" s="1"/>
      <c r="B6240" s="2"/>
      <c r="AA6240" s="3"/>
      <c r="AD6240" s="3"/>
      <c r="AG6240" s="3"/>
      <c r="AJ6240" s="3"/>
    </row>
    <row r="6241" spans="1:36" x14ac:dyDescent="0.25">
      <c r="A6241" s="1"/>
      <c r="B6241" s="2"/>
      <c r="AA6241" s="3"/>
      <c r="AD6241" s="3"/>
      <c r="AG6241" s="3"/>
      <c r="AJ6241" s="3"/>
    </row>
    <row r="6242" spans="1:36" x14ac:dyDescent="0.25">
      <c r="A6242" s="1"/>
      <c r="B6242" s="2"/>
      <c r="AA6242" s="3"/>
      <c r="AD6242" s="3"/>
      <c r="AG6242" s="3"/>
      <c r="AJ6242" s="3"/>
    </row>
    <row r="6243" spans="1:36" x14ac:dyDescent="0.25">
      <c r="A6243" s="1"/>
      <c r="B6243" s="2"/>
      <c r="AA6243" s="3"/>
      <c r="AD6243" s="3"/>
      <c r="AG6243" s="3"/>
      <c r="AJ6243" s="3"/>
    </row>
    <row r="6244" spans="1:36" x14ac:dyDescent="0.25">
      <c r="A6244" s="1"/>
      <c r="B6244" s="2"/>
      <c r="AA6244" s="3"/>
      <c r="AD6244" s="3"/>
      <c r="AG6244" s="3"/>
      <c r="AJ6244" s="3"/>
    </row>
    <row r="6245" spans="1:36" x14ac:dyDescent="0.25">
      <c r="A6245" s="1"/>
      <c r="B6245" s="2"/>
      <c r="AA6245" s="3"/>
      <c r="AD6245" s="3"/>
      <c r="AG6245" s="3"/>
      <c r="AJ6245" s="3"/>
    </row>
    <row r="6246" spans="1:36" x14ac:dyDescent="0.25">
      <c r="A6246" s="1"/>
      <c r="B6246" s="2"/>
      <c r="AA6246" s="3"/>
      <c r="AD6246" s="3"/>
      <c r="AG6246" s="3"/>
      <c r="AJ6246" s="3"/>
    </row>
    <row r="6247" spans="1:36" x14ac:dyDescent="0.25">
      <c r="A6247" s="1"/>
      <c r="B6247" s="2"/>
      <c r="AA6247" s="3"/>
      <c r="AD6247" s="3"/>
      <c r="AG6247" s="3"/>
      <c r="AJ6247" s="3"/>
    </row>
    <row r="6248" spans="1:36" x14ac:dyDescent="0.25">
      <c r="A6248" s="1"/>
      <c r="B6248" s="2"/>
      <c r="AA6248" s="3"/>
      <c r="AD6248" s="3"/>
      <c r="AG6248" s="3"/>
      <c r="AJ6248" s="3"/>
    </row>
    <row r="6249" spans="1:36" x14ac:dyDescent="0.25">
      <c r="A6249" s="1"/>
      <c r="B6249" s="2"/>
      <c r="AA6249" s="3"/>
      <c r="AD6249" s="3"/>
      <c r="AG6249" s="3"/>
      <c r="AJ6249" s="3"/>
    </row>
    <row r="6250" spans="1:36" x14ac:dyDescent="0.25">
      <c r="A6250" s="1"/>
      <c r="B6250" s="2"/>
      <c r="AA6250" s="3"/>
      <c r="AD6250" s="3"/>
      <c r="AG6250" s="3"/>
      <c r="AJ6250" s="3"/>
    </row>
    <row r="6251" spans="1:36" x14ac:dyDescent="0.25">
      <c r="A6251" s="1"/>
      <c r="B6251" s="2"/>
      <c r="AA6251" s="3"/>
      <c r="AD6251" s="3"/>
      <c r="AG6251" s="3"/>
      <c r="AJ6251" s="3"/>
    </row>
    <row r="6252" spans="1:36" x14ac:dyDescent="0.25">
      <c r="A6252" s="1"/>
      <c r="B6252" s="2"/>
      <c r="AA6252" s="3"/>
      <c r="AD6252" s="3"/>
      <c r="AG6252" s="3"/>
      <c r="AJ6252" s="3"/>
    </row>
    <row r="6253" spans="1:36" x14ac:dyDescent="0.25">
      <c r="A6253" s="1"/>
      <c r="B6253" s="2"/>
      <c r="AA6253" s="3"/>
      <c r="AD6253" s="3"/>
      <c r="AG6253" s="3"/>
      <c r="AJ6253" s="3"/>
    </row>
    <row r="6254" spans="1:36" x14ac:dyDescent="0.25">
      <c r="A6254" s="1"/>
      <c r="B6254" s="2"/>
      <c r="AA6254" s="3"/>
      <c r="AD6254" s="3"/>
      <c r="AG6254" s="3"/>
      <c r="AJ6254" s="3"/>
    </row>
    <row r="6255" spans="1:36" x14ac:dyDescent="0.25">
      <c r="A6255" s="1"/>
      <c r="B6255" s="2"/>
      <c r="AA6255" s="3"/>
      <c r="AD6255" s="3"/>
      <c r="AG6255" s="3"/>
      <c r="AJ6255" s="3"/>
    </row>
    <row r="6256" spans="1:36" x14ac:dyDescent="0.25">
      <c r="A6256" s="1"/>
      <c r="B6256" s="2"/>
      <c r="AA6256" s="3"/>
      <c r="AD6256" s="3"/>
      <c r="AG6256" s="3"/>
      <c r="AJ6256" s="3"/>
    </row>
    <row r="6257" spans="1:36" x14ac:dyDescent="0.25">
      <c r="A6257" s="1"/>
      <c r="B6257" s="2"/>
      <c r="AA6257" s="3"/>
      <c r="AD6257" s="3"/>
      <c r="AG6257" s="3"/>
      <c r="AJ6257" s="3"/>
    </row>
    <row r="6258" spans="1:36" x14ac:dyDescent="0.25">
      <c r="A6258" s="1"/>
      <c r="B6258" s="2"/>
      <c r="AA6258" s="3"/>
      <c r="AD6258" s="3"/>
      <c r="AG6258" s="3"/>
      <c r="AJ6258" s="3"/>
    </row>
    <row r="6259" spans="1:36" x14ac:dyDescent="0.25">
      <c r="A6259" s="1"/>
      <c r="B6259" s="2"/>
      <c r="AA6259" s="3"/>
      <c r="AD6259" s="3"/>
      <c r="AG6259" s="3"/>
      <c r="AJ6259" s="3"/>
    </row>
    <row r="6260" spans="1:36" x14ac:dyDescent="0.25">
      <c r="A6260" s="1"/>
      <c r="B6260" s="2"/>
      <c r="AA6260" s="3"/>
      <c r="AD6260" s="3"/>
      <c r="AG6260" s="3"/>
      <c r="AJ6260" s="3"/>
    </row>
    <row r="6261" spans="1:36" x14ac:dyDescent="0.25">
      <c r="A6261" s="1"/>
      <c r="B6261" s="2"/>
      <c r="AA6261" s="3"/>
      <c r="AD6261" s="3"/>
      <c r="AG6261" s="3"/>
      <c r="AJ6261" s="3"/>
    </row>
    <row r="6262" spans="1:36" x14ac:dyDescent="0.25">
      <c r="A6262" s="1"/>
      <c r="B6262" s="2"/>
      <c r="AA6262" s="3"/>
      <c r="AD6262" s="3"/>
      <c r="AG6262" s="3"/>
      <c r="AJ6262" s="3"/>
    </row>
    <row r="6263" spans="1:36" x14ac:dyDescent="0.25">
      <c r="A6263" s="1"/>
      <c r="B6263" s="2"/>
      <c r="AA6263" s="3"/>
      <c r="AD6263" s="3"/>
      <c r="AG6263" s="3"/>
      <c r="AJ6263" s="3"/>
    </row>
    <row r="6264" spans="1:36" x14ac:dyDescent="0.25">
      <c r="A6264" s="1"/>
      <c r="B6264" s="2"/>
      <c r="AA6264" s="3"/>
      <c r="AD6264" s="3"/>
      <c r="AG6264" s="3"/>
      <c r="AJ6264" s="3"/>
    </row>
    <row r="6265" spans="1:36" x14ac:dyDescent="0.25">
      <c r="A6265" s="1"/>
      <c r="B6265" s="2"/>
      <c r="AA6265" s="3"/>
      <c r="AD6265" s="3"/>
      <c r="AG6265" s="3"/>
      <c r="AJ6265" s="3"/>
    </row>
    <row r="6266" spans="1:36" x14ac:dyDescent="0.25">
      <c r="A6266" s="1"/>
      <c r="B6266" s="2"/>
      <c r="AA6266" s="3"/>
      <c r="AD6266" s="3"/>
      <c r="AG6266" s="3"/>
      <c r="AJ6266" s="3"/>
    </row>
    <row r="6267" spans="1:36" x14ac:dyDescent="0.25">
      <c r="A6267" s="1"/>
      <c r="B6267" s="2"/>
      <c r="AA6267" s="3"/>
      <c r="AD6267" s="3"/>
      <c r="AG6267" s="3"/>
      <c r="AJ6267" s="3"/>
    </row>
    <row r="6268" spans="1:36" x14ac:dyDescent="0.25">
      <c r="A6268" s="1"/>
      <c r="B6268" s="2"/>
      <c r="AA6268" s="3"/>
      <c r="AD6268" s="3"/>
      <c r="AG6268" s="3"/>
      <c r="AJ6268" s="3"/>
    </row>
    <row r="6269" spans="1:36" x14ac:dyDescent="0.25">
      <c r="A6269" s="1"/>
      <c r="B6269" s="2"/>
      <c r="AA6269" s="3"/>
      <c r="AD6269" s="3"/>
      <c r="AG6269" s="3"/>
      <c r="AJ6269" s="3"/>
    </row>
    <row r="6270" spans="1:36" x14ac:dyDescent="0.25">
      <c r="A6270" s="1"/>
      <c r="B6270" s="2"/>
      <c r="AA6270" s="3"/>
      <c r="AD6270" s="3"/>
      <c r="AG6270" s="3"/>
      <c r="AJ6270" s="3"/>
    </row>
    <row r="6271" spans="1:36" x14ac:dyDescent="0.25">
      <c r="A6271" s="1"/>
      <c r="B6271" s="2"/>
      <c r="AA6271" s="3"/>
      <c r="AD6271" s="3"/>
      <c r="AG6271" s="3"/>
      <c r="AJ6271" s="3"/>
    </row>
    <row r="6272" spans="1:36" x14ac:dyDescent="0.25">
      <c r="A6272" s="1"/>
      <c r="B6272" s="2"/>
      <c r="AA6272" s="3"/>
      <c r="AD6272" s="3"/>
      <c r="AG6272" s="3"/>
      <c r="AJ6272" s="3"/>
    </row>
    <row r="6273" spans="1:36" x14ac:dyDescent="0.25">
      <c r="A6273" s="1"/>
      <c r="B6273" s="2"/>
      <c r="AA6273" s="3"/>
      <c r="AD6273" s="3"/>
      <c r="AG6273" s="3"/>
      <c r="AJ6273" s="3"/>
    </row>
    <row r="6274" spans="1:36" x14ac:dyDescent="0.25">
      <c r="A6274" s="1"/>
      <c r="B6274" s="2"/>
      <c r="AA6274" s="3"/>
      <c r="AD6274" s="3"/>
      <c r="AG6274" s="3"/>
      <c r="AJ6274" s="3"/>
    </row>
    <row r="6275" spans="1:36" x14ac:dyDescent="0.25">
      <c r="A6275" s="1"/>
      <c r="B6275" s="2"/>
      <c r="AA6275" s="3"/>
      <c r="AD6275" s="3"/>
      <c r="AG6275" s="3"/>
      <c r="AJ6275" s="3"/>
    </row>
    <row r="6276" spans="1:36" x14ac:dyDescent="0.25">
      <c r="A6276" s="1"/>
      <c r="B6276" s="2"/>
      <c r="AA6276" s="3"/>
      <c r="AD6276" s="3"/>
      <c r="AG6276" s="3"/>
      <c r="AJ6276" s="3"/>
    </row>
    <row r="6277" spans="1:36" x14ac:dyDescent="0.25">
      <c r="A6277" s="1"/>
      <c r="B6277" s="2"/>
      <c r="AA6277" s="3"/>
      <c r="AD6277" s="3"/>
      <c r="AG6277" s="3"/>
      <c r="AJ6277" s="3"/>
    </row>
    <row r="6278" spans="1:36" x14ac:dyDescent="0.25">
      <c r="A6278" s="1"/>
      <c r="B6278" s="2"/>
      <c r="AA6278" s="3"/>
      <c r="AD6278" s="3"/>
      <c r="AG6278" s="3"/>
      <c r="AJ6278" s="3"/>
    </row>
    <row r="6279" spans="1:36" x14ac:dyDescent="0.25">
      <c r="A6279" s="1"/>
      <c r="B6279" s="2"/>
      <c r="AA6279" s="3"/>
      <c r="AD6279" s="3"/>
      <c r="AG6279" s="3"/>
      <c r="AJ6279" s="3"/>
    </row>
    <row r="6280" spans="1:36" x14ac:dyDescent="0.25">
      <c r="A6280" s="1"/>
      <c r="B6280" s="2"/>
      <c r="AA6280" s="3"/>
      <c r="AD6280" s="3"/>
      <c r="AG6280" s="3"/>
      <c r="AJ6280" s="3"/>
    </row>
    <row r="6281" spans="1:36" x14ac:dyDescent="0.25">
      <c r="A6281" s="1"/>
      <c r="B6281" s="2"/>
      <c r="AA6281" s="3"/>
      <c r="AD6281" s="3"/>
      <c r="AG6281" s="3"/>
      <c r="AJ6281" s="3"/>
    </row>
    <row r="6282" spans="1:36" x14ac:dyDescent="0.25">
      <c r="A6282" s="1"/>
      <c r="B6282" s="2"/>
      <c r="AA6282" s="3"/>
      <c r="AD6282" s="3"/>
      <c r="AG6282" s="3"/>
      <c r="AJ6282" s="3"/>
    </row>
    <row r="6283" spans="1:36" x14ac:dyDescent="0.25">
      <c r="A6283" s="1"/>
      <c r="B6283" s="2"/>
      <c r="AA6283" s="3"/>
      <c r="AD6283" s="3"/>
      <c r="AG6283" s="3"/>
      <c r="AJ6283" s="3"/>
    </row>
    <row r="6284" spans="1:36" x14ac:dyDescent="0.25">
      <c r="A6284" s="1"/>
      <c r="B6284" s="2"/>
      <c r="AA6284" s="3"/>
      <c r="AD6284" s="3"/>
      <c r="AG6284" s="3"/>
      <c r="AJ6284" s="3"/>
    </row>
    <row r="6285" spans="1:36" x14ac:dyDescent="0.25">
      <c r="A6285" s="1"/>
      <c r="B6285" s="2"/>
      <c r="AA6285" s="3"/>
      <c r="AD6285" s="3"/>
      <c r="AG6285" s="3"/>
      <c r="AJ6285" s="3"/>
    </row>
    <row r="6286" spans="1:36" x14ac:dyDescent="0.25">
      <c r="A6286" s="1"/>
      <c r="B6286" s="2"/>
      <c r="AA6286" s="3"/>
      <c r="AD6286" s="3"/>
      <c r="AG6286" s="3"/>
      <c r="AJ6286" s="3"/>
    </row>
    <row r="6287" spans="1:36" x14ac:dyDescent="0.25">
      <c r="A6287" s="1"/>
      <c r="B6287" s="2"/>
      <c r="AA6287" s="3"/>
      <c r="AD6287" s="3"/>
      <c r="AG6287" s="3"/>
      <c r="AJ6287" s="3"/>
    </row>
    <row r="6288" spans="1:36" x14ac:dyDescent="0.25">
      <c r="A6288" s="1"/>
      <c r="B6288" s="2"/>
      <c r="AA6288" s="3"/>
      <c r="AD6288" s="3"/>
      <c r="AG6288" s="3"/>
      <c r="AJ6288" s="3"/>
    </row>
    <row r="6289" spans="1:36" x14ac:dyDescent="0.25">
      <c r="A6289" s="1"/>
      <c r="B6289" s="2"/>
      <c r="AA6289" s="3"/>
      <c r="AD6289" s="3"/>
      <c r="AG6289" s="3"/>
      <c r="AJ6289" s="3"/>
    </row>
    <row r="6290" spans="1:36" x14ac:dyDescent="0.25">
      <c r="A6290" s="1"/>
      <c r="B6290" s="2"/>
      <c r="AA6290" s="3"/>
      <c r="AD6290" s="3"/>
      <c r="AG6290" s="3"/>
      <c r="AJ6290" s="3"/>
    </row>
    <row r="6291" spans="1:36" x14ac:dyDescent="0.25">
      <c r="A6291" s="1"/>
      <c r="B6291" s="2"/>
      <c r="AA6291" s="3"/>
      <c r="AD6291" s="3"/>
      <c r="AG6291" s="3"/>
      <c r="AJ6291" s="3"/>
    </row>
    <row r="6292" spans="1:36" x14ac:dyDescent="0.25">
      <c r="A6292" s="1"/>
      <c r="B6292" s="2"/>
      <c r="AA6292" s="3"/>
      <c r="AD6292" s="3"/>
      <c r="AG6292" s="3"/>
      <c r="AJ6292" s="3"/>
    </row>
    <row r="6293" spans="1:36" x14ac:dyDescent="0.25">
      <c r="A6293" s="1"/>
      <c r="B6293" s="2"/>
      <c r="AA6293" s="3"/>
      <c r="AD6293" s="3"/>
      <c r="AG6293" s="3"/>
      <c r="AJ6293" s="3"/>
    </row>
    <row r="6294" spans="1:36" x14ac:dyDescent="0.25">
      <c r="A6294" s="1"/>
      <c r="B6294" s="2"/>
      <c r="AA6294" s="3"/>
      <c r="AD6294" s="3"/>
      <c r="AG6294" s="3"/>
      <c r="AJ6294" s="3"/>
    </row>
    <row r="6295" spans="1:36" x14ac:dyDescent="0.25">
      <c r="A6295" s="1"/>
      <c r="B6295" s="2"/>
      <c r="AA6295" s="3"/>
      <c r="AD6295" s="3"/>
      <c r="AG6295" s="3"/>
      <c r="AJ6295" s="3"/>
    </row>
    <row r="6296" spans="1:36" x14ac:dyDescent="0.25">
      <c r="A6296" s="1"/>
      <c r="B6296" s="2"/>
      <c r="AA6296" s="3"/>
      <c r="AD6296" s="3"/>
      <c r="AG6296" s="3"/>
      <c r="AJ6296" s="3"/>
    </row>
    <row r="6297" spans="1:36" x14ac:dyDescent="0.25">
      <c r="A6297" s="1"/>
      <c r="B6297" s="2"/>
      <c r="AA6297" s="3"/>
      <c r="AD6297" s="3"/>
      <c r="AG6297" s="3"/>
      <c r="AJ6297" s="3"/>
    </row>
    <row r="6298" spans="1:36" x14ac:dyDescent="0.25">
      <c r="A6298" s="1"/>
      <c r="B6298" s="2"/>
      <c r="AA6298" s="3"/>
      <c r="AD6298" s="3"/>
      <c r="AG6298" s="3"/>
      <c r="AJ6298" s="3"/>
    </row>
    <row r="6299" spans="1:36" x14ac:dyDescent="0.25">
      <c r="A6299" s="1"/>
      <c r="B6299" s="2"/>
      <c r="AA6299" s="3"/>
      <c r="AD6299" s="3"/>
      <c r="AG6299" s="3"/>
      <c r="AJ6299" s="3"/>
    </row>
    <row r="6300" spans="1:36" x14ac:dyDescent="0.25">
      <c r="A6300" s="1"/>
      <c r="B6300" s="2"/>
      <c r="AA6300" s="3"/>
      <c r="AD6300" s="3"/>
      <c r="AG6300" s="3"/>
      <c r="AJ6300" s="3"/>
    </row>
    <row r="6301" spans="1:36" x14ac:dyDescent="0.25">
      <c r="A6301" s="1"/>
      <c r="B6301" s="2"/>
      <c r="AA6301" s="3"/>
      <c r="AD6301" s="3"/>
      <c r="AG6301" s="3"/>
      <c r="AJ6301" s="3"/>
    </row>
    <row r="6302" spans="1:36" x14ac:dyDescent="0.25">
      <c r="A6302" s="1"/>
      <c r="B6302" s="2"/>
      <c r="AA6302" s="3"/>
      <c r="AD6302" s="3"/>
      <c r="AG6302" s="3"/>
      <c r="AJ6302" s="3"/>
    </row>
    <row r="6303" spans="1:36" x14ac:dyDescent="0.25">
      <c r="A6303" s="1"/>
      <c r="B6303" s="2"/>
      <c r="AA6303" s="3"/>
      <c r="AD6303" s="3"/>
      <c r="AG6303" s="3"/>
      <c r="AJ6303" s="3"/>
    </row>
    <row r="6304" spans="1:36" x14ac:dyDescent="0.25">
      <c r="A6304" s="1"/>
      <c r="B6304" s="2"/>
      <c r="AA6304" s="3"/>
      <c r="AD6304" s="3"/>
      <c r="AG6304" s="3"/>
      <c r="AJ6304" s="3"/>
    </row>
    <row r="6305" spans="1:36" x14ac:dyDescent="0.25">
      <c r="A6305" s="1"/>
      <c r="B6305" s="2"/>
      <c r="AA6305" s="3"/>
      <c r="AD6305" s="3"/>
      <c r="AG6305" s="3"/>
      <c r="AJ6305" s="3"/>
    </row>
    <row r="6306" spans="1:36" x14ac:dyDescent="0.25">
      <c r="A6306" s="1"/>
      <c r="B6306" s="2"/>
      <c r="AA6306" s="3"/>
      <c r="AD6306" s="3"/>
      <c r="AG6306" s="3"/>
      <c r="AJ6306" s="3"/>
    </row>
    <row r="6307" spans="1:36" x14ac:dyDescent="0.25">
      <c r="A6307" s="1"/>
      <c r="B6307" s="2"/>
      <c r="AA6307" s="3"/>
      <c r="AD6307" s="3"/>
      <c r="AG6307" s="3"/>
      <c r="AJ6307" s="3"/>
    </row>
    <row r="6308" spans="1:36" x14ac:dyDescent="0.25">
      <c r="A6308" s="1"/>
      <c r="B6308" s="2"/>
      <c r="AA6308" s="3"/>
      <c r="AD6308" s="3"/>
      <c r="AG6308" s="3"/>
      <c r="AJ6308" s="3"/>
    </row>
    <row r="6309" spans="1:36" x14ac:dyDescent="0.25">
      <c r="A6309" s="1"/>
      <c r="B6309" s="2"/>
      <c r="AA6309" s="3"/>
      <c r="AD6309" s="3"/>
      <c r="AG6309" s="3"/>
      <c r="AJ6309" s="3"/>
    </row>
    <row r="6310" spans="1:36" x14ac:dyDescent="0.25">
      <c r="A6310" s="1"/>
      <c r="B6310" s="2"/>
      <c r="AA6310" s="3"/>
      <c r="AD6310" s="3"/>
      <c r="AG6310" s="3"/>
      <c r="AJ6310" s="3"/>
    </row>
    <row r="6311" spans="1:36" x14ac:dyDescent="0.25">
      <c r="A6311" s="1"/>
      <c r="B6311" s="2"/>
      <c r="AA6311" s="3"/>
      <c r="AD6311" s="3"/>
      <c r="AG6311" s="3"/>
      <c r="AJ6311" s="3"/>
    </row>
    <row r="6312" spans="1:36" x14ac:dyDescent="0.25">
      <c r="A6312" s="1"/>
      <c r="B6312" s="2"/>
      <c r="AA6312" s="3"/>
      <c r="AD6312" s="3"/>
      <c r="AG6312" s="3"/>
      <c r="AJ6312" s="3"/>
    </row>
    <row r="6313" spans="1:36" x14ac:dyDescent="0.25">
      <c r="A6313" s="1"/>
      <c r="B6313" s="2"/>
      <c r="AA6313" s="3"/>
      <c r="AD6313" s="3"/>
      <c r="AG6313" s="3"/>
      <c r="AJ6313" s="3"/>
    </row>
    <row r="6314" spans="1:36" x14ac:dyDescent="0.25">
      <c r="A6314" s="1"/>
      <c r="B6314" s="2"/>
      <c r="AA6314" s="3"/>
      <c r="AD6314" s="3"/>
      <c r="AG6314" s="3"/>
      <c r="AJ6314" s="3"/>
    </row>
    <row r="6315" spans="1:36" x14ac:dyDescent="0.25">
      <c r="A6315" s="1"/>
      <c r="B6315" s="2"/>
      <c r="AA6315" s="3"/>
      <c r="AD6315" s="3"/>
      <c r="AG6315" s="3"/>
      <c r="AJ6315" s="3"/>
    </row>
    <row r="6316" spans="1:36" x14ac:dyDescent="0.25">
      <c r="A6316" s="1"/>
      <c r="B6316" s="2"/>
      <c r="AA6316" s="3"/>
      <c r="AD6316" s="3"/>
      <c r="AG6316" s="3"/>
      <c r="AJ6316" s="3"/>
    </row>
    <row r="6317" spans="1:36" x14ac:dyDescent="0.25">
      <c r="A6317" s="1"/>
      <c r="B6317" s="2"/>
      <c r="AA6317" s="3"/>
      <c r="AD6317" s="3"/>
      <c r="AG6317" s="3"/>
      <c r="AJ6317" s="3"/>
    </row>
    <row r="6318" spans="1:36" x14ac:dyDescent="0.25">
      <c r="A6318" s="1"/>
      <c r="B6318" s="2"/>
      <c r="AA6318" s="3"/>
      <c r="AD6318" s="3"/>
      <c r="AG6318" s="3"/>
      <c r="AJ6318" s="3"/>
    </row>
    <row r="6319" spans="1:36" x14ac:dyDescent="0.25">
      <c r="A6319" s="1"/>
      <c r="B6319" s="2"/>
      <c r="AA6319" s="3"/>
      <c r="AD6319" s="3"/>
      <c r="AG6319" s="3"/>
      <c r="AJ6319" s="3"/>
    </row>
    <row r="6320" spans="1:36" x14ac:dyDescent="0.25">
      <c r="A6320" s="1"/>
      <c r="B6320" s="2"/>
      <c r="AA6320" s="3"/>
      <c r="AD6320" s="3"/>
      <c r="AG6320" s="3"/>
      <c r="AJ6320" s="3"/>
    </row>
    <row r="6321" spans="1:36" x14ac:dyDescent="0.25">
      <c r="A6321" s="1"/>
      <c r="B6321" s="2"/>
      <c r="AA6321" s="3"/>
      <c r="AD6321" s="3"/>
      <c r="AG6321" s="3"/>
      <c r="AJ6321" s="3"/>
    </row>
    <row r="6322" spans="1:36" x14ac:dyDescent="0.25">
      <c r="A6322" s="1"/>
      <c r="B6322" s="2"/>
      <c r="AA6322" s="3"/>
      <c r="AD6322" s="3"/>
      <c r="AG6322" s="3"/>
      <c r="AJ6322" s="3"/>
    </row>
    <row r="6323" spans="1:36" x14ac:dyDescent="0.25">
      <c r="A6323" s="1"/>
      <c r="B6323" s="2"/>
      <c r="AA6323" s="3"/>
      <c r="AD6323" s="3"/>
      <c r="AG6323" s="3"/>
      <c r="AJ6323" s="3"/>
    </row>
    <row r="6324" spans="1:36" x14ac:dyDescent="0.25">
      <c r="A6324" s="1"/>
      <c r="B6324" s="2"/>
      <c r="AA6324" s="3"/>
      <c r="AD6324" s="3"/>
      <c r="AG6324" s="3"/>
      <c r="AJ6324" s="3"/>
    </row>
    <row r="6325" spans="1:36" x14ac:dyDescent="0.25">
      <c r="A6325" s="1"/>
      <c r="B6325" s="2"/>
      <c r="AA6325" s="3"/>
      <c r="AD6325" s="3"/>
      <c r="AG6325" s="3"/>
      <c r="AJ6325" s="3"/>
    </row>
    <row r="6326" spans="1:36" x14ac:dyDescent="0.25">
      <c r="A6326" s="1"/>
      <c r="B6326" s="2"/>
      <c r="AA6326" s="3"/>
      <c r="AD6326" s="3"/>
      <c r="AG6326" s="3"/>
      <c r="AJ6326" s="3"/>
    </row>
    <row r="6327" spans="1:36" x14ac:dyDescent="0.25">
      <c r="A6327" s="1"/>
      <c r="B6327" s="2"/>
      <c r="AA6327" s="3"/>
      <c r="AD6327" s="3"/>
      <c r="AG6327" s="3"/>
      <c r="AJ6327" s="3"/>
    </row>
    <row r="6328" spans="1:36" x14ac:dyDescent="0.25">
      <c r="A6328" s="1"/>
      <c r="B6328" s="2"/>
      <c r="AA6328" s="3"/>
      <c r="AD6328" s="3"/>
      <c r="AG6328" s="3"/>
      <c r="AJ6328" s="3"/>
    </row>
    <row r="6329" spans="1:36" x14ac:dyDescent="0.25">
      <c r="A6329" s="1"/>
      <c r="B6329" s="2"/>
      <c r="AA6329" s="3"/>
      <c r="AD6329" s="3"/>
      <c r="AG6329" s="3"/>
      <c r="AJ6329" s="3"/>
    </row>
    <row r="6330" spans="1:36" x14ac:dyDescent="0.25">
      <c r="A6330" s="1"/>
      <c r="B6330" s="2"/>
      <c r="AA6330" s="3"/>
      <c r="AD6330" s="3"/>
      <c r="AG6330" s="3"/>
      <c r="AJ6330" s="3"/>
    </row>
    <row r="6331" spans="1:36" x14ac:dyDescent="0.25">
      <c r="A6331" s="1"/>
      <c r="B6331" s="2"/>
      <c r="AA6331" s="3"/>
      <c r="AD6331" s="3"/>
      <c r="AG6331" s="3"/>
      <c r="AJ6331" s="3"/>
    </row>
    <row r="6332" spans="1:36" x14ac:dyDescent="0.25">
      <c r="A6332" s="1"/>
      <c r="B6332" s="2"/>
      <c r="AA6332" s="3"/>
      <c r="AD6332" s="3"/>
      <c r="AG6332" s="3"/>
      <c r="AJ6332" s="3"/>
    </row>
    <row r="6333" spans="1:36" x14ac:dyDescent="0.25">
      <c r="A6333" s="1"/>
      <c r="B6333" s="2"/>
      <c r="AA6333" s="3"/>
      <c r="AD6333" s="3"/>
      <c r="AG6333" s="3"/>
      <c r="AJ6333" s="3"/>
    </row>
    <row r="6334" spans="1:36" x14ac:dyDescent="0.25">
      <c r="A6334" s="1"/>
      <c r="B6334" s="2"/>
      <c r="AA6334" s="3"/>
      <c r="AD6334" s="3"/>
      <c r="AG6334" s="3"/>
      <c r="AJ6334" s="3"/>
    </row>
    <row r="6335" spans="1:36" x14ac:dyDescent="0.25">
      <c r="A6335" s="1"/>
      <c r="B6335" s="2"/>
      <c r="AA6335" s="3"/>
      <c r="AD6335" s="3"/>
      <c r="AG6335" s="3"/>
      <c r="AJ6335" s="3"/>
    </row>
    <row r="6336" spans="1:36" x14ac:dyDescent="0.25">
      <c r="A6336" s="1"/>
      <c r="B6336" s="2"/>
      <c r="AA6336" s="3"/>
      <c r="AD6336" s="3"/>
      <c r="AG6336" s="3"/>
      <c r="AJ6336" s="3"/>
    </row>
    <row r="6337" spans="1:36" x14ac:dyDescent="0.25">
      <c r="A6337" s="1"/>
      <c r="B6337" s="2"/>
      <c r="AA6337" s="3"/>
      <c r="AD6337" s="3"/>
      <c r="AG6337" s="3"/>
      <c r="AJ6337" s="3"/>
    </row>
    <row r="6338" spans="1:36" x14ac:dyDescent="0.25">
      <c r="A6338" s="1"/>
      <c r="B6338" s="2"/>
      <c r="AA6338" s="3"/>
      <c r="AD6338" s="3"/>
      <c r="AG6338" s="3"/>
      <c r="AJ6338" s="3"/>
    </row>
    <row r="6339" spans="1:36" x14ac:dyDescent="0.25">
      <c r="A6339" s="1"/>
      <c r="B6339" s="2"/>
      <c r="AA6339" s="3"/>
      <c r="AD6339" s="3"/>
      <c r="AG6339" s="3"/>
      <c r="AJ6339" s="3"/>
    </row>
    <row r="6340" spans="1:36" x14ac:dyDescent="0.25">
      <c r="A6340" s="1"/>
      <c r="B6340" s="2"/>
      <c r="AA6340" s="3"/>
      <c r="AD6340" s="3"/>
      <c r="AG6340" s="3"/>
      <c r="AJ6340" s="3"/>
    </row>
    <row r="6341" spans="1:36" x14ac:dyDescent="0.25">
      <c r="A6341" s="1"/>
      <c r="B6341" s="2"/>
      <c r="AA6341" s="3"/>
      <c r="AD6341" s="3"/>
      <c r="AG6341" s="3"/>
      <c r="AJ6341" s="3"/>
    </row>
    <row r="6342" spans="1:36" x14ac:dyDescent="0.25">
      <c r="A6342" s="1"/>
      <c r="B6342" s="2"/>
      <c r="AA6342" s="3"/>
      <c r="AD6342" s="3"/>
      <c r="AG6342" s="3"/>
      <c r="AJ6342" s="3"/>
    </row>
    <row r="6343" spans="1:36" x14ac:dyDescent="0.25">
      <c r="A6343" s="1"/>
      <c r="B6343" s="2"/>
      <c r="AA6343" s="3"/>
      <c r="AD6343" s="3"/>
      <c r="AG6343" s="3"/>
      <c r="AJ6343" s="3"/>
    </row>
    <row r="6344" spans="1:36" x14ac:dyDescent="0.25">
      <c r="A6344" s="1"/>
      <c r="B6344" s="2"/>
      <c r="AA6344" s="3"/>
      <c r="AD6344" s="3"/>
      <c r="AG6344" s="3"/>
      <c r="AJ6344" s="3"/>
    </row>
    <row r="6345" spans="1:36" x14ac:dyDescent="0.25">
      <c r="A6345" s="1"/>
      <c r="B6345" s="2"/>
      <c r="AA6345" s="3"/>
      <c r="AD6345" s="3"/>
      <c r="AG6345" s="3"/>
      <c r="AJ6345" s="3"/>
    </row>
    <row r="6346" spans="1:36" x14ac:dyDescent="0.25">
      <c r="A6346" s="1"/>
      <c r="B6346" s="2"/>
      <c r="AA6346" s="3"/>
      <c r="AD6346" s="3"/>
      <c r="AG6346" s="3"/>
      <c r="AJ6346" s="3"/>
    </row>
    <row r="6347" spans="1:36" x14ac:dyDescent="0.25">
      <c r="A6347" s="1"/>
      <c r="B6347" s="2"/>
      <c r="AA6347" s="3"/>
      <c r="AD6347" s="3"/>
      <c r="AG6347" s="3"/>
      <c r="AJ6347" s="3"/>
    </row>
    <row r="6348" spans="1:36" x14ac:dyDescent="0.25">
      <c r="A6348" s="1"/>
      <c r="B6348" s="2"/>
      <c r="AA6348" s="3"/>
      <c r="AD6348" s="3"/>
      <c r="AG6348" s="3"/>
      <c r="AJ6348" s="3"/>
    </row>
    <row r="6349" spans="1:36" x14ac:dyDescent="0.25">
      <c r="A6349" s="1"/>
      <c r="B6349" s="2"/>
      <c r="AA6349" s="3"/>
      <c r="AD6349" s="3"/>
      <c r="AG6349" s="3"/>
      <c r="AJ6349" s="3"/>
    </row>
    <row r="6350" spans="1:36" x14ac:dyDescent="0.25">
      <c r="A6350" s="1"/>
      <c r="B6350" s="2"/>
      <c r="AA6350" s="3"/>
      <c r="AD6350" s="3"/>
      <c r="AG6350" s="3"/>
      <c r="AJ6350" s="3"/>
    </row>
    <row r="6351" spans="1:36" x14ac:dyDescent="0.25">
      <c r="A6351" s="1"/>
      <c r="B6351" s="2"/>
      <c r="AA6351" s="3"/>
      <c r="AD6351" s="3"/>
      <c r="AG6351" s="3"/>
      <c r="AJ6351" s="3"/>
    </row>
    <row r="6352" spans="1:36" x14ac:dyDescent="0.25">
      <c r="A6352" s="1"/>
      <c r="B6352" s="2"/>
      <c r="AA6352" s="3"/>
      <c r="AD6352" s="3"/>
      <c r="AG6352" s="3"/>
      <c r="AJ6352" s="3"/>
    </row>
    <row r="6353" spans="1:36" x14ac:dyDescent="0.25">
      <c r="A6353" s="1"/>
      <c r="B6353" s="2"/>
      <c r="AA6353" s="3"/>
      <c r="AD6353" s="3"/>
      <c r="AG6353" s="3"/>
      <c r="AJ6353" s="3"/>
    </row>
    <row r="6354" spans="1:36" x14ac:dyDescent="0.25">
      <c r="A6354" s="1"/>
      <c r="B6354" s="2"/>
      <c r="AA6354" s="3"/>
      <c r="AD6354" s="3"/>
      <c r="AG6354" s="3"/>
      <c r="AJ6354" s="3"/>
    </row>
    <row r="6355" spans="1:36" x14ac:dyDescent="0.25">
      <c r="A6355" s="1"/>
      <c r="B6355" s="2"/>
      <c r="AA6355" s="3"/>
      <c r="AD6355" s="3"/>
      <c r="AG6355" s="3"/>
      <c r="AJ6355" s="3"/>
    </row>
    <row r="6356" spans="1:36" x14ac:dyDescent="0.25">
      <c r="A6356" s="1"/>
      <c r="B6356" s="2"/>
      <c r="AA6356" s="3"/>
      <c r="AD6356" s="3"/>
      <c r="AG6356" s="3"/>
      <c r="AJ6356" s="3"/>
    </row>
    <row r="6357" spans="1:36" x14ac:dyDescent="0.25">
      <c r="A6357" s="1"/>
      <c r="B6357" s="2"/>
      <c r="AA6357" s="3"/>
      <c r="AD6357" s="3"/>
      <c r="AG6357" s="3"/>
      <c r="AJ6357" s="3"/>
    </row>
    <row r="6358" spans="1:36" x14ac:dyDescent="0.25">
      <c r="A6358" s="1"/>
      <c r="B6358" s="2"/>
      <c r="AA6358" s="3"/>
      <c r="AD6358" s="3"/>
      <c r="AG6358" s="3"/>
      <c r="AJ6358" s="3"/>
    </row>
    <row r="6359" spans="1:36" x14ac:dyDescent="0.25">
      <c r="A6359" s="1"/>
      <c r="B6359" s="2"/>
      <c r="AA6359" s="3"/>
      <c r="AD6359" s="3"/>
      <c r="AG6359" s="3"/>
      <c r="AJ6359" s="3"/>
    </row>
    <row r="6360" spans="1:36" x14ac:dyDescent="0.25">
      <c r="A6360" s="1"/>
      <c r="B6360" s="2"/>
      <c r="AA6360" s="3"/>
      <c r="AD6360" s="3"/>
      <c r="AG6360" s="3"/>
      <c r="AJ6360" s="3"/>
    </row>
    <row r="6361" spans="1:36" x14ac:dyDescent="0.25">
      <c r="A6361" s="1"/>
      <c r="B6361" s="2"/>
      <c r="AA6361" s="3"/>
      <c r="AD6361" s="3"/>
      <c r="AG6361" s="3"/>
      <c r="AJ6361" s="3"/>
    </row>
    <row r="6362" spans="1:36" x14ac:dyDescent="0.25">
      <c r="A6362" s="1"/>
      <c r="B6362" s="2"/>
      <c r="AA6362" s="3"/>
      <c r="AD6362" s="3"/>
      <c r="AG6362" s="3"/>
      <c r="AJ6362" s="3"/>
    </row>
    <row r="6363" spans="1:36" x14ac:dyDescent="0.25">
      <c r="A6363" s="1"/>
      <c r="B6363" s="2"/>
      <c r="AA6363" s="3"/>
      <c r="AD6363" s="3"/>
      <c r="AG6363" s="3"/>
      <c r="AJ6363" s="3"/>
    </row>
    <row r="6364" spans="1:36" x14ac:dyDescent="0.25">
      <c r="A6364" s="1"/>
      <c r="B6364" s="2"/>
      <c r="AA6364" s="3"/>
      <c r="AD6364" s="3"/>
      <c r="AG6364" s="3"/>
      <c r="AJ6364" s="3"/>
    </row>
    <row r="6365" spans="1:36" x14ac:dyDescent="0.25">
      <c r="A6365" s="1"/>
      <c r="B6365" s="2"/>
      <c r="AA6365" s="3"/>
      <c r="AD6365" s="3"/>
      <c r="AG6365" s="3"/>
      <c r="AJ6365" s="3"/>
    </row>
    <row r="6366" spans="1:36" x14ac:dyDescent="0.25">
      <c r="A6366" s="1"/>
      <c r="B6366" s="2"/>
      <c r="AA6366" s="3"/>
      <c r="AD6366" s="3"/>
      <c r="AG6366" s="3"/>
      <c r="AJ6366" s="3"/>
    </row>
    <row r="6367" spans="1:36" x14ac:dyDescent="0.25">
      <c r="A6367" s="1"/>
      <c r="B6367" s="2"/>
      <c r="AA6367" s="3"/>
      <c r="AD6367" s="3"/>
      <c r="AG6367" s="3"/>
      <c r="AJ6367" s="3"/>
    </row>
    <row r="6368" spans="1:36" x14ac:dyDescent="0.25">
      <c r="A6368" s="1"/>
      <c r="B6368" s="2"/>
      <c r="AA6368" s="3"/>
      <c r="AD6368" s="3"/>
      <c r="AG6368" s="3"/>
      <c r="AJ6368" s="3"/>
    </row>
    <row r="6369" spans="1:36" x14ac:dyDescent="0.25">
      <c r="A6369" s="1"/>
      <c r="B6369" s="2"/>
      <c r="AA6369" s="3"/>
      <c r="AD6369" s="3"/>
      <c r="AG6369" s="3"/>
      <c r="AJ6369" s="3"/>
    </row>
    <row r="6370" spans="1:36" x14ac:dyDescent="0.25">
      <c r="A6370" s="1"/>
      <c r="B6370" s="2"/>
      <c r="AA6370" s="3"/>
      <c r="AD6370" s="3"/>
      <c r="AG6370" s="3"/>
      <c r="AJ6370" s="3"/>
    </row>
    <row r="6371" spans="1:36" x14ac:dyDescent="0.25">
      <c r="A6371" s="1"/>
      <c r="B6371" s="2"/>
      <c r="AA6371" s="3"/>
      <c r="AD6371" s="3"/>
      <c r="AG6371" s="3"/>
      <c r="AJ6371" s="3"/>
    </row>
    <row r="6372" spans="1:36" x14ac:dyDescent="0.25">
      <c r="A6372" s="1"/>
      <c r="B6372" s="2"/>
      <c r="AA6372" s="3"/>
      <c r="AD6372" s="3"/>
      <c r="AG6372" s="3"/>
      <c r="AJ6372" s="3"/>
    </row>
    <row r="6373" spans="1:36" x14ac:dyDescent="0.25">
      <c r="A6373" s="1"/>
      <c r="B6373" s="2"/>
      <c r="AA6373" s="3"/>
      <c r="AD6373" s="3"/>
      <c r="AG6373" s="3"/>
      <c r="AJ6373" s="3"/>
    </row>
    <row r="6374" spans="1:36" x14ac:dyDescent="0.25">
      <c r="A6374" s="1"/>
      <c r="B6374" s="2"/>
      <c r="AA6374" s="3"/>
      <c r="AD6374" s="3"/>
      <c r="AG6374" s="3"/>
      <c r="AJ6374" s="3"/>
    </row>
    <row r="6375" spans="1:36" x14ac:dyDescent="0.25">
      <c r="A6375" s="1"/>
      <c r="B6375" s="2"/>
      <c r="AA6375" s="3"/>
      <c r="AD6375" s="3"/>
      <c r="AG6375" s="3"/>
      <c r="AJ6375" s="3"/>
    </row>
    <row r="6376" spans="1:36" x14ac:dyDescent="0.25">
      <c r="A6376" s="1"/>
      <c r="B6376" s="2"/>
      <c r="AA6376" s="3"/>
      <c r="AD6376" s="3"/>
      <c r="AG6376" s="3"/>
      <c r="AJ6376" s="3"/>
    </row>
    <row r="6377" spans="1:36" x14ac:dyDescent="0.25">
      <c r="A6377" s="1"/>
      <c r="B6377" s="2"/>
      <c r="AA6377" s="3"/>
      <c r="AD6377" s="3"/>
      <c r="AG6377" s="3"/>
      <c r="AJ6377" s="3"/>
    </row>
    <row r="6378" spans="1:36" x14ac:dyDescent="0.25">
      <c r="A6378" s="1"/>
      <c r="B6378" s="2"/>
      <c r="AA6378" s="3"/>
      <c r="AD6378" s="3"/>
      <c r="AG6378" s="3"/>
      <c r="AJ6378" s="3"/>
    </row>
    <row r="6379" spans="1:36" x14ac:dyDescent="0.25">
      <c r="A6379" s="1"/>
      <c r="B6379" s="2"/>
      <c r="AA6379" s="3"/>
      <c r="AD6379" s="3"/>
      <c r="AG6379" s="3"/>
      <c r="AJ6379" s="3"/>
    </row>
    <row r="6380" spans="1:36" x14ac:dyDescent="0.25">
      <c r="A6380" s="1"/>
      <c r="B6380" s="2"/>
      <c r="AA6380" s="3"/>
      <c r="AD6380" s="3"/>
      <c r="AG6380" s="3"/>
      <c r="AJ6380" s="3"/>
    </row>
    <row r="6381" spans="1:36" x14ac:dyDescent="0.25">
      <c r="A6381" s="1"/>
      <c r="B6381" s="2"/>
      <c r="AA6381" s="3"/>
      <c r="AD6381" s="3"/>
      <c r="AG6381" s="3"/>
      <c r="AJ6381" s="3"/>
    </row>
    <row r="6382" spans="1:36" x14ac:dyDescent="0.25">
      <c r="A6382" s="1"/>
      <c r="B6382" s="2"/>
      <c r="AA6382" s="3"/>
      <c r="AD6382" s="3"/>
      <c r="AG6382" s="3"/>
      <c r="AJ6382" s="3"/>
    </row>
    <row r="6383" spans="1:36" x14ac:dyDescent="0.25">
      <c r="A6383" s="1"/>
      <c r="B6383" s="2"/>
      <c r="AA6383" s="3"/>
      <c r="AD6383" s="3"/>
      <c r="AG6383" s="3"/>
      <c r="AJ6383" s="3"/>
    </row>
    <row r="6384" spans="1:36" x14ac:dyDescent="0.25">
      <c r="A6384" s="1"/>
      <c r="B6384" s="2"/>
      <c r="AA6384" s="3"/>
      <c r="AD6384" s="3"/>
      <c r="AG6384" s="3"/>
      <c r="AJ6384" s="3"/>
    </row>
    <row r="6385" spans="1:36" x14ac:dyDescent="0.25">
      <c r="A6385" s="1"/>
      <c r="B6385" s="2"/>
      <c r="AA6385" s="3"/>
      <c r="AD6385" s="3"/>
      <c r="AG6385" s="3"/>
      <c r="AJ6385" s="3"/>
    </row>
    <row r="6386" spans="1:36" x14ac:dyDescent="0.25">
      <c r="A6386" s="1"/>
      <c r="B6386" s="2"/>
      <c r="AA6386" s="3"/>
      <c r="AD6386" s="3"/>
      <c r="AG6386" s="3"/>
      <c r="AJ6386" s="3"/>
    </row>
    <row r="6387" spans="1:36" x14ac:dyDescent="0.25">
      <c r="A6387" s="1"/>
      <c r="B6387" s="2"/>
      <c r="AA6387" s="3"/>
      <c r="AD6387" s="3"/>
      <c r="AG6387" s="3"/>
      <c r="AJ6387" s="3"/>
    </row>
    <row r="6388" spans="1:36" x14ac:dyDescent="0.25">
      <c r="A6388" s="1"/>
      <c r="B6388" s="2"/>
      <c r="AA6388" s="3"/>
      <c r="AD6388" s="3"/>
      <c r="AG6388" s="3"/>
      <c r="AJ6388" s="3"/>
    </row>
    <row r="6389" spans="1:36" x14ac:dyDescent="0.25">
      <c r="A6389" s="1"/>
      <c r="B6389" s="2"/>
      <c r="AA6389" s="3"/>
      <c r="AD6389" s="3"/>
      <c r="AG6389" s="3"/>
      <c r="AJ6389" s="3"/>
    </row>
    <row r="6390" spans="1:36" x14ac:dyDescent="0.25">
      <c r="A6390" s="1"/>
      <c r="B6390" s="2"/>
      <c r="AA6390" s="3"/>
      <c r="AD6390" s="3"/>
      <c r="AG6390" s="3"/>
      <c r="AJ6390" s="3"/>
    </row>
    <row r="6391" spans="1:36" x14ac:dyDescent="0.25">
      <c r="A6391" s="1"/>
      <c r="B6391" s="2"/>
      <c r="AA6391" s="3"/>
      <c r="AD6391" s="3"/>
      <c r="AG6391" s="3"/>
      <c r="AJ6391" s="3"/>
    </row>
    <row r="6392" spans="1:36" x14ac:dyDescent="0.25">
      <c r="A6392" s="1"/>
      <c r="B6392" s="2"/>
      <c r="AA6392" s="3"/>
      <c r="AD6392" s="3"/>
      <c r="AG6392" s="3"/>
      <c r="AJ6392" s="3"/>
    </row>
    <row r="6393" spans="1:36" x14ac:dyDescent="0.25">
      <c r="A6393" s="1"/>
      <c r="B6393" s="2"/>
      <c r="AA6393" s="3"/>
      <c r="AD6393" s="3"/>
      <c r="AG6393" s="3"/>
      <c r="AJ6393" s="3"/>
    </row>
    <row r="6394" spans="1:36" x14ac:dyDescent="0.25">
      <c r="A6394" s="1"/>
      <c r="B6394" s="2"/>
      <c r="AA6394" s="3"/>
      <c r="AD6394" s="3"/>
      <c r="AG6394" s="3"/>
      <c r="AJ6394" s="3"/>
    </row>
    <row r="6395" spans="1:36" x14ac:dyDescent="0.25">
      <c r="A6395" s="1"/>
      <c r="B6395" s="2"/>
      <c r="AA6395" s="3"/>
      <c r="AD6395" s="3"/>
      <c r="AG6395" s="3"/>
      <c r="AJ6395" s="3"/>
    </row>
    <row r="6396" spans="1:36" x14ac:dyDescent="0.25">
      <c r="A6396" s="1"/>
      <c r="B6396" s="2"/>
      <c r="AA6396" s="3"/>
      <c r="AD6396" s="3"/>
      <c r="AG6396" s="3"/>
      <c r="AJ6396" s="3"/>
    </row>
    <row r="6397" spans="1:36" x14ac:dyDescent="0.25">
      <c r="A6397" s="1"/>
      <c r="B6397" s="2"/>
      <c r="AA6397" s="3"/>
      <c r="AD6397" s="3"/>
      <c r="AG6397" s="3"/>
      <c r="AJ6397" s="3"/>
    </row>
    <row r="6398" spans="1:36" x14ac:dyDescent="0.25">
      <c r="A6398" s="1"/>
      <c r="B6398" s="2"/>
      <c r="AA6398" s="3"/>
      <c r="AD6398" s="3"/>
      <c r="AG6398" s="3"/>
      <c r="AJ6398" s="3"/>
    </row>
    <row r="6399" spans="1:36" x14ac:dyDescent="0.25">
      <c r="A6399" s="1"/>
      <c r="B6399" s="2"/>
      <c r="AA6399" s="3"/>
      <c r="AD6399" s="3"/>
      <c r="AG6399" s="3"/>
      <c r="AJ6399" s="3"/>
    </row>
    <row r="6400" spans="1:36" x14ac:dyDescent="0.25">
      <c r="A6400" s="1"/>
      <c r="B6400" s="2"/>
      <c r="AA6400" s="3"/>
      <c r="AD6400" s="3"/>
      <c r="AG6400" s="3"/>
      <c r="AJ6400" s="3"/>
    </row>
    <row r="6401" spans="1:36" x14ac:dyDescent="0.25">
      <c r="A6401" s="1"/>
      <c r="B6401" s="2"/>
      <c r="AA6401" s="3"/>
      <c r="AD6401" s="3"/>
      <c r="AG6401" s="3"/>
      <c r="AJ6401" s="3"/>
    </row>
    <row r="6402" spans="1:36" x14ac:dyDescent="0.25">
      <c r="A6402" s="1"/>
      <c r="B6402" s="2"/>
      <c r="AA6402" s="3"/>
      <c r="AD6402" s="3"/>
      <c r="AG6402" s="3"/>
      <c r="AJ6402" s="3"/>
    </row>
    <row r="6403" spans="1:36" x14ac:dyDescent="0.25">
      <c r="A6403" s="1"/>
      <c r="B6403" s="2"/>
      <c r="AA6403" s="3"/>
      <c r="AD6403" s="3"/>
      <c r="AG6403" s="3"/>
      <c r="AJ6403" s="3"/>
    </row>
    <row r="6404" spans="1:36" x14ac:dyDescent="0.25">
      <c r="A6404" s="1"/>
      <c r="B6404" s="2"/>
      <c r="AA6404" s="3"/>
      <c r="AD6404" s="3"/>
      <c r="AG6404" s="3"/>
      <c r="AJ6404" s="3"/>
    </row>
    <row r="6405" spans="1:36" x14ac:dyDescent="0.25">
      <c r="A6405" s="1"/>
      <c r="B6405" s="2"/>
      <c r="AA6405" s="3"/>
      <c r="AD6405" s="3"/>
      <c r="AG6405" s="3"/>
      <c r="AJ6405" s="3"/>
    </row>
    <row r="6406" spans="1:36" x14ac:dyDescent="0.25">
      <c r="A6406" s="1"/>
      <c r="B6406" s="2"/>
      <c r="AA6406" s="3"/>
      <c r="AD6406" s="3"/>
      <c r="AG6406" s="3"/>
      <c r="AJ6406" s="3"/>
    </row>
    <row r="6407" spans="1:36" x14ac:dyDescent="0.25">
      <c r="A6407" s="1"/>
      <c r="B6407" s="2"/>
      <c r="AA6407" s="3"/>
      <c r="AD6407" s="3"/>
      <c r="AG6407" s="3"/>
      <c r="AJ6407" s="3"/>
    </row>
    <row r="6408" spans="1:36" x14ac:dyDescent="0.25">
      <c r="A6408" s="1"/>
      <c r="B6408" s="2"/>
      <c r="AA6408" s="3"/>
      <c r="AD6408" s="3"/>
      <c r="AG6408" s="3"/>
      <c r="AJ6408" s="3"/>
    </row>
    <row r="6409" spans="1:36" x14ac:dyDescent="0.25">
      <c r="A6409" s="1"/>
      <c r="B6409" s="2"/>
      <c r="AA6409" s="3"/>
      <c r="AD6409" s="3"/>
      <c r="AG6409" s="3"/>
      <c r="AJ6409" s="3"/>
    </row>
    <row r="6410" spans="1:36" x14ac:dyDescent="0.25">
      <c r="A6410" s="1"/>
      <c r="B6410" s="2"/>
      <c r="AA6410" s="3"/>
      <c r="AD6410" s="3"/>
      <c r="AG6410" s="3"/>
      <c r="AJ6410" s="3"/>
    </row>
    <row r="6411" spans="1:36" x14ac:dyDescent="0.25">
      <c r="A6411" s="1"/>
      <c r="B6411" s="2"/>
      <c r="AA6411" s="3"/>
      <c r="AD6411" s="3"/>
      <c r="AG6411" s="3"/>
      <c r="AJ6411" s="3"/>
    </row>
    <row r="6412" spans="1:36" x14ac:dyDescent="0.25">
      <c r="A6412" s="1"/>
      <c r="B6412" s="2"/>
      <c r="AA6412" s="3"/>
      <c r="AD6412" s="3"/>
      <c r="AG6412" s="3"/>
      <c r="AJ6412" s="3"/>
    </row>
    <row r="6413" spans="1:36" x14ac:dyDescent="0.25">
      <c r="A6413" s="1"/>
      <c r="B6413" s="2"/>
      <c r="AA6413" s="3"/>
      <c r="AD6413" s="3"/>
      <c r="AG6413" s="3"/>
      <c r="AJ6413" s="3"/>
    </row>
    <row r="6414" spans="1:36" x14ac:dyDescent="0.25">
      <c r="A6414" s="1"/>
      <c r="B6414" s="2"/>
      <c r="AA6414" s="3"/>
      <c r="AD6414" s="3"/>
      <c r="AG6414" s="3"/>
      <c r="AJ6414" s="3"/>
    </row>
    <row r="6415" spans="1:36" x14ac:dyDescent="0.25">
      <c r="A6415" s="1"/>
      <c r="B6415" s="2"/>
      <c r="AA6415" s="3"/>
      <c r="AD6415" s="3"/>
      <c r="AG6415" s="3"/>
      <c r="AJ6415" s="3"/>
    </row>
    <row r="6416" spans="1:36" x14ac:dyDescent="0.25">
      <c r="A6416" s="1"/>
      <c r="B6416" s="2"/>
      <c r="AA6416" s="3"/>
      <c r="AD6416" s="3"/>
      <c r="AG6416" s="3"/>
      <c r="AJ6416" s="3"/>
    </row>
    <row r="6417" spans="1:36" x14ac:dyDescent="0.25">
      <c r="A6417" s="1"/>
      <c r="B6417" s="2"/>
      <c r="AA6417" s="3"/>
      <c r="AD6417" s="3"/>
      <c r="AG6417" s="3"/>
      <c r="AJ6417" s="3"/>
    </row>
    <row r="6418" spans="1:36" x14ac:dyDescent="0.25">
      <c r="A6418" s="1"/>
      <c r="B6418" s="2"/>
      <c r="AA6418" s="3"/>
      <c r="AD6418" s="3"/>
      <c r="AG6418" s="3"/>
      <c r="AJ6418" s="3"/>
    </row>
    <row r="6419" spans="1:36" x14ac:dyDescent="0.25">
      <c r="A6419" s="1"/>
      <c r="B6419" s="2"/>
      <c r="AA6419" s="3"/>
      <c r="AD6419" s="3"/>
      <c r="AG6419" s="3"/>
      <c r="AJ6419" s="3"/>
    </row>
    <row r="6420" spans="1:36" x14ac:dyDescent="0.25">
      <c r="A6420" s="1"/>
      <c r="B6420" s="2"/>
      <c r="AA6420" s="3"/>
      <c r="AD6420" s="3"/>
      <c r="AG6420" s="3"/>
      <c r="AJ6420" s="3"/>
    </row>
    <row r="6421" spans="1:36" x14ac:dyDescent="0.25">
      <c r="A6421" s="1"/>
      <c r="B6421" s="2"/>
      <c r="AA6421" s="3"/>
      <c r="AD6421" s="3"/>
      <c r="AG6421" s="3"/>
      <c r="AJ6421" s="3"/>
    </row>
    <row r="6422" spans="1:36" x14ac:dyDescent="0.25">
      <c r="A6422" s="1"/>
      <c r="B6422" s="2"/>
      <c r="AA6422" s="3"/>
      <c r="AD6422" s="3"/>
      <c r="AG6422" s="3"/>
      <c r="AJ6422" s="3"/>
    </row>
    <row r="6423" spans="1:36" x14ac:dyDescent="0.25">
      <c r="A6423" s="1"/>
      <c r="B6423" s="2"/>
      <c r="AA6423" s="3"/>
      <c r="AD6423" s="3"/>
      <c r="AG6423" s="3"/>
      <c r="AJ6423" s="3"/>
    </row>
    <row r="6424" spans="1:36" x14ac:dyDescent="0.25">
      <c r="A6424" s="1"/>
      <c r="B6424" s="2"/>
      <c r="AA6424" s="3"/>
      <c r="AD6424" s="3"/>
      <c r="AG6424" s="3"/>
      <c r="AJ6424" s="3"/>
    </row>
    <row r="6425" spans="1:36" x14ac:dyDescent="0.25">
      <c r="A6425" s="1"/>
      <c r="B6425" s="2"/>
      <c r="AA6425" s="3"/>
      <c r="AD6425" s="3"/>
      <c r="AG6425" s="3"/>
      <c r="AJ6425" s="3"/>
    </row>
    <row r="6426" spans="1:36" x14ac:dyDescent="0.25">
      <c r="A6426" s="1"/>
      <c r="B6426" s="2"/>
      <c r="AA6426" s="3"/>
      <c r="AD6426" s="3"/>
      <c r="AG6426" s="3"/>
      <c r="AJ6426" s="3"/>
    </row>
    <row r="6427" spans="1:36" x14ac:dyDescent="0.25">
      <c r="A6427" s="1"/>
      <c r="B6427" s="2"/>
      <c r="AA6427" s="3"/>
      <c r="AD6427" s="3"/>
      <c r="AG6427" s="3"/>
      <c r="AJ6427" s="3"/>
    </row>
    <row r="6428" spans="1:36" x14ac:dyDescent="0.25">
      <c r="A6428" s="1"/>
      <c r="B6428" s="2"/>
      <c r="AA6428" s="3"/>
      <c r="AD6428" s="3"/>
      <c r="AG6428" s="3"/>
      <c r="AJ6428" s="3"/>
    </row>
    <row r="6429" spans="1:36" x14ac:dyDescent="0.25">
      <c r="A6429" s="1"/>
      <c r="B6429" s="2"/>
      <c r="AA6429" s="3"/>
      <c r="AD6429" s="3"/>
      <c r="AG6429" s="3"/>
      <c r="AJ6429" s="3"/>
    </row>
    <row r="6430" spans="1:36" x14ac:dyDescent="0.25">
      <c r="A6430" s="1"/>
      <c r="B6430" s="2"/>
      <c r="AA6430" s="3"/>
      <c r="AD6430" s="3"/>
      <c r="AG6430" s="3"/>
      <c r="AJ6430" s="3"/>
    </row>
    <row r="6431" spans="1:36" x14ac:dyDescent="0.25">
      <c r="A6431" s="1"/>
      <c r="B6431" s="2"/>
      <c r="AA6431" s="3"/>
      <c r="AD6431" s="3"/>
      <c r="AG6431" s="3"/>
      <c r="AJ6431" s="3"/>
    </row>
    <row r="6432" spans="1:36" x14ac:dyDescent="0.25">
      <c r="A6432" s="1"/>
      <c r="B6432" s="2"/>
      <c r="AA6432" s="3"/>
      <c r="AD6432" s="3"/>
      <c r="AG6432" s="3"/>
      <c r="AJ6432" s="3"/>
    </row>
    <row r="6433" spans="1:36" x14ac:dyDescent="0.25">
      <c r="A6433" s="1"/>
      <c r="B6433" s="2"/>
      <c r="AA6433" s="3"/>
      <c r="AD6433" s="3"/>
      <c r="AG6433" s="3"/>
      <c r="AJ6433" s="3"/>
    </row>
    <row r="6434" spans="1:36" x14ac:dyDescent="0.25">
      <c r="A6434" s="1"/>
      <c r="B6434" s="2"/>
      <c r="AA6434" s="3"/>
      <c r="AD6434" s="3"/>
      <c r="AG6434" s="3"/>
      <c r="AJ6434" s="3"/>
    </row>
    <row r="6435" spans="1:36" x14ac:dyDescent="0.25">
      <c r="A6435" s="1"/>
      <c r="B6435" s="2"/>
      <c r="AA6435" s="3"/>
      <c r="AD6435" s="3"/>
      <c r="AG6435" s="3"/>
      <c r="AJ6435" s="3"/>
    </row>
    <row r="6436" spans="1:36" x14ac:dyDescent="0.25">
      <c r="A6436" s="1"/>
      <c r="B6436" s="2"/>
      <c r="AA6436" s="3"/>
      <c r="AD6436" s="3"/>
      <c r="AG6436" s="3"/>
      <c r="AJ6436" s="3"/>
    </row>
    <row r="6437" spans="1:36" x14ac:dyDescent="0.25">
      <c r="A6437" s="1"/>
      <c r="B6437" s="2"/>
      <c r="AA6437" s="3"/>
      <c r="AD6437" s="3"/>
      <c r="AG6437" s="3"/>
      <c r="AJ6437" s="3"/>
    </row>
    <row r="6438" spans="1:36" x14ac:dyDescent="0.25">
      <c r="A6438" s="1"/>
      <c r="B6438" s="2"/>
      <c r="AA6438" s="3"/>
      <c r="AD6438" s="3"/>
      <c r="AG6438" s="3"/>
      <c r="AJ6438" s="3"/>
    </row>
    <row r="6439" spans="1:36" x14ac:dyDescent="0.25">
      <c r="A6439" s="1"/>
      <c r="B6439" s="2"/>
      <c r="AA6439" s="3"/>
      <c r="AD6439" s="3"/>
      <c r="AG6439" s="3"/>
      <c r="AJ6439" s="3"/>
    </row>
    <row r="6440" spans="1:36" x14ac:dyDescent="0.25">
      <c r="A6440" s="1"/>
      <c r="B6440" s="2"/>
      <c r="AA6440" s="3"/>
      <c r="AD6440" s="3"/>
      <c r="AG6440" s="3"/>
      <c r="AJ6440" s="3"/>
    </row>
    <row r="6441" spans="1:36" x14ac:dyDescent="0.25">
      <c r="A6441" s="1"/>
      <c r="B6441" s="2"/>
      <c r="AA6441" s="3"/>
      <c r="AD6441" s="3"/>
      <c r="AG6441" s="3"/>
      <c r="AJ6441" s="3"/>
    </row>
    <row r="6442" spans="1:36" x14ac:dyDescent="0.25">
      <c r="A6442" s="1"/>
      <c r="B6442" s="2"/>
      <c r="AA6442" s="3"/>
      <c r="AD6442" s="3"/>
      <c r="AG6442" s="3"/>
      <c r="AJ6442" s="3"/>
    </row>
    <row r="6443" spans="1:36" x14ac:dyDescent="0.25">
      <c r="A6443" s="1"/>
      <c r="B6443" s="2"/>
      <c r="AA6443" s="3"/>
      <c r="AD6443" s="3"/>
      <c r="AG6443" s="3"/>
      <c r="AJ6443" s="3"/>
    </row>
    <row r="6444" spans="1:36" x14ac:dyDescent="0.25">
      <c r="A6444" s="1"/>
      <c r="B6444" s="2"/>
      <c r="AA6444" s="3"/>
      <c r="AD6444" s="3"/>
      <c r="AG6444" s="3"/>
      <c r="AJ6444" s="3"/>
    </row>
    <row r="6445" spans="1:36" x14ac:dyDescent="0.25">
      <c r="A6445" s="1"/>
      <c r="B6445" s="2"/>
      <c r="AA6445" s="3"/>
      <c r="AD6445" s="3"/>
      <c r="AG6445" s="3"/>
      <c r="AJ6445" s="3"/>
    </row>
    <row r="6446" spans="1:36" x14ac:dyDescent="0.25">
      <c r="A6446" s="1"/>
      <c r="B6446" s="2"/>
      <c r="AA6446" s="3"/>
      <c r="AD6446" s="3"/>
      <c r="AG6446" s="3"/>
      <c r="AJ6446" s="3"/>
    </row>
    <row r="6447" spans="1:36" x14ac:dyDescent="0.25">
      <c r="A6447" s="1"/>
      <c r="B6447" s="2"/>
      <c r="AA6447" s="3"/>
      <c r="AD6447" s="3"/>
      <c r="AG6447" s="3"/>
      <c r="AJ6447" s="3"/>
    </row>
    <row r="6448" spans="1:36" x14ac:dyDescent="0.25">
      <c r="A6448" s="1"/>
      <c r="B6448" s="2"/>
      <c r="AA6448" s="3"/>
      <c r="AD6448" s="3"/>
      <c r="AG6448" s="3"/>
      <c r="AJ6448" s="3"/>
    </row>
    <row r="6449" spans="1:36" x14ac:dyDescent="0.25">
      <c r="A6449" s="1"/>
      <c r="B6449" s="2"/>
      <c r="AA6449" s="3"/>
      <c r="AD6449" s="3"/>
      <c r="AG6449" s="3"/>
      <c r="AJ6449" s="3"/>
    </row>
    <row r="6450" spans="1:36" x14ac:dyDescent="0.25">
      <c r="A6450" s="1"/>
      <c r="B6450" s="2"/>
      <c r="AA6450" s="3"/>
      <c r="AD6450" s="3"/>
      <c r="AG6450" s="3"/>
      <c r="AJ6450" s="3"/>
    </row>
    <row r="6451" spans="1:36" x14ac:dyDescent="0.25">
      <c r="A6451" s="1"/>
      <c r="B6451" s="2"/>
      <c r="AA6451" s="3"/>
      <c r="AD6451" s="3"/>
      <c r="AG6451" s="3"/>
      <c r="AJ6451" s="3"/>
    </row>
    <row r="6452" spans="1:36" x14ac:dyDescent="0.25">
      <c r="A6452" s="1"/>
      <c r="B6452" s="2"/>
      <c r="AA6452" s="3"/>
      <c r="AD6452" s="3"/>
      <c r="AG6452" s="3"/>
      <c r="AJ6452" s="3"/>
    </row>
    <row r="6453" spans="1:36" x14ac:dyDescent="0.25">
      <c r="A6453" s="1"/>
      <c r="B6453" s="2"/>
      <c r="AA6453" s="3"/>
      <c r="AD6453" s="3"/>
      <c r="AG6453" s="3"/>
      <c r="AJ6453" s="3"/>
    </row>
    <row r="6454" spans="1:36" x14ac:dyDescent="0.25">
      <c r="A6454" s="1"/>
      <c r="B6454" s="2"/>
      <c r="AA6454" s="3"/>
      <c r="AD6454" s="3"/>
      <c r="AG6454" s="3"/>
      <c r="AJ6454" s="3"/>
    </row>
    <row r="6455" spans="1:36" x14ac:dyDescent="0.25">
      <c r="A6455" s="1"/>
      <c r="B6455" s="2"/>
      <c r="AA6455" s="3"/>
      <c r="AD6455" s="3"/>
      <c r="AG6455" s="3"/>
      <c r="AJ6455" s="3"/>
    </row>
    <row r="6456" spans="1:36" x14ac:dyDescent="0.25">
      <c r="A6456" s="1"/>
      <c r="B6456" s="2"/>
      <c r="AA6456" s="3"/>
      <c r="AD6456" s="3"/>
      <c r="AG6456" s="3"/>
      <c r="AJ6456" s="3"/>
    </row>
    <row r="6457" spans="1:36" x14ac:dyDescent="0.25">
      <c r="A6457" s="1"/>
      <c r="B6457" s="2"/>
      <c r="AA6457" s="3"/>
      <c r="AD6457" s="3"/>
      <c r="AG6457" s="3"/>
      <c r="AJ6457" s="3"/>
    </row>
    <row r="6458" spans="1:36" x14ac:dyDescent="0.25">
      <c r="A6458" s="1"/>
      <c r="B6458" s="2"/>
      <c r="AA6458" s="3"/>
      <c r="AD6458" s="3"/>
      <c r="AG6458" s="3"/>
      <c r="AJ6458" s="3"/>
    </row>
    <row r="6459" spans="1:36" x14ac:dyDescent="0.25">
      <c r="A6459" s="1"/>
      <c r="B6459" s="2"/>
      <c r="AA6459" s="3"/>
      <c r="AD6459" s="3"/>
      <c r="AG6459" s="3"/>
      <c r="AJ6459" s="3"/>
    </row>
    <row r="6460" spans="1:36" x14ac:dyDescent="0.25">
      <c r="A6460" s="1"/>
      <c r="B6460" s="2"/>
      <c r="AA6460" s="3"/>
      <c r="AD6460" s="3"/>
      <c r="AG6460" s="3"/>
      <c r="AJ6460" s="3"/>
    </row>
    <row r="6461" spans="1:36" x14ac:dyDescent="0.25">
      <c r="A6461" s="1"/>
      <c r="B6461" s="2"/>
      <c r="AA6461" s="3"/>
      <c r="AD6461" s="3"/>
      <c r="AG6461" s="3"/>
      <c r="AJ6461" s="3"/>
    </row>
    <row r="6462" spans="1:36" x14ac:dyDescent="0.25">
      <c r="A6462" s="1"/>
      <c r="B6462" s="2"/>
      <c r="AA6462" s="3"/>
      <c r="AD6462" s="3"/>
      <c r="AG6462" s="3"/>
      <c r="AJ6462" s="3"/>
    </row>
    <row r="6463" spans="1:36" x14ac:dyDescent="0.25">
      <c r="A6463" s="1"/>
      <c r="B6463" s="2"/>
      <c r="AA6463" s="3"/>
      <c r="AD6463" s="3"/>
      <c r="AG6463" s="3"/>
      <c r="AJ6463" s="3"/>
    </row>
    <row r="6464" spans="1:36" x14ac:dyDescent="0.25">
      <c r="A6464" s="1"/>
      <c r="B6464" s="2"/>
      <c r="AA6464" s="3"/>
      <c r="AD6464" s="3"/>
      <c r="AG6464" s="3"/>
      <c r="AJ6464" s="3"/>
    </row>
    <row r="6465" spans="1:36" x14ac:dyDescent="0.25">
      <c r="A6465" s="1"/>
      <c r="B6465" s="2"/>
      <c r="AA6465" s="3"/>
      <c r="AD6465" s="3"/>
      <c r="AG6465" s="3"/>
      <c r="AJ6465" s="3"/>
    </row>
    <row r="6466" spans="1:36" x14ac:dyDescent="0.25">
      <c r="A6466" s="1"/>
      <c r="B6466" s="2"/>
      <c r="AA6466" s="3"/>
      <c r="AD6466" s="3"/>
      <c r="AG6466" s="3"/>
      <c r="AJ6466" s="3"/>
    </row>
    <row r="6467" spans="1:36" x14ac:dyDescent="0.25">
      <c r="A6467" s="1"/>
      <c r="B6467" s="2"/>
      <c r="AA6467" s="3"/>
      <c r="AD6467" s="3"/>
      <c r="AG6467" s="3"/>
      <c r="AJ6467" s="3"/>
    </row>
    <row r="6468" spans="1:36" x14ac:dyDescent="0.25">
      <c r="A6468" s="1"/>
      <c r="B6468" s="2"/>
      <c r="AA6468" s="3"/>
      <c r="AD6468" s="3"/>
      <c r="AG6468" s="3"/>
      <c r="AJ6468" s="3"/>
    </row>
    <row r="6469" spans="1:36" x14ac:dyDescent="0.25">
      <c r="A6469" s="1"/>
      <c r="B6469" s="2"/>
      <c r="AA6469" s="3"/>
      <c r="AD6469" s="3"/>
      <c r="AG6469" s="3"/>
      <c r="AJ6469" s="3"/>
    </row>
    <row r="6470" spans="1:36" x14ac:dyDescent="0.25">
      <c r="A6470" s="1"/>
      <c r="B6470" s="2"/>
      <c r="AA6470" s="3"/>
      <c r="AD6470" s="3"/>
      <c r="AG6470" s="3"/>
      <c r="AJ6470" s="3"/>
    </row>
    <row r="6471" spans="1:36" x14ac:dyDescent="0.25">
      <c r="A6471" s="1"/>
      <c r="B6471" s="2"/>
      <c r="AA6471" s="3"/>
      <c r="AD6471" s="3"/>
      <c r="AG6471" s="3"/>
      <c r="AJ6471" s="3"/>
    </row>
    <row r="6472" spans="1:36" x14ac:dyDescent="0.25">
      <c r="A6472" s="1"/>
      <c r="B6472" s="2"/>
      <c r="AA6472" s="3"/>
      <c r="AD6472" s="3"/>
      <c r="AG6472" s="3"/>
      <c r="AJ6472" s="3"/>
    </row>
    <row r="6473" spans="1:36" x14ac:dyDescent="0.25">
      <c r="A6473" s="1"/>
      <c r="B6473" s="2"/>
      <c r="AA6473" s="3"/>
      <c r="AD6473" s="3"/>
      <c r="AG6473" s="3"/>
      <c r="AJ6473" s="3"/>
    </row>
    <row r="6474" spans="1:36" x14ac:dyDescent="0.25">
      <c r="A6474" s="1"/>
      <c r="B6474" s="2"/>
      <c r="AA6474" s="3"/>
      <c r="AD6474" s="3"/>
      <c r="AG6474" s="3"/>
      <c r="AJ6474" s="3"/>
    </row>
    <row r="6475" spans="1:36" x14ac:dyDescent="0.25">
      <c r="A6475" s="1"/>
      <c r="B6475" s="2"/>
      <c r="AA6475" s="3"/>
      <c r="AD6475" s="3"/>
      <c r="AG6475" s="3"/>
      <c r="AJ6475" s="3"/>
    </row>
    <row r="6476" spans="1:36" x14ac:dyDescent="0.25">
      <c r="A6476" s="1"/>
      <c r="B6476" s="2"/>
      <c r="AA6476" s="3"/>
      <c r="AD6476" s="3"/>
      <c r="AG6476" s="3"/>
      <c r="AJ6476" s="3"/>
    </row>
    <row r="6477" spans="1:36" x14ac:dyDescent="0.25">
      <c r="A6477" s="1"/>
      <c r="B6477" s="2"/>
      <c r="AA6477" s="3"/>
      <c r="AD6477" s="3"/>
      <c r="AG6477" s="3"/>
      <c r="AJ6477" s="3"/>
    </row>
    <row r="6478" spans="1:36" x14ac:dyDescent="0.25">
      <c r="A6478" s="1"/>
      <c r="B6478" s="2"/>
      <c r="AA6478" s="3"/>
      <c r="AD6478" s="3"/>
      <c r="AG6478" s="3"/>
      <c r="AJ6478" s="3"/>
    </row>
    <row r="6479" spans="1:36" x14ac:dyDescent="0.25">
      <c r="A6479" s="1"/>
      <c r="B6479" s="2"/>
      <c r="AA6479" s="3"/>
      <c r="AD6479" s="3"/>
      <c r="AG6479" s="3"/>
      <c r="AJ6479" s="3"/>
    </row>
    <row r="6480" spans="1:36" x14ac:dyDescent="0.25">
      <c r="A6480" s="1"/>
      <c r="B6480" s="2"/>
      <c r="AA6480" s="3"/>
      <c r="AD6480" s="3"/>
      <c r="AG6480" s="3"/>
      <c r="AJ6480" s="3"/>
    </row>
    <row r="6481" spans="1:36" x14ac:dyDescent="0.25">
      <c r="A6481" s="1"/>
      <c r="B6481" s="2"/>
      <c r="AA6481" s="3"/>
      <c r="AD6481" s="3"/>
      <c r="AG6481" s="3"/>
      <c r="AJ6481" s="3"/>
    </row>
    <row r="6482" spans="1:36" x14ac:dyDescent="0.25">
      <c r="A6482" s="1"/>
      <c r="B6482" s="2"/>
      <c r="AA6482" s="3"/>
      <c r="AD6482" s="3"/>
      <c r="AG6482" s="3"/>
      <c r="AJ6482" s="3"/>
    </row>
    <row r="6483" spans="1:36" x14ac:dyDescent="0.25">
      <c r="A6483" s="1"/>
      <c r="B6483" s="2"/>
      <c r="AA6483" s="3"/>
      <c r="AD6483" s="3"/>
      <c r="AG6483" s="3"/>
      <c r="AJ6483" s="3"/>
    </row>
    <row r="6484" spans="1:36" x14ac:dyDescent="0.25">
      <c r="A6484" s="1"/>
      <c r="B6484" s="2"/>
      <c r="AA6484" s="3"/>
      <c r="AD6484" s="3"/>
      <c r="AG6484" s="3"/>
      <c r="AJ6484" s="3"/>
    </row>
    <row r="6485" spans="1:36" x14ac:dyDescent="0.25">
      <c r="A6485" s="1"/>
      <c r="B6485" s="2"/>
      <c r="AA6485" s="3"/>
      <c r="AD6485" s="3"/>
      <c r="AG6485" s="3"/>
      <c r="AJ6485" s="3"/>
    </row>
    <row r="6486" spans="1:36" x14ac:dyDescent="0.25">
      <c r="A6486" s="1"/>
      <c r="B6486" s="2"/>
      <c r="AA6486" s="3"/>
      <c r="AD6486" s="3"/>
      <c r="AG6486" s="3"/>
      <c r="AJ6486" s="3"/>
    </row>
    <row r="6487" spans="1:36" x14ac:dyDescent="0.25">
      <c r="A6487" s="1"/>
      <c r="B6487" s="2"/>
      <c r="AA6487" s="3"/>
      <c r="AD6487" s="3"/>
      <c r="AG6487" s="3"/>
      <c r="AJ6487" s="3"/>
    </row>
    <row r="6488" spans="1:36" x14ac:dyDescent="0.25">
      <c r="A6488" s="1"/>
      <c r="B6488" s="2"/>
      <c r="AA6488" s="3"/>
      <c r="AD6488" s="3"/>
      <c r="AG6488" s="3"/>
      <c r="AJ6488" s="3"/>
    </row>
    <row r="6489" spans="1:36" x14ac:dyDescent="0.25">
      <c r="A6489" s="1"/>
      <c r="B6489" s="2"/>
      <c r="AA6489" s="3"/>
      <c r="AD6489" s="3"/>
      <c r="AG6489" s="3"/>
      <c r="AJ6489" s="3"/>
    </row>
    <row r="6490" spans="1:36" x14ac:dyDescent="0.25">
      <c r="A6490" s="1"/>
      <c r="B6490" s="2"/>
      <c r="AA6490" s="3"/>
      <c r="AD6490" s="3"/>
      <c r="AG6490" s="3"/>
      <c r="AJ6490" s="3"/>
    </row>
    <row r="6491" spans="1:36" x14ac:dyDescent="0.25">
      <c r="A6491" s="1"/>
      <c r="B6491" s="2"/>
      <c r="AA6491" s="3"/>
      <c r="AD6491" s="3"/>
      <c r="AG6491" s="3"/>
      <c r="AJ6491" s="3"/>
    </row>
    <row r="6492" spans="1:36" x14ac:dyDescent="0.25">
      <c r="A6492" s="1"/>
      <c r="B6492" s="2"/>
      <c r="AA6492" s="3"/>
      <c r="AD6492" s="3"/>
      <c r="AG6492" s="3"/>
      <c r="AJ6492" s="3"/>
    </row>
    <row r="6493" spans="1:36" x14ac:dyDescent="0.25">
      <c r="A6493" s="1"/>
      <c r="B6493" s="2"/>
      <c r="AA6493" s="3"/>
      <c r="AD6493" s="3"/>
      <c r="AG6493" s="3"/>
      <c r="AJ6493" s="3"/>
    </row>
    <row r="6494" spans="1:36" x14ac:dyDescent="0.25">
      <c r="A6494" s="1"/>
      <c r="B6494" s="2"/>
      <c r="AA6494" s="3"/>
      <c r="AD6494" s="3"/>
      <c r="AG6494" s="3"/>
      <c r="AJ6494" s="3"/>
    </row>
    <row r="6495" spans="1:36" x14ac:dyDescent="0.25">
      <c r="A6495" s="1"/>
      <c r="B6495" s="2"/>
      <c r="AA6495" s="3"/>
      <c r="AD6495" s="3"/>
      <c r="AG6495" s="3"/>
      <c r="AJ6495" s="3"/>
    </row>
    <row r="6496" spans="1:36" x14ac:dyDescent="0.25">
      <c r="A6496" s="1"/>
      <c r="B6496" s="2"/>
      <c r="AA6496" s="3"/>
      <c r="AD6496" s="3"/>
      <c r="AG6496" s="3"/>
      <c r="AJ6496" s="3"/>
    </row>
    <row r="6497" spans="1:36" x14ac:dyDescent="0.25">
      <c r="A6497" s="1"/>
      <c r="B6497" s="2"/>
      <c r="AA6497" s="3"/>
      <c r="AD6497" s="3"/>
      <c r="AG6497" s="3"/>
      <c r="AJ6497" s="3"/>
    </row>
    <row r="6498" spans="1:36" x14ac:dyDescent="0.25">
      <c r="A6498" s="1"/>
      <c r="B6498" s="2"/>
      <c r="AA6498" s="3"/>
      <c r="AD6498" s="3"/>
      <c r="AG6498" s="3"/>
      <c r="AJ6498" s="3"/>
    </row>
    <row r="6499" spans="1:36" x14ac:dyDescent="0.25">
      <c r="A6499" s="1"/>
      <c r="B6499" s="2"/>
      <c r="AA6499" s="3"/>
      <c r="AD6499" s="3"/>
      <c r="AG6499" s="3"/>
      <c r="AJ6499" s="3"/>
    </row>
    <row r="6500" spans="1:36" x14ac:dyDescent="0.25">
      <c r="A6500" s="1"/>
      <c r="B6500" s="2"/>
      <c r="AA6500" s="3"/>
      <c r="AD6500" s="3"/>
      <c r="AG6500" s="3"/>
      <c r="AJ6500" s="3"/>
    </row>
    <row r="6501" spans="1:36" x14ac:dyDescent="0.25">
      <c r="A6501" s="1"/>
      <c r="B6501" s="2"/>
      <c r="AA6501" s="3"/>
      <c r="AD6501" s="3"/>
      <c r="AG6501" s="3"/>
      <c r="AJ6501" s="3"/>
    </row>
    <row r="6502" spans="1:36" x14ac:dyDescent="0.25">
      <c r="A6502" s="1"/>
      <c r="B6502" s="2"/>
      <c r="AA6502" s="3"/>
      <c r="AD6502" s="3"/>
      <c r="AG6502" s="3"/>
      <c r="AJ6502" s="3"/>
    </row>
    <row r="6503" spans="1:36" x14ac:dyDescent="0.25">
      <c r="A6503" s="1"/>
      <c r="B6503" s="2"/>
      <c r="AA6503" s="3"/>
      <c r="AD6503" s="3"/>
      <c r="AG6503" s="3"/>
      <c r="AJ6503" s="3"/>
    </row>
    <row r="6504" spans="1:36" x14ac:dyDescent="0.25">
      <c r="A6504" s="1"/>
      <c r="B6504" s="2"/>
      <c r="AA6504" s="3"/>
      <c r="AD6504" s="3"/>
      <c r="AG6504" s="3"/>
      <c r="AJ6504" s="3"/>
    </row>
    <row r="6505" spans="1:36" x14ac:dyDescent="0.25">
      <c r="A6505" s="1"/>
      <c r="B6505" s="2"/>
      <c r="AA6505" s="3"/>
      <c r="AD6505" s="3"/>
      <c r="AG6505" s="3"/>
      <c r="AJ6505" s="3"/>
    </row>
    <row r="6506" spans="1:36" x14ac:dyDescent="0.25">
      <c r="A6506" s="1"/>
      <c r="B6506" s="2"/>
      <c r="AA6506" s="3"/>
      <c r="AD6506" s="3"/>
      <c r="AG6506" s="3"/>
      <c r="AJ6506" s="3"/>
    </row>
    <row r="6507" spans="1:36" x14ac:dyDescent="0.25">
      <c r="A6507" s="1"/>
      <c r="B6507" s="2"/>
      <c r="AA6507" s="3"/>
      <c r="AD6507" s="3"/>
      <c r="AG6507" s="3"/>
      <c r="AJ6507" s="3"/>
    </row>
    <row r="6508" spans="1:36" x14ac:dyDescent="0.25">
      <c r="A6508" s="1"/>
      <c r="B6508" s="2"/>
      <c r="AA6508" s="3"/>
      <c r="AD6508" s="3"/>
      <c r="AG6508" s="3"/>
      <c r="AJ6508" s="3"/>
    </row>
    <row r="6509" spans="1:36" x14ac:dyDescent="0.25">
      <c r="A6509" s="1"/>
      <c r="B6509" s="2"/>
      <c r="AA6509" s="3"/>
      <c r="AD6509" s="3"/>
      <c r="AG6509" s="3"/>
      <c r="AJ6509" s="3"/>
    </row>
    <row r="6510" spans="1:36" x14ac:dyDescent="0.25">
      <c r="A6510" s="1"/>
      <c r="B6510" s="2"/>
      <c r="AA6510" s="3"/>
      <c r="AD6510" s="3"/>
      <c r="AG6510" s="3"/>
      <c r="AJ6510" s="3"/>
    </row>
    <row r="6511" spans="1:36" x14ac:dyDescent="0.25">
      <c r="A6511" s="1"/>
      <c r="B6511" s="2"/>
      <c r="AA6511" s="3"/>
      <c r="AD6511" s="3"/>
      <c r="AG6511" s="3"/>
      <c r="AJ6511" s="3"/>
    </row>
    <row r="6512" spans="1:36" x14ac:dyDescent="0.25">
      <c r="A6512" s="1"/>
      <c r="B6512" s="2"/>
      <c r="AA6512" s="3"/>
      <c r="AD6512" s="3"/>
      <c r="AG6512" s="3"/>
      <c r="AJ6512" s="3"/>
    </row>
    <row r="6513" spans="1:36" x14ac:dyDescent="0.25">
      <c r="A6513" s="1"/>
      <c r="B6513" s="2"/>
      <c r="AA6513" s="3"/>
      <c r="AD6513" s="3"/>
      <c r="AG6513" s="3"/>
      <c r="AJ6513" s="3"/>
    </row>
    <row r="6514" spans="1:36" x14ac:dyDescent="0.25">
      <c r="A6514" s="1"/>
      <c r="B6514" s="2"/>
      <c r="AA6514" s="3"/>
      <c r="AD6514" s="3"/>
      <c r="AG6514" s="3"/>
      <c r="AJ6514" s="3"/>
    </row>
    <row r="6515" spans="1:36" x14ac:dyDescent="0.25">
      <c r="A6515" s="1"/>
      <c r="B6515" s="2"/>
      <c r="AA6515" s="3"/>
      <c r="AD6515" s="3"/>
      <c r="AG6515" s="3"/>
      <c r="AJ6515" s="3"/>
    </row>
    <row r="6516" spans="1:36" x14ac:dyDescent="0.25">
      <c r="A6516" s="1"/>
      <c r="B6516" s="2"/>
      <c r="AA6516" s="3"/>
      <c r="AD6516" s="3"/>
      <c r="AG6516" s="3"/>
      <c r="AJ6516" s="3"/>
    </row>
    <row r="6517" spans="1:36" x14ac:dyDescent="0.25">
      <c r="A6517" s="1"/>
      <c r="B6517" s="2"/>
      <c r="AA6517" s="3"/>
      <c r="AD6517" s="3"/>
      <c r="AG6517" s="3"/>
      <c r="AJ6517" s="3"/>
    </row>
    <row r="6518" spans="1:36" x14ac:dyDescent="0.25">
      <c r="A6518" s="1"/>
      <c r="B6518" s="2"/>
      <c r="AA6518" s="3"/>
      <c r="AD6518" s="3"/>
      <c r="AG6518" s="3"/>
      <c r="AJ6518" s="3"/>
    </row>
    <row r="6519" spans="1:36" x14ac:dyDescent="0.25">
      <c r="A6519" s="1"/>
      <c r="B6519" s="2"/>
      <c r="AA6519" s="3"/>
      <c r="AD6519" s="3"/>
      <c r="AG6519" s="3"/>
      <c r="AJ6519" s="3"/>
    </row>
    <row r="6520" spans="1:36" x14ac:dyDescent="0.25">
      <c r="A6520" s="1"/>
      <c r="B6520" s="2"/>
      <c r="AA6520" s="3"/>
      <c r="AD6520" s="3"/>
      <c r="AG6520" s="3"/>
      <c r="AJ6520" s="3"/>
    </row>
    <row r="6521" spans="1:36" x14ac:dyDescent="0.25">
      <c r="A6521" s="1"/>
      <c r="B6521" s="2"/>
      <c r="AA6521" s="3"/>
      <c r="AD6521" s="3"/>
      <c r="AG6521" s="3"/>
      <c r="AJ6521" s="3"/>
    </row>
    <row r="6522" spans="1:36" x14ac:dyDescent="0.25">
      <c r="A6522" s="1"/>
      <c r="B6522" s="2"/>
      <c r="AA6522" s="3"/>
      <c r="AD6522" s="3"/>
      <c r="AG6522" s="3"/>
      <c r="AJ6522" s="3"/>
    </row>
    <row r="6523" spans="1:36" x14ac:dyDescent="0.25">
      <c r="A6523" s="1"/>
      <c r="B6523" s="2"/>
      <c r="AA6523" s="3"/>
      <c r="AD6523" s="3"/>
      <c r="AG6523" s="3"/>
      <c r="AJ6523" s="3"/>
    </row>
    <row r="6524" spans="1:36" x14ac:dyDescent="0.25">
      <c r="A6524" s="1"/>
      <c r="B6524" s="2"/>
      <c r="AA6524" s="3"/>
      <c r="AD6524" s="3"/>
      <c r="AG6524" s="3"/>
      <c r="AJ6524" s="3"/>
    </row>
    <row r="6525" spans="1:36" x14ac:dyDescent="0.25">
      <c r="A6525" s="1"/>
      <c r="B6525" s="2"/>
      <c r="AA6525" s="3"/>
      <c r="AD6525" s="3"/>
      <c r="AG6525" s="3"/>
      <c r="AJ6525" s="3"/>
    </row>
    <row r="6526" spans="1:36" x14ac:dyDescent="0.25">
      <c r="A6526" s="1"/>
      <c r="B6526" s="2"/>
      <c r="AA6526" s="3"/>
      <c r="AD6526" s="3"/>
      <c r="AG6526" s="3"/>
      <c r="AJ6526" s="3"/>
    </row>
    <row r="6527" spans="1:36" x14ac:dyDescent="0.25">
      <c r="A6527" s="1"/>
      <c r="B6527" s="2"/>
      <c r="AA6527" s="3"/>
      <c r="AD6527" s="3"/>
      <c r="AG6527" s="3"/>
      <c r="AJ6527" s="3"/>
    </row>
    <row r="6528" spans="1:36" x14ac:dyDescent="0.25">
      <c r="A6528" s="1"/>
      <c r="B6528" s="2"/>
      <c r="AA6528" s="3"/>
      <c r="AD6528" s="3"/>
      <c r="AG6528" s="3"/>
      <c r="AJ6528" s="3"/>
    </row>
    <row r="6529" spans="1:36" x14ac:dyDescent="0.25">
      <c r="A6529" s="1"/>
      <c r="B6529" s="2"/>
      <c r="AA6529" s="3"/>
      <c r="AD6529" s="3"/>
      <c r="AG6529" s="3"/>
      <c r="AJ6529" s="3"/>
    </row>
    <row r="6530" spans="1:36" x14ac:dyDescent="0.25">
      <c r="A6530" s="1"/>
      <c r="B6530" s="2"/>
      <c r="AA6530" s="3"/>
      <c r="AD6530" s="3"/>
      <c r="AG6530" s="3"/>
      <c r="AJ6530" s="3"/>
    </row>
    <row r="6531" spans="1:36" x14ac:dyDescent="0.25">
      <c r="A6531" s="1"/>
      <c r="B6531" s="2"/>
      <c r="AA6531" s="3"/>
      <c r="AD6531" s="3"/>
      <c r="AG6531" s="3"/>
      <c r="AJ6531" s="3"/>
    </row>
    <row r="6532" spans="1:36" x14ac:dyDescent="0.25">
      <c r="A6532" s="1"/>
      <c r="B6532" s="2"/>
      <c r="AA6532" s="3"/>
      <c r="AD6532" s="3"/>
      <c r="AG6532" s="3"/>
      <c r="AJ6532" s="3"/>
    </row>
    <row r="6533" spans="1:36" x14ac:dyDescent="0.25">
      <c r="A6533" s="1"/>
      <c r="B6533" s="2"/>
      <c r="AA6533" s="3"/>
      <c r="AD6533" s="3"/>
      <c r="AG6533" s="3"/>
      <c r="AJ6533" s="3"/>
    </row>
    <row r="6534" spans="1:36" x14ac:dyDescent="0.25">
      <c r="A6534" s="1"/>
      <c r="B6534" s="2"/>
      <c r="AA6534" s="3"/>
      <c r="AD6534" s="3"/>
      <c r="AG6534" s="3"/>
      <c r="AJ6534" s="3"/>
    </row>
    <row r="6535" spans="1:36" x14ac:dyDescent="0.25">
      <c r="A6535" s="1"/>
      <c r="B6535" s="2"/>
      <c r="AA6535" s="3"/>
      <c r="AD6535" s="3"/>
      <c r="AG6535" s="3"/>
      <c r="AJ6535" s="3"/>
    </row>
    <row r="6536" spans="1:36" x14ac:dyDescent="0.25">
      <c r="A6536" s="1"/>
      <c r="B6536" s="2"/>
      <c r="AA6536" s="3"/>
      <c r="AD6536" s="3"/>
      <c r="AG6536" s="3"/>
      <c r="AJ6536" s="3"/>
    </row>
    <row r="6537" spans="1:36" x14ac:dyDescent="0.25">
      <c r="A6537" s="1"/>
      <c r="B6537" s="2"/>
      <c r="AA6537" s="3"/>
      <c r="AD6537" s="3"/>
      <c r="AG6537" s="3"/>
      <c r="AJ6537" s="3"/>
    </row>
    <row r="6538" spans="1:36" x14ac:dyDescent="0.25">
      <c r="A6538" s="1"/>
      <c r="B6538" s="2"/>
      <c r="AA6538" s="3"/>
      <c r="AD6538" s="3"/>
      <c r="AG6538" s="3"/>
      <c r="AJ6538" s="3"/>
    </row>
    <row r="6539" spans="1:36" x14ac:dyDescent="0.25">
      <c r="A6539" s="1"/>
      <c r="B6539" s="2"/>
      <c r="AA6539" s="3"/>
      <c r="AD6539" s="3"/>
      <c r="AG6539" s="3"/>
      <c r="AJ6539" s="3"/>
    </row>
    <row r="6540" spans="1:36" x14ac:dyDescent="0.25">
      <c r="A6540" s="1"/>
      <c r="B6540" s="2"/>
      <c r="AA6540" s="3"/>
      <c r="AD6540" s="3"/>
      <c r="AG6540" s="3"/>
      <c r="AJ6540" s="3"/>
    </row>
    <row r="6541" spans="1:36" x14ac:dyDescent="0.25">
      <c r="A6541" s="1"/>
      <c r="B6541" s="2"/>
      <c r="AA6541" s="3"/>
      <c r="AD6541" s="3"/>
      <c r="AG6541" s="3"/>
      <c r="AJ6541" s="3"/>
    </row>
    <row r="6542" spans="1:36" x14ac:dyDescent="0.25">
      <c r="A6542" s="1"/>
      <c r="B6542" s="2"/>
      <c r="AA6542" s="3"/>
      <c r="AD6542" s="3"/>
      <c r="AG6542" s="3"/>
      <c r="AJ6542" s="3"/>
    </row>
    <row r="6543" spans="1:36" x14ac:dyDescent="0.25">
      <c r="A6543" s="1"/>
      <c r="B6543" s="2"/>
      <c r="AA6543" s="3"/>
      <c r="AD6543" s="3"/>
      <c r="AG6543" s="3"/>
      <c r="AJ6543" s="3"/>
    </row>
    <row r="6544" spans="1:36" x14ac:dyDescent="0.25">
      <c r="A6544" s="1"/>
      <c r="B6544" s="2"/>
      <c r="AA6544" s="3"/>
      <c r="AD6544" s="3"/>
      <c r="AG6544" s="3"/>
      <c r="AJ6544" s="3"/>
    </row>
    <row r="6545" spans="1:36" x14ac:dyDescent="0.25">
      <c r="A6545" s="1"/>
      <c r="B6545" s="2"/>
      <c r="AA6545" s="3"/>
      <c r="AD6545" s="3"/>
      <c r="AG6545" s="3"/>
      <c r="AJ6545" s="3"/>
    </row>
    <row r="6546" spans="1:36" x14ac:dyDescent="0.25">
      <c r="A6546" s="1"/>
      <c r="B6546" s="2"/>
      <c r="AA6546" s="3"/>
      <c r="AD6546" s="3"/>
      <c r="AG6546" s="3"/>
      <c r="AJ6546" s="3"/>
    </row>
    <row r="6547" spans="1:36" x14ac:dyDescent="0.25">
      <c r="A6547" s="1"/>
      <c r="B6547" s="2"/>
      <c r="AA6547" s="3"/>
      <c r="AD6547" s="3"/>
      <c r="AG6547" s="3"/>
      <c r="AJ6547" s="3"/>
    </row>
    <row r="6548" spans="1:36" x14ac:dyDescent="0.25">
      <c r="A6548" s="1"/>
      <c r="B6548" s="2"/>
      <c r="AA6548" s="3"/>
      <c r="AD6548" s="3"/>
      <c r="AG6548" s="3"/>
      <c r="AJ6548" s="3"/>
    </row>
    <row r="6549" spans="1:36" x14ac:dyDescent="0.25">
      <c r="A6549" s="1"/>
      <c r="B6549" s="2"/>
      <c r="AA6549" s="3"/>
      <c r="AD6549" s="3"/>
      <c r="AG6549" s="3"/>
      <c r="AJ6549" s="3"/>
    </row>
    <row r="6550" spans="1:36" x14ac:dyDescent="0.25">
      <c r="A6550" s="1"/>
      <c r="B6550" s="2"/>
      <c r="AA6550" s="3"/>
      <c r="AD6550" s="3"/>
      <c r="AG6550" s="3"/>
      <c r="AJ6550" s="3"/>
    </row>
    <row r="6551" spans="1:36" x14ac:dyDescent="0.25">
      <c r="A6551" s="1"/>
      <c r="B6551" s="2"/>
      <c r="AA6551" s="3"/>
      <c r="AD6551" s="3"/>
      <c r="AG6551" s="3"/>
      <c r="AJ6551" s="3"/>
    </row>
    <row r="6552" spans="1:36" x14ac:dyDescent="0.25">
      <c r="A6552" s="1"/>
      <c r="B6552" s="2"/>
      <c r="AA6552" s="3"/>
      <c r="AD6552" s="3"/>
      <c r="AG6552" s="3"/>
      <c r="AJ6552" s="3"/>
    </row>
    <row r="6553" spans="1:36" x14ac:dyDescent="0.25">
      <c r="A6553" s="1"/>
      <c r="B6553" s="2"/>
      <c r="AA6553" s="3"/>
      <c r="AD6553" s="3"/>
      <c r="AG6553" s="3"/>
      <c r="AJ6553" s="3"/>
    </row>
    <row r="6554" spans="1:36" x14ac:dyDescent="0.25">
      <c r="A6554" s="1"/>
      <c r="B6554" s="2"/>
      <c r="AA6554" s="3"/>
      <c r="AD6554" s="3"/>
      <c r="AG6554" s="3"/>
      <c r="AJ6554" s="3"/>
    </row>
    <row r="6555" spans="1:36" x14ac:dyDescent="0.25">
      <c r="A6555" s="1"/>
      <c r="B6555" s="2"/>
      <c r="AA6555" s="3"/>
      <c r="AD6555" s="3"/>
      <c r="AG6555" s="3"/>
      <c r="AJ6555" s="3"/>
    </row>
    <row r="6556" spans="1:36" x14ac:dyDescent="0.25">
      <c r="A6556" s="1"/>
      <c r="B6556" s="2"/>
      <c r="AA6556" s="3"/>
      <c r="AD6556" s="3"/>
      <c r="AG6556" s="3"/>
      <c r="AJ6556" s="3"/>
    </row>
    <row r="6557" spans="1:36" x14ac:dyDescent="0.25">
      <c r="A6557" s="1"/>
      <c r="B6557" s="2"/>
      <c r="AA6557" s="3"/>
      <c r="AD6557" s="3"/>
      <c r="AG6557" s="3"/>
      <c r="AJ6557" s="3"/>
    </row>
    <row r="6558" spans="1:36" x14ac:dyDescent="0.25">
      <c r="A6558" s="1"/>
      <c r="B6558" s="2"/>
      <c r="AA6558" s="3"/>
      <c r="AD6558" s="3"/>
      <c r="AG6558" s="3"/>
      <c r="AJ6558" s="3"/>
    </row>
    <row r="6559" spans="1:36" x14ac:dyDescent="0.25">
      <c r="A6559" s="1"/>
      <c r="B6559" s="2"/>
      <c r="AA6559" s="3"/>
      <c r="AD6559" s="3"/>
      <c r="AG6559" s="3"/>
      <c r="AJ6559" s="3"/>
    </row>
    <row r="6560" spans="1:36" x14ac:dyDescent="0.25">
      <c r="A6560" s="1"/>
      <c r="B6560" s="2"/>
      <c r="AA6560" s="3"/>
      <c r="AD6560" s="3"/>
      <c r="AG6560" s="3"/>
      <c r="AJ6560" s="3"/>
    </row>
    <row r="6561" spans="1:36" x14ac:dyDescent="0.25">
      <c r="A6561" s="1"/>
      <c r="B6561" s="2"/>
      <c r="AA6561" s="3"/>
      <c r="AD6561" s="3"/>
      <c r="AG6561" s="3"/>
      <c r="AJ6561" s="3"/>
    </row>
    <row r="6562" spans="1:36" x14ac:dyDescent="0.25">
      <c r="A6562" s="1"/>
      <c r="B6562" s="2"/>
      <c r="AA6562" s="3"/>
      <c r="AD6562" s="3"/>
      <c r="AG6562" s="3"/>
      <c r="AJ6562" s="3"/>
    </row>
    <row r="6563" spans="1:36" x14ac:dyDescent="0.25">
      <c r="A6563" s="1"/>
      <c r="B6563" s="2"/>
      <c r="AA6563" s="3"/>
      <c r="AD6563" s="3"/>
      <c r="AG6563" s="3"/>
      <c r="AJ6563" s="3"/>
    </row>
    <row r="6564" spans="1:36" x14ac:dyDescent="0.25">
      <c r="A6564" s="1"/>
      <c r="B6564" s="2"/>
      <c r="AA6564" s="3"/>
      <c r="AD6564" s="3"/>
      <c r="AG6564" s="3"/>
      <c r="AJ6564" s="3"/>
    </row>
    <row r="6565" spans="1:36" x14ac:dyDescent="0.25">
      <c r="A6565" s="1"/>
      <c r="B6565" s="2"/>
      <c r="AA6565" s="3"/>
      <c r="AD6565" s="3"/>
      <c r="AG6565" s="3"/>
      <c r="AJ6565" s="3"/>
    </row>
    <row r="6566" spans="1:36" x14ac:dyDescent="0.25">
      <c r="A6566" s="1"/>
      <c r="B6566" s="2"/>
      <c r="AA6566" s="3"/>
      <c r="AD6566" s="3"/>
      <c r="AG6566" s="3"/>
      <c r="AJ6566" s="3"/>
    </row>
    <row r="6567" spans="1:36" x14ac:dyDescent="0.25">
      <c r="A6567" s="1"/>
      <c r="B6567" s="2"/>
      <c r="AA6567" s="3"/>
      <c r="AD6567" s="3"/>
      <c r="AG6567" s="3"/>
      <c r="AJ6567" s="3"/>
    </row>
    <row r="6568" spans="1:36" x14ac:dyDescent="0.25">
      <c r="A6568" s="1"/>
      <c r="B6568" s="2"/>
      <c r="AA6568" s="3"/>
      <c r="AD6568" s="3"/>
      <c r="AG6568" s="3"/>
      <c r="AJ6568" s="3"/>
    </row>
    <row r="6569" spans="1:36" x14ac:dyDescent="0.25">
      <c r="A6569" s="1"/>
      <c r="B6569" s="2"/>
      <c r="AA6569" s="3"/>
      <c r="AD6569" s="3"/>
      <c r="AG6569" s="3"/>
      <c r="AJ6569" s="3"/>
    </row>
    <row r="6570" spans="1:36" x14ac:dyDescent="0.25">
      <c r="A6570" s="1"/>
      <c r="B6570" s="2"/>
      <c r="AA6570" s="3"/>
      <c r="AD6570" s="3"/>
      <c r="AG6570" s="3"/>
      <c r="AJ6570" s="3"/>
    </row>
    <row r="6571" spans="1:36" x14ac:dyDescent="0.25">
      <c r="A6571" s="1"/>
      <c r="B6571" s="2"/>
      <c r="AA6571" s="3"/>
      <c r="AD6571" s="3"/>
      <c r="AG6571" s="3"/>
      <c r="AJ6571" s="3"/>
    </row>
    <row r="6572" spans="1:36" x14ac:dyDescent="0.25">
      <c r="A6572" s="1"/>
      <c r="B6572" s="2"/>
      <c r="AA6572" s="3"/>
      <c r="AD6572" s="3"/>
      <c r="AG6572" s="3"/>
      <c r="AJ6572" s="3"/>
    </row>
    <row r="6573" spans="1:36" x14ac:dyDescent="0.25">
      <c r="A6573" s="1"/>
      <c r="B6573" s="2"/>
      <c r="AA6573" s="3"/>
      <c r="AD6573" s="3"/>
      <c r="AG6573" s="3"/>
      <c r="AJ6573" s="3"/>
    </row>
    <row r="6574" spans="1:36" x14ac:dyDescent="0.25">
      <c r="A6574" s="1"/>
      <c r="B6574" s="2"/>
      <c r="AA6574" s="3"/>
      <c r="AD6574" s="3"/>
      <c r="AG6574" s="3"/>
      <c r="AJ6574" s="3"/>
    </row>
    <row r="6575" spans="1:36" x14ac:dyDescent="0.25">
      <c r="A6575" s="1"/>
      <c r="B6575" s="2"/>
      <c r="AA6575" s="3"/>
      <c r="AD6575" s="3"/>
      <c r="AG6575" s="3"/>
      <c r="AJ6575" s="3"/>
    </row>
    <row r="6576" spans="1:36" x14ac:dyDescent="0.25">
      <c r="A6576" s="1"/>
      <c r="B6576" s="2"/>
      <c r="AA6576" s="3"/>
      <c r="AD6576" s="3"/>
      <c r="AG6576" s="3"/>
      <c r="AJ6576" s="3"/>
    </row>
    <row r="6577" spans="1:36" x14ac:dyDescent="0.25">
      <c r="A6577" s="1"/>
      <c r="B6577" s="2"/>
      <c r="AA6577" s="3"/>
      <c r="AD6577" s="3"/>
      <c r="AG6577" s="3"/>
      <c r="AJ6577" s="3"/>
    </row>
    <row r="6578" spans="1:36" x14ac:dyDescent="0.25">
      <c r="A6578" s="1"/>
      <c r="B6578" s="2"/>
      <c r="AA6578" s="3"/>
      <c r="AD6578" s="3"/>
      <c r="AG6578" s="3"/>
      <c r="AJ6578" s="3"/>
    </row>
    <row r="6579" spans="1:36" x14ac:dyDescent="0.25">
      <c r="A6579" s="1"/>
      <c r="B6579" s="2"/>
      <c r="AA6579" s="3"/>
      <c r="AD6579" s="3"/>
      <c r="AG6579" s="3"/>
      <c r="AJ6579" s="3"/>
    </row>
    <row r="6580" spans="1:36" x14ac:dyDescent="0.25">
      <c r="A6580" s="1"/>
      <c r="B6580" s="2"/>
      <c r="AA6580" s="3"/>
      <c r="AD6580" s="3"/>
      <c r="AG6580" s="3"/>
      <c r="AJ6580" s="3"/>
    </row>
    <row r="6581" spans="1:36" x14ac:dyDescent="0.25">
      <c r="A6581" s="1"/>
      <c r="B6581" s="2"/>
      <c r="AA6581" s="3"/>
      <c r="AD6581" s="3"/>
      <c r="AG6581" s="3"/>
      <c r="AJ6581" s="3"/>
    </row>
    <row r="6582" spans="1:36" x14ac:dyDescent="0.25">
      <c r="A6582" s="1"/>
      <c r="B6582" s="2"/>
      <c r="AA6582" s="3"/>
      <c r="AD6582" s="3"/>
      <c r="AG6582" s="3"/>
      <c r="AJ6582" s="3"/>
    </row>
    <row r="6583" spans="1:36" x14ac:dyDescent="0.25">
      <c r="A6583" s="1"/>
      <c r="B6583" s="2"/>
      <c r="AA6583" s="3"/>
      <c r="AD6583" s="3"/>
      <c r="AG6583" s="3"/>
      <c r="AJ6583" s="3"/>
    </row>
    <row r="6584" spans="1:36" x14ac:dyDescent="0.25">
      <c r="A6584" s="1"/>
      <c r="B6584" s="2"/>
      <c r="AA6584" s="3"/>
      <c r="AD6584" s="3"/>
      <c r="AG6584" s="3"/>
      <c r="AJ6584" s="3"/>
    </row>
    <row r="6585" spans="1:36" x14ac:dyDescent="0.25">
      <c r="A6585" s="1"/>
      <c r="B6585" s="2"/>
      <c r="AA6585" s="3"/>
      <c r="AD6585" s="3"/>
      <c r="AG6585" s="3"/>
      <c r="AJ6585" s="3"/>
    </row>
    <row r="6586" spans="1:36" x14ac:dyDescent="0.25">
      <c r="A6586" s="1"/>
      <c r="B6586" s="2"/>
      <c r="AA6586" s="3"/>
      <c r="AD6586" s="3"/>
      <c r="AG6586" s="3"/>
      <c r="AJ6586" s="3"/>
    </row>
    <row r="6587" spans="1:36" x14ac:dyDescent="0.25">
      <c r="A6587" s="1"/>
      <c r="B6587" s="2"/>
      <c r="AA6587" s="3"/>
      <c r="AD6587" s="3"/>
      <c r="AG6587" s="3"/>
      <c r="AJ6587" s="3"/>
    </row>
    <row r="6588" spans="1:36" x14ac:dyDescent="0.25">
      <c r="A6588" s="1"/>
      <c r="B6588" s="2"/>
      <c r="AA6588" s="3"/>
      <c r="AD6588" s="3"/>
      <c r="AG6588" s="3"/>
      <c r="AJ6588" s="3"/>
    </row>
    <row r="6589" spans="1:36" x14ac:dyDescent="0.25">
      <c r="A6589" s="1"/>
      <c r="B6589" s="2"/>
      <c r="AA6589" s="3"/>
      <c r="AD6589" s="3"/>
      <c r="AG6589" s="3"/>
      <c r="AJ6589" s="3"/>
    </row>
    <row r="6590" spans="1:36" x14ac:dyDescent="0.25">
      <c r="A6590" s="1"/>
      <c r="B6590" s="2"/>
      <c r="AA6590" s="3"/>
      <c r="AD6590" s="3"/>
      <c r="AG6590" s="3"/>
      <c r="AJ6590" s="3"/>
    </row>
    <row r="6591" spans="1:36" x14ac:dyDescent="0.25">
      <c r="A6591" s="1"/>
      <c r="B6591" s="2"/>
      <c r="AA6591" s="3"/>
      <c r="AD6591" s="3"/>
      <c r="AG6591" s="3"/>
      <c r="AJ6591" s="3"/>
    </row>
    <row r="6592" spans="1:36" x14ac:dyDescent="0.25">
      <c r="A6592" s="1"/>
      <c r="B6592" s="2"/>
      <c r="AA6592" s="3"/>
      <c r="AD6592" s="3"/>
      <c r="AG6592" s="3"/>
      <c r="AJ6592" s="3"/>
    </row>
    <row r="6593" spans="1:36" x14ac:dyDescent="0.25">
      <c r="A6593" s="1"/>
      <c r="B6593" s="2"/>
      <c r="AA6593" s="3"/>
      <c r="AD6593" s="3"/>
      <c r="AG6593" s="3"/>
      <c r="AJ6593" s="3"/>
    </row>
    <row r="6594" spans="1:36" x14ac:dyDescent="0.25">
      <c r="A6594" s="1"/>
      <c r="B6594" s="2"/>
      <c r="AA6594" s="3"/>
      <c r="AD6594" s="3"/>
      <c r="AG6594" s="3"/>
      <c r="AJ6594" s="3"/>
    </row>
    <row r="6595" spans="1:36" x14ac:dyDescent="0.25">
      <c r="A6595" s="1"/>
      <c r="B6595" s="2"/>
      <c r="AA6595" s="3"/>
      <c r="AD6595" s="3"/>
      <c r="AG6595" s="3"/>
      <c r="AJ6595" s="3"/>
    </row>
    <row r="6596" spans="1:36" x14ac:dyDescent="0.25">
      <c r="A6596" s="1"/>
      <c r="B6596" s="2"/>
      <c r="AA6596" s="3"/>
      <c r="AD6596" s="3"/>
      <c r="AG6596" s="3"/>
      <c r="AJ6596" s="3"/>
    </row>
    <row r="6597" spans="1:36" x14ac:dyDescent="0.25">
      <c r="A6597" s="1"/>
      <c r="B6597" s="2"/>
      <c r="AA6597" s="3"/>
      <c r="AD6597" s="3"/>
      <c r="AG6597" s="3"/>
      <c r="AJ6597" s="3"/>
    </row>
    <row r="6598" spans="1:36" x14ac:dyDescent="0.25">
      <c r="A6598" s="1"/>
      <c r="B6598" s="2"/>
      <c r="AA6598" s="3"/>
      <c r="AD6598" s="3"/>
      <c r="AG6598" s="3"/>
      <c r="AJ6598" s="3"/>
    </row>
    <row r="6599" spans="1:36" x14ac:dyDescent="0.25">
      <c r="A6599" s="1"/>
      <c r="B6599" s="2"/>
      <c r="AA6599" s="3"/>
      <c r="AD6599" s="3"/>
      <c r="AG6599" s="3"/>
      <c r="AJ6599" s="3"/>
    </row>
    <row r="6600" spans="1:36" x14ac:dyDescent="0.25">
      <c r="A6600" s="1"/>
      <c r="B6600" s="2"/>
      <c r="AA6600" s="3"/>
      <c r="AD6600" s="3"/>
      <c r="AG6600" s="3"/>
      <c r="AJ6600" s="3"/>
    </row>
    <row r="6601" spans="1:36" x14ac:dyDescent="0.25">
      <c r="A6601" s="1"/>
      <c r="B6601" s="2"/>
      <c r="AA6601" s="3"/>
      <c r="AD6601" s="3"/>
      <c r="AG6601" s="3"/>
      <c r="AJ6601" s="3"/>
    </row>
    <row r="6602" spans="1:36" x14ac:dyDescent="0.25">
      <c r="A6602" s="1"/>
      <c r="B6602" s="2"/>
      <c r="AA6602" s="3"/>
      <c r="AD6602" s="3"/>
      <c r="AG6602" s="3"/>
      <c r="AJ6602" s="3"/>
    </row>
    <row r="6603" spans="1:36" x14ac:dyDescent="0.25">
      <c r="A6603" s="1"/>
      <c r="B6603" s="2"/>
      <c r="AA6603" s="3"/>
      <c r="AD6603" s="3"/>
      <c r="AG6603" s="3"/>
      <c r="AJ6603" s="3"/>
    </row>
    <row r="6604" spans="1:36" x14ac:dyDescent="0.25">
      <c r="A6604" s="1"/>
      <c r="B6604" s="2"/>
      <c r="AA6604" s="3"/>
      <c r="AD6604" s="3"/>
      <c r="AG6604" s="3"/>
      <c r="AJ6604" s="3"/>
    </row>
    <row r="6605" spans="1:36" x14ac:dyDescent="0.25">
      <c r="A6605" s="1"/>
      <c r="B6605" s="2"/>
      <c r="AA6605" s="3"/>
      <c r="AD6605" s="3"/>
      <c r="AG6605" s="3"/>
      <c r="AJ6605" s="3"/>
    </row>
    <row r="6606" spans="1:36" x14ac:dyDescent="0.25">
      <c r="A6606" s="1"/>
      <c r="B6606" s="2"/>
      <c r="AA6606" s="3"/>
      <c r="AD6606" s="3"/>
      <c r="AG6606" s="3"/>
      <c r="AJ6606" s="3"/>
    </row>
    <row r="6607" spans="1:36" x14ac:dyDescent="0.25">
      <c r="A6607" s="1"/>
      <c r="B6607" s="2"/>
      <c r="AA6607" s="3"/>
      <c r="AD6607" s="3"/>
      <c r="AG6607" s="3"/>
      <c r="AJ6607" s="3"/>
    </row>
    <row r="6608" spans="1:36" x14ac:dyDescent="0.25">
      <c r="A6608" s="1"/>
      <c r="B6608" s="2"/>
      <c r="AA6608" s="3"/>
      <c r="AD6608" s="3"/>
      <c r="AG6608" s="3"/>
      <c r="AJ6608" s="3"/>
    </row>
    <row r="6609" spans="1:36" x14ac:dyDescent="0.25">
      <c r="A6609" s="1"/>
      <c r="B6609" s="2"/>
      <c r="AA6609" s="3"/>
      <c r="AD6609" s="3"/>
      <c r="AG6609" s="3"/>
      <c r="AJ6609" s="3"/>
    </row>
    <row r="6610" spans="1:36" x14ac:dyDescent="0.25">
      <c r="A6610" s="1"/>
      <c r="B6610" s="2"/>
      <c r="AA6610" s="3"/>
      <c r="AD6610" s="3"/>
      <c r="AG6610" s="3"/>
      <c r="AJ6610" s="3"/>
    </row>
    <row r="6611" spans="1:36" x14ac:dyDescent="0.25">
      <c r="A6611" s="1"/>
      <c r="B6611" s="2"/>
      <c r="AA6611" s="3"/>
      <c r="AD6611" s="3"/>
      <c r="AG6611" s="3"/>
      <c r="AJ6611" s="3"/>
    </row>
    <row r="6612" spans="1:36" x14ac:dyDescent="0.25">
      <c r="A6612" s="1"/>
      <c r="B6612" s="2"/>
      <c r="AA6612" s="3"/>
      <c r="AD6612" s="3"/>
      <c r="AG6612" s="3"/>
      <c r="AJ6612" s="3"/>
    </row>
    <row r="6613" spans="1:36" x14ac:dyDescent="0.25">
      <c r="A6613" s="1"/>
      <c r="B6613" s="2"/>
      <c r="AA6613" s="3"/>
      <c r="AD6613" s="3"/>
      <c r="AG6613" s="3"/>
      <c r="AJ6613" s="3"/>
    </row>
    <row r="6614" spans="1:36" x14ac:dyDescent="0.25">
      <c r="A6614" s="1"/>
      <c r="B6614" s="2"/>
      <c r="AA6614" s="3"/>
      <c r="AD6614" s="3"/>
      <c r="AG6614" s="3"/>
      <c r="AJ6614" s="3"/>
    </row>
    <row r="6615" spans="1:36" x14ac:dyDescent="0.25">
      <c r="A6615" s="1"/>
      <c r="B6615" s="2"/>
      <c r="AA6615" s="3"/>
      <c r="AD6615" s="3"/>
      <c r="AG6615" s="3"/>
      <c r="AJ6615" s="3"/>
    </row>
    <row r="6616" spans="1:36" x14ac:dyDescent="0.25">
      <c r="A6616" s="1"/>
      <c r="B6616" s="2"/>
      <c r="AA6616" s="3"/>
      <c r="AD6616" s="3"/>
      <c r="AG6616" s="3"/>
      <c r="AJ6616" s="3"/>
    </row>
    <row r="6617" spans="1:36" x14ac:dyDescent="0.25">
      <c r="A6617" s="1"/>
      <c r="B6617" s="2"/>
      <c r="AA6617" s="3"/>
      <c r="AD6617" s="3"/>
      <c r="AG6617" s="3"/>
      <c r="AJ6617" s="3"/>
    </row>
    <row r="6618" spans="1:36" x14ac:dyDescent="0.25">
      <c r="A6618" s="1"/>
      <c r="B6618" s="2"/>
      <c r="AA6618" s="3"/>
      <c r="AD6618" s="3"/>
      <c r="AG6618" s="3"/>
      <c r="AJ6618" s="3"/>
    </row>
    <row r="6619" spans="1:36" x14ac:dyDescent="0.25">
      <c r="A6619" s="1"/>
      <c r="B6619" s="2"/>
      <c r="AA6619" s="3"/>
      <c r="AD6619" s="3"/>
      <c r="AG6619" s="3"/>
      <c r="AJ6619" s="3"/>
    </row>
    <row r="6620" spans="1:36" x14ac:dyDescent="0.25">
      <c r="A6620" s="1"/>
      <c r="B6620" s="2"/>
      <c r="AA6620" s="3"/>
      <c r="AD6620" s="3"/>
      <c r="AG6620" s="3"/>
      <c r="AJ6620" s="3"/>
    </row>
    <row r="6621" spans="1:36" x14ac:dyDescent="0.25">
      <c r="A6621" s="1"/>
      <c r="B6621" s="2"/>
      <c r="AA6621" s="3"/>
      <c r="AD6621" s="3"/>
      <c r="AG6621" s="3"/>
      <c r="AJ6621" s="3"/>
    </row>
    <row r="6622" spans="1:36" x14ac:dyDescent="0.25">
      <c r="A6622" s="1"/>
      <c r="B6622" s="2"/>
      <c r="AA6622" s="3"/>
      <c r="AD6622" s="3"/>
      <c r="AG6622" s="3"/>
      <c r="AJ6622" s="3"/>
    </row>
    <row r="6623" spans="1:36" x14ac:dyDescent="0.25">
      <c r="A6623" s="1"/>
      <c r="B6623" s="2"/>
      <c r="AA6623" s="3"/>
      <c r="AD6623" s="3"/>
      <c r="AG6623" s="3"/>
      <c r="AJ6623" s="3"/>
    </row>
    <row r="6624" spans="1:36" x14ac:dyDescent="0.25">
      <c r="A6624" s="1"/>
      <c r="B6624" s="2"/>
      <c r="AA6624" s="3"/>
      <c r="AD6624" s="3"/>
      <c r="AG6624" s="3"/>
      <c r="AJ6624" s="3"/>
    </row>
    <row r="6625" spans="1:36" x14ac:dyDescent="0.25">
      <c r="A6625" s="1"/>
      <c r="B6625" s="2"/>
      <c r="AA6625" s="3"/>
      <c r="AD6625" s="3"/>
      <c r="AG6625" s="3"/>
      <c r="AJ6625" s="3"/>
    </row>
    <row r="6626" spans="1:36" x14ac:dyDescent="0.25">
      <c r="A6626" s="1"/>
      <c r="B6626" s="2"/>
      <c r="AA6626" s="3"/>
      <c r="AD6626" s="3"/>
      <c r="AG6626" s="3"/>
      <c r="AJ6626" s="3"/>
    </row>
    <row r="6627" spans="1:36" x14ac:dyDescent="0.25">
      <c r="A6627" s="1"/>
      <c r="B6627" s="2"/>
      <c r="AA6627" s="3"/>
      <c r="AD6627" s="3"/>
      <c r="AG6627" s="3"/>
      <c r="AJ6627" s="3"/>
    </row>
    <row r="6628" spans="1:36" x14ac:dyDescent="0.25">
      <c r="A6628" s="1"/>
      <c r="B6628" s="2"/>
      <c r="AA6628" s="3"/>
      <c r="AD6628" s="3"/>
      <c r="AG6628" s="3"/>
      <c r="AJ6628" s="3"/>
    </row>
    <row r="6629" spans="1:36" x14ac:dyDescent="0.25">
      <c r="A6629" s="1"/>
      <c r="B6629" s="2"/>
      <c r="AA6629" s="3"/>
      <c r="AD6629" s="3"/>
      <c r="AG6629" s="3"/>
      <c r="AJ6629" s="3"/>
    </row>
    <row r="6630" spans="1:36" x14ac:dyDescent="0.25">
      <c r="A6630" s="1"/>
      <c r="B6630" s="2"/>
      <c r="AA6630" s="3"/>
      <c r="AD6630" s="3"/>
      <c r="AG6630" s="3"/>
      <c r="AJ6630" s="3"/>
    </row>
    <row r="6631" spans="1:36" x14ac:dyDescent="0.25">
      <c r="A6631" s="1"/>
      <c r="B6631" s="2"/>
      <c r="AA6631" s="3"/>
      <c r="AD6631" s="3"/>
      <c r="AG6631" s="3"/>
      <c r="AJ6631" s="3"/>
    </row>
    <row r="6632" spans="1:36" x14ac:dyDescent="0.25">
      <c r="A6632" s="1"/>
      <c r="B6632" s="2"/>
      <c r="AA6632" s="3"/>
      <c r="AD6632" s="3"/>
      <c r="AG6632" s="3"/>
      <c r="AJ6632" s="3"/>
    </row>
    <row r="6633" spans="1:36" x14ac:dyDescent="0.25">
      <c r="A6633" s="1"/>
      <c r="B6633" s="2"/>
      <c r="AA6633" s="3"/>
      <c r="AD6633" s="3"/>
      <c r="AG6633" s="3"/>
      <c r="AJ6633" s="3"/>
    </row>
    <row r="6634" spans="1:36" x14ac:dyDescent="0.25">
      <c r="A6634" s="1"/>
      <c r="B6634" s="2"/>
      <c r="AA6634" s="3"/>
      <c r="AD6634" s="3"/>
      <c r="AG6634" s="3"/>
      <c r="AJ6634" s="3"/>
    </row>
    <row r="6635" spans="1:36" x14ac:dyDescent="0.25">
      <c r="A6635" s="1"/>
      <c r="B6635" s="2"/>
      <c r="AA6635" s="3"/>
      <c r="AD6635" s="3"/>
      <c r="AG6635" s="3"/>
      <c r="AJ6635" s="3"/>
    </row>
    <row r="6636" spans="1:36" x14ac:dyDescent="0.25">
      <c r="A6636" s="1"/>
      <c r="B6636" s="2"/>
      <c r="AA6636" s="3"/>
      <c r="AD6636" s="3"/>
      <c r="AG6636" s="3"/>
      <c r="AJ6636" s="3"/>
    </row>
    <row r="6637" spans="1:36" x14ac:dyDescent="0.25">
      <c r="A6637" s="1"/>
      <c r="B6637" s="2"/>
      <c r="AA6637" s="3"/>
      <c r="AD6637" s="3"/>
      <c r="AG6637" s="3"/>
      <c r="AJ6637" s="3"/>
    </row>
    <row r="6638" spans="1:36" x14ac:dyDescent="0.25">
      <c r="A6638" s="1"/>
      <c r="B6638" s="2"/>
      <c r="AA6638" s="3"/>
      <c r="AD6638" s="3"/>
      <c r="AG6638" s="3"/>
      <c r="AJ6638" s="3"/>
    </row>
    <row r="6639" spans="1:36" x14ac:dyDescent="0.25">
      <c r="A6639" s="1"/>
      <c r="B6639" s="2"/>
      <c r="AA6639" s="3"/>
      <c r="AD6639" s="3"/>
      <c r="AG6639" s="3"/>
      <c r="AJ6639" s="3"/>
    </row>
    <row r="6640" spans="1:36" x14ac:dyDescent="0.25">
      <c r="A6640" s="1"/>
      <c r="B6640" s="2"/>
      <c r="AA6640" s="3"/>
      <c r="AD6640" s="3"/>
      <c r="AG6640" s="3"/>
      <c r="AJ6640" s="3"/>
    </row>
    <row r="6641" spans="1:36" x14ac:dyDescent="0.25">
      <c r="A6641" s="1"/>
      <c r="B6641" s="2"/>
      <c r="AA6641" s="3"/>
      <c r="AD6641" s="3"/>
      <c r="AG6641" s="3"/>
      <c r="AJ6641" s="3"/>
    </row>
    <row r="6642" spans="1:36" x14ac:dyDescent="0.25">
      <c r="A6642" s="1"/>
      <c r="B6642" s="2"/>
      <c r="AA6642" s="3"/>
      <c r="AD6642" s="3"/>
      <c r="AG6642" s="3"/>
      <c r="AJ6642" s="3"/>
    </row>
    <row r="6643" spans="1:36" x14ac:dyDescent="0.25">
      <c r="A6643" s="1"/>
      <c r="B6643" s="2"/>
      <c r="AA6643" s="3"/>
      <c r="AD6643" s="3"/>
      <c r="AG6643" s="3"/>
      <c r="AJ6643" s="3"/>
    </row>
    <row r="6644" spans="1:36" x14ac:dyDescent="0.25">
      <c r="A6644" s="1"/>
      <c r="B6644" s="2"/>
      <c r="AA6644" s="3"/>
      <c r="AD6644" s="3"/>
      <c r="AG6644" s="3"/>
      <c r="AJ6644" s="3"/>
    </row>
    <row r="6645" spans="1:36" x14ac:dyDescent="0.25">
      <c r="A6645" s="1"/>
      <c r="B6645" s="2"/>
      <c r="AA6645" s="3"/>
      <c r="AD6645" s="3"/>
      <c r="AG6645" s="3"/>
      <c r="AJ6645" s="3"/>
    </row>
    <row r="6646" spans="1:36" x14ac:dyDescent="0.25">
      <c r="A6646" s="1"/>
      <c r="B6646" s="2"/>
      <c r="AA6646" s="3"/>
      <c r="AD6646" s="3"/>
      <c r="AG6646" s="3"/>
      <c r="AJ6646" s="3"/>
    </row>
    <row r="6647" spans="1:36" x14ac:dyDescent="0.25">
      <c r="A6647" s="1"/>
      <c r="B6647" s="2"/>
      <c r="AA6647" s="3"/>
      <c r="AD6647" s="3"/>
      <c r="AG6647" s="3"/>
      <c r="AJ6647" s="3"/>
    </row>
    <row r="6648" spans="1:36" x14ac:dyDescent="0.25">
      <c r="A6648" s="1"/>
      <c r="B6648" s="2"/>
      <c r="AA6648" s="3"/>
      <c r="AD6648" s="3"/>
      <c r="AG6648" s="3"/>
      <c r="AJ6648" s="3"/>
    </row>
    <row r="6649" spans="1:36" x14ac:dyDescent="0.25">
      <c r="A6649" s="1"/>
      <c r="B6649" s="2"/>
      <c r="AA6649" s="3"/>
      <c r="AD6649" s="3"/>
      <c r="AG6649" s="3"/>
      <c r="AJ6649" s="3"/>
    </row>
    <row r="6650" spans="1:36" x14ac:dyDescent="0.25">
      <c r="A6650" s="1"/>
      <c r="B6650" s="2"/>
      <c r="AA6650" s="3"/>
      <c r="AD6650" s="3"/>
      <c r="AG6650" s="3"/>
      <c r="AJ6650" s="3"/>
    </row>
    <row r="6651" spans="1:36" x14ac:dyDescent="0.25">
      <c r="A6651" s="1"/>
      <c r="B6651" s="2"/>
      <c r="AA6651" s="3"/>
      <c r="AD6651" s="3"/>
      <c r="AG6651" s="3"/>
      <c r="AJ6651" s="3"/>
    </row>
    <row r="6652" spans="1:36" x14ac:dyDescent="0.25">
      <c r="A6652" s="1"/>
      <c r="B6652" s="2"/>
      <c r="AA6652" s="3"/>
      <c r="AD6652" s="3"/>
      <c r="AG6652" s="3"/>
      <c r="AJ6652" s="3"/>
    </row>
    <row r="6653" spans="1:36" x14ac:dyDescent="0.25">
      <c r="A6653" s="1"/>
      <c r="B6653" s="2"/>
      <c r="AA6653" s="3"/>
      <c r="AD6653" s="3"/>
      <c r="AG6653" s="3"/>
      <c r="AJ6653" s="3"/>
    </row>
    <row r="6654" spans="1:36" x14ac:dyDescent="0.25">
      <c r="A6654" s="1"/>
      <c r="B6654" s="2"/>
      <c r="AA6654" s="3"/>
      <c r="AD6654" s="3"/>
      <c r="AG6654" s="3"/>
      <c r="AJ6654" s="3"/>
    </row>
    <row r="6655" spans="1:36" x14ac:dyDescent="0.25">
      <c r="A6655" s="1"/>
      <c r="B6655" s="2"/>
      <c r="AA6655" s="3"/>
      <c r="AD6655" s="3"/>
      <c r="AG6655" s="3"/>
      <c r="AJ6655" s="3"/>
    </row>
    <row r="6656" spans="1:36" x14ac:dyDescent="0.25">
      <c r="A6656" s="1"/>
      <c r="B6656" s="2"/>
      <c r="AA6656" s="3"/>
      <c r="AD6656" s="3"/>
      <c r="AG6656" s="3"/>
      <c r="AJ6656" s="3"/>
    </row>
    <row r="6657" spans="1:36" x14ac:dyDescent="0.25">
      <c r="A6657" s="1"/>
      <c r="B6657" s="2"/>
      <c r="AA6657" s="3"/>
      <c r="AD6657" s="3"/>
      <c r="AG6657" s="3"/>
      <c r="AJ6657" s="3"/>
    </row>
    <row r="6658" spans="1:36" x14ac:dyDescent="0.25">
      <c r="A6658" s="1"/>
      <c r="B6658" s="2"/>
      <c r="AA6658" s="3"/>
      <c r="AD6658" s="3"/>
      <c r="AG6658" s="3"/>
      <c r="AJ6658" s="3"/>
    </row>
    <row r="6659" spans="1:36" x14ac:dyDescent="0.25">
      <c r="A6659" s="1"/>
      <c r="B6659" s="2"/>
      <c r="AA6659" s="3"/>
      <c r="AD6659" s="3"/>
      <c r="AG6659" s="3"/>
      <c r="AJ6659" s="3"/>
    </row>
    <row r="6660" spans="1:36" x14ac:dyDescent="0.25">
      <c r="A6660" s="1"/>
      <c r="B6660" s="2"/>
      <c r="AA6660" s="3"/>
      <c r="AD6660" s="3"/>
      <c r="AG6660" s="3"/>
      <c r="AJ6660" s="3"/>
    </row>
    <row r="6661" spans="1:36" x14ac:dyDescent="0.25">
      <c r="A6661" s="1"/>
      <c r="B6661" s="2"/>
      <c r="AA6661" s="3"/>
      <c r="AD6661" s="3"/>
      <c r="AG6661" s="3"/>
      <c r="AJ6661" s="3"/>
    </row>
    <row r="6662" spans="1:36" x14ac:dyDescent="0.25">
      <c r="A6662" s="1"/>
      <c r="B6662" s="2"/>
      <c r="AA6662" s="3"/>
      <c r="AD6662" s="3"/>
      <c r="AG6662" s="3"/>
      <c r="AJ6662" s="3"/>
    </row>
    <row r="6663" spans="1:36" x14ac:dyDescent="0.25">
      <c r="A6663" s="1"/>
      <c r="B6663" s="2"/>
      <c r="AA6663" s="3"/>
      <c r="AD6663" s="3"/>
      <c r="AG6663" s="3"/>
      <c r="AJ6663" s="3"/>
    </row>
    <row r="6664" spans="1:36" x14ac:dyDescent="0.25">
      <c r="A6664" s="1"/>
      <c r="B6664" s="2"/>
      <c r="AA6664" s="3"/>
      <c r="AD6664" s="3"/>
      <c r="AG6664" s="3"/>
      <c r="AJ6664" s="3"/>
    </row>
    <row r="6665" spans="1:36" x14ac:dyDescent="0.25">
      <c r="A6665" s="1"/>
      <c r="B6665" s="2"/>
      <c r="AA6665" s="3"/>
      <c r="AD6665" s="3"/>
      <c r="AG6665" s="3"/>
      <c r="AJ6665" s="3"/>
    </row>
    <row r="6666" spans="1:36" x14ac:dyDescent="0.25">
      <c r="A6666" s="1"/>
      <c r="B6666" s="2"/>
      <c r="AA6666" s="3"/>
      <c r="AD6666" s="3"/>
      <c r="AG6666" s="3"/>
      <c r="AJ6666" s="3"/>
    </row>
    <row r="6667" spans="1:36" x14ac:dyDescent="0.25">
      <c r="A6667" s="1"/>
      <c r="B6667" s="2"/>
      <c r="AA6667" s="3"/>
      <c r="AD6667" s="3"/>
      <c r="AG6667" s="3"/>
      <c r="AJ6667" s="3"/>
    </row>
    <row r="6668" spans="1:36" x14ac:dyDescent="0.25">
      <c r="A6668" s="1"/>
      <c r="B6668" s="2"/>
      <c r="AA6668" s="3"/>
      <c r="AD6668" s="3"/>
      <c r="AG6668" s="3"/>
      <c r="AJ6668" s="3"/>
    </row>
    <row r="6669" spans="1:36" x14ac:dyDescent="0.25">
      <c r="A6669" s="1"/>
      <c r="B6669" s="2"/>
      <c r="AA6669" s="3"/>
      <c r="AD6669" s="3"/>
      <c r="AG6669" s="3"/>
      <c r="AJ6669" s="3"/>
    </row>
    <row r="6670" spans="1:36" x14ac:dyDescent="0.25">
      <c r="A6670" s="1"/>
      <c r="B6670" s="2"/>
      <c r="AA6670" s="3"/>
      <c r="AD6670" s="3"/>
      <c r="AG6670" s="3"/>
      <c r="AJ6670" s="3"/>
    </row>
    <row r="6671" spans="1:36" x14ac:dyDescent="0.25">
      <c r="A6671" s="1"/>
      <c r="B6671" s="2"/>
      <c r="AA6671" s="3"/>
      <c r="AD6671" s="3"/>
      <c r="AG6671" s="3"/>
      <c r="AJ6671" s="3"/>
    </row>
    <row r="6672" spans="1:36" x14ac:dyDescent="0.25">
      <c r="A6672" s="1"/>
      <c r="B6672" s="2"/>
      <c r="AA6672" s="3"/>
      <c r="AD6672" s="3"/>
      <c r="AG6672" s="3"/>
      <c r="AJ6672" s="3"/>
    </row>
    <row r="6673" spans="1:36" x14ac:dyDescent="0.25">
      <c r="A6673" s="1"/>
      <c r="B6673" s="2"/>
      <c r="AA6673" s="3"/>
      <c r="AD6673" s="3"/>
      <c r="AG6673" s="3"/>
      <c r="AJ6673" s="3"/>
    </row>
    <row r="6674" spans="1:36" x14ac:dyDescent="0.25">
      <c r="A6674" s="1"/>
      <c r="B6674" s="2"/>
      <c r="AA6674" s="3"/>
      <c r="AD6674" s="3"/>
      <c r="AG6674" s="3"/>
      <c r="AJ6674" s="3"/>
    </row>
    <row r="6675" spans="1:36" x14ac:dyDescent="0.25">
      <c r="A6675" s="1"/>
      <c r="B6675" s="2"/>
      <c r="AA6675" s="3"/>
      <c r="AD6675" s="3"/>
      <c r="AG6675" s="3"/>
      <c r="AJ6675" s="3"/>
    </row>
    <row r="6676" spans="1:36" x14ac:dyDescent="0.25">
      <c r="A6676" s="1"/>
      <c r="B6676" s="2"/>
      <c r="AA6676" s="3"/>
      <c r="AD6676" s="3"/>
      <c r="AG6676" s="3"/>
      <c r="AJ6676" s="3"/>
    </row>
    <row r="6677" spans="1:36" x14ac:dyDescent="0.25">
      <c r="A6677" s="1"/>
      <c r="B6677" s="2"/>
      <c r="AA6677" s="3"/>
      <c r="AD6677" s="3"/>
      <c r="AG6677" s="3"/>
      <c r="AJ6677" s="3"/>
    </row>
    <row r="6678" spans="1:36" x14ac:dyDescent="0.25">
      <c r="A6678" s="1"/>
      <c r="B6678" s="2"/>
      <c r="AA6678" s="3"/>
      <c r="AD6678" s="3"/>
      <c r="AG6678" s="3"/>
      <c r="AJ6678" s="3"/>
    </row>
    <row r="6679" spans="1:36" x14ac:dyDescent="0.25">
      <c r="A6679" s="1"/>
      <c r="B6679" s="2"/>
      <c r="AA6679" s="3"/>
      <c r="AD6679" s="3"/>
      <c r="AG6679" s="3"/>
      <c r="AJ6679" s="3"/>
    </row>
    <row r="6680" spans="1:36" x14ac:dyDescent="0.25">
      <c r="A6680" s="1"/>
      <c r="B6680" s="2"/>
      <c r="AA6680" s="3"/>
      <c r="AD6680" s="3"/>
      <c r="AG6680" s="3"/>
      <c r="AJ6680" s="3"/>
    </row>
    <row r="6681" spans="1:36" x14ac:dyDescent="0.25">
      <c r="A6681" s="1"/>
      <c r="B6681" s="2"/>
      <c r="AA6681" s="3"/>
      <c r="AD6681" s="3"/>
      <c r="AG6681" s="3"/>
      <c r="AJ6681" s="3"/>
    </row>
    <row r="6682" spans="1:36" x14ac:dyDescent="0.25">
      <c r="A6682" s="1"/>
      <c r="B6682" s="2"/>
      <c r="AA6682" s="3"/>
      <c r="AD6682" s="3"/>
      <c r="AG6682" s="3"/>
      <c r="AJ6682" s="3"/>
    </row>
    <row r="6683" spans="1:36" x14ac:dyDescent="0.25">
      <c r="A6683" s="1"/>
      <c r="B6683" s="2"/>
      <c r="AA6683" s="3"/>
      <c r="AD6683" s="3"/>
      <c r="AG6683" s="3"/>
      <c r="AJ6683" s="3"/>
    </row>
    <row r="6684" spans="1:36" x14ac:dyDescent="0.25">
      <c r="A6684" s="1"/>
      <c r="B6684" s="2"/>
      <c r="AA6684" s="3"/>
      <c r="AD6684" s="3"/>
      <c r="AG6684" s="3"/>
      <c r="AJ6684" s="3"/>
    </row>
    <row r="6685" spans="1:36" x14ac:dyDescent="0.25">
      <c r="A6685" s="1"/>
      <c r="B6685" s="2"/>
      <c r="AA6685" s="3"/>
      <c r="AD6685" s="3"/>
      <c r="AG6685" s="3"/>
      <c r="AJ6685" s="3"/>
    </row>
    <row r="6686" spans="1:36" x14ac:dyDescent="0.25">
      <c r="A6686" s="1"/>
      <c r="B6686" s="2"/>
      <c r="AA6686" s="3"/>
      <c r="AD6686" s="3"/>
      <c r="AG6686" s="3"/>
      <c r="AJ6686" s="3"/>
    </row>
    <row r="6687" spans="1:36" x14ac:dyDescent="0.25">
      <c r="A6687" s="1"/>
      <c r="B6687" s="2"/>
      <c r="AA6687" s="3"/>
      <c r="AD6687" s="3"/>
      <c r="AG6687" s="3"/>
      <c r="AJ6687" s="3"/>
    </row>
    <row r="6688" spans="1:36" x14ac:dyDescent="0.25">
      <c r="A6688" s="1"/>
      <c r="B6688" s="2"/>
      <c r="AA6688" s="3"/>
      <c r="AD6688" s="3"/>
      <c r="AG6688" s="3"/>
      <c r="AJ6688" s="3"/>
    </row>
    <row r="6689" spans="1:36" x14ac:dyDescent="0.25">
      <c r="A6689" s="1"/>
      <c r="B6689" s="2"/>
      <c r="AA6689" s="3"/>
      <c r="AD6689" s="3"/>
      <c r="AG6689" s="3"/>
      <c r="AJ6689" s="3"/>
    </row>
    <row r="6690" spans="1:36" x14ac:dyDescent="0.25">
      <c r="A6690" s="1"/>
      <c r="B6690" s="2"/>
      <c r="AA6690" s="3"/>
      <c r="AD6690" s="3"/>
      <c r="AG6690" s="3"/>
      <c r="AJ6690" s="3"/>
    </row>
    <row r="6691" spans="1:36" x14ac:dyDescent="0.25">
      <c r="A6691" s="1"/>
      <c r="B6691" s="2"/>
      <c r="AA6691" s="3"/>
      <c r="AD6691" s="3"/>
      <c r="AG6691" s="3"/>
      <c r="AJ6691" s="3"/>
    </row>
    <row r="6692" spans="1:36" x14ac:dyDescent="0.25">
      <c r="A6692" s="1"/>
      <c r="B6692" s="2"/>
      <c r="AA6692" s="3"/>
      <c r="AD6692" s="3"/>
      <c r="AG6692" s="3"/>
      <c r="AJ6692" s="3"/>
    </row>
    <row r="6693" spans="1:36" x14ac:dyDescent="0.25">
      <c r="A6693" s="1"/>
      <c r="B6693" s="2"/>
      <c r="AA6693" s="3"/>
      <c r="AD6693" s="3"/>
      <c r="AG6693" s="3"/>
      <c r="AJ6693" s="3"/>
    </row>
    <row r="6694" spans="1:36" x14ac:dyDescent="0.25">
      <c r="A6694" s="1"/>
      <c r="B6694" s="2"/>
      <c r="AA6694" s="3"/>
      <c r="AD6694" s="3"/>
      <c r="AG6694" s="3"/>
      <c r="AJ6694" s="3"/>
    </row>
    <row r="6695" spans="1:36" x14ac:dyDescent="0.25">
      <c r="A6695" s="1"/>
      <c r="B6695" s="2"/>
      <c r="AA6695" s="3"/>
      <c r="AD6695" s="3"/>
      <c r="AG6695" s="3"/>
      <c r="AJ6695" s="3"/>
    </row>
    <row r="6696" spans="1:36" x14ac:dyDescent="0.25">
      <c r="A6696" s="1"/>
      <c r="B6696" s="2"/>
      <c r="AA6696" s="3"/>
      <c r="AD6696" s="3"/>
      <c r="AG6696" s="3"/>
      <c r="AJ6696" s="3"/>
    </row>
    <row r="6697" spans="1:36" x14ac:dyDescent="0.25">
      <c r="A6697" s="1"/>
      <c r="B6697" s="2"/>
      <c r="AA6697" s="3"/>
      <c r="AD6697" s="3"/>
      <c r="AG6697" s="3"/>
      <c r="AJ6697" s="3"/>
    </row>
    <row r="6698" spans="1:36" x14ac:dyDescent="0.25">
      <c r="A6698" s="1"/>
      <c r="B6698" s="2"/>
      <c r="AA6698" s="3"/>
      <c r="AD6698" s="3"/>
      <c r="AG6698" s="3"/>
      <c r="AJ6698" s="3"/>
    </row>
    <row r="6699" spans="1:36" x14ac:dyDescent="0.25">
      <c r="A6699" s="1"/>
      <c r="B6699" s="2"/>
      <c r="AA6699" s="3"/>
      <c r="AD6699" s="3"/>
      <c r="AG6699" s="3"/>
      <c r="AJ6699" s="3"/>
    </row>
    <row r="6700" spans="1:36" x14ac:dyDescent="0.25">
      <c r="A6700" s="1"/>
      <c r="B6700" s="2"/>
      <c r="AA6700" s="3"/>
      <c r="AD6700" s="3"/>
      <c r="AG6700" s="3"/>
      <c r="AJ6700" s="3"/>
    </row>
    <row r="6701" spans="1:36" x14ac:dyDescent="0.25">
      <c r="A6701" s="1"/>
      <c r="B6701" s="2"/>
      <c r="AA6701" s="3"/>
      <c r="AD6701" s="3"/>
      <c r="AG6701" s="3"/>
      <c r="AJ6701" s="3"/>
    </row>
    <row r="6702" spans="1:36" x14ac:dyDescent="0.25">
      <c r="A6702" s="1"/>
      <c r="B6702" s="2"/>
      <c r="AA6702" s="3"/>
      <c r="AD6702" s="3"/>
      <c r="AG6702" s="3"/>
      <c r="AJ6702" s="3"/>
    </row>
    <row r="6703" spans="1:36" x14ac:dyDescent="0.25">
      <c r="A6703" s="1"/>
      <c r="B6703" s="2"/>
      <c r="AA6703" s="3"/>
      <c r="AD6703" s="3"/>
      <c r="AG6703" s="3"/>
      <c r="AJ6703" s="3"/>
    </row>
    <row r="6704" spans="1:36" x14ac:dyDescent="0.25">
      <c r="A6704" s="1"/>
      <c r="B6704" s="2"/>
      <c r="AA6704" s="3"/>
      <c r="AD6704" s="3"/>
      <c r="AG6704" s="3"/>
      <c r="AJ6704" s="3"/>
    </row>
    <row r="6705" spans="1:36" x14ac:dyDescent="0.25">
      <c r="A6705" s="1"/>
      <c r="B6705" s="2"/>
      <c r="AA6705" s="3"/>
      <c r="AD6705" s="3"/>
      <c r="AG6705" s="3"/>
      <c r="AJ6705" s="3"/>
    </row>
    <row r="6706" spans="1:36" x14ac:dyDescent="0.25">
      <c r="A6706" s="1"/>
      <c r="B6706" s="2"/>
      <c r="AA6706" s="3"/>
      <c r="AD6706" s="3"/>
      <c r="AG6706" s="3"/>
      <c r="AJ6706" s="3"/>
    </row>
    <row r="6707" spans="1:36" x14ac:dyDescent="0.25">
      <c r="A6707" s="1"/>
      <c r="B6707" s="2"/>
      <c r="AA6707" s="3"/>
      <c r="AD6707" s="3"/>
      <c r="AG6707" s="3"/>
      <c r="AJ6707" s="3"/>
    </row>
    <row r="6708" spans="1:36" x14ac:dyDescent="0.25">
      <c r="A6708" s="1"/>
      <c r="B6708" s="2"/>
      <c r="AA6708" s="3"/>
      <c r="AD6708" s="3"/>
      <c r="AG6708" s="3"/>
      <c r="AJ6708" s="3"/>
    </row>
    <row r="6709" spans="1:36" x14ac:dyDescent="0.25">
      <c r="A6709" s="1"/>
      <c r="B6709" s="2"/>
      <c r="AA6709" s="3"/>
      <c r="AD6709" s="3"/>
      <c r="AG6709" s="3"/>
      <c r="AJ6709" s="3"/>
    </row>
    <row r="6710" spans="1:36" x14ac:dyDescent="0.25">
      <c r="A6710" s="1"/>
      <c r="B6710" s="2"/>
      <c r="AA6710" s="3"/>
      <c r="AD6710" s="3"/>
      <c r="AG6710" s="3"/>
      <c r="AJ6710" s="3"/>
    </row>
    <row r="6711" spans="1:36" x14ac:dyDescent="0.25">
      <c r="A6711" s="1"/>
      <c r="B6711" s="2"/>
      <c r="AA6711" s="3"/>
      <c r="AD6711" s="3"/>
      <c r="AG6711" s="3"/>
      <c r="AJ6711" s="3"/>
    </row>
    <row r="6712" spans="1:36" x14ac:dyDescent="0.25">
      <c r="A6712" s="1"/>
      <c r="B6712" s="2"/>
      <c r="AA6712" s="3"/>
      <c r="AD6712" s="3"/>
      <c r="AG6712" s="3"/>
      <c r="AJ6712" s="3"/>
    </row>
    <row r="6713" spans="1:36" x14ac:dyDescent="0.25">
      <c r="A6713" s="1"/>
      <c r="B6713" s="2"/>
      <c r="AA6713" s="3"/>
      <c r="AD6713" s="3"/>
      <c r="AG6713" s="3"/>
      <c r="AJ6713" s="3"/>
    </row>
    <row r="6714" spans="1:36" x14ac:dyDescent="0.25">
      <c r="A6714" s="1"/>
      <c r="B6714" s="2"/>
      <c r="AA6714" s="3"/>
      <c r="AD6714" s="3"/>
      <c r="AG6714" s="3"/>
      <c r="AJ6714" s="3"/>
    </row>
    <row r="6715" spans="1:36" x14ac:dyDescent="0.25">
      <c r="A6715" s="1"/>
      <c r="B6715" s="2"/>
      <c r="AA6715" s="3"/>
      <c r="AD6715" s="3"/>
      <c r="AG6715" s="3"/>
      <c r="AJ6715" s="3"/>
    </row>
    <row r="6716" spans="1:36" x14ac:dyDescent="0.25">
      <c r="A6716" s="1"/>
      <c r="B6716" s="2"/>
      <c r="AA6716" s="3"/>
      <c r="AD6716" s="3"/>
      <c r="AG6716" s="3"/>
      <c r="AJ6716" s="3"/>
    </row>
    <row r="6717" spans="1:36" x14ac:dyDescent="0.25">
      <c r="A6717" s="1"/>
      <c r="B6717" s="2"/>
      <c r="AA6717" s="3"/>
      <c r="AD6717" s="3"/>
      <c r="AG6717" s="3"/>
      <c r="AJ6717" s="3"/>
    </row>
    <row r="6718" spans="1:36" x14ac:dyDescent="0.25">
      <c r="A6718" s="1"/>
      <c r="B6718" s="2"/>
      <c r="AA6718" s="3"/>
      <c r="AD6718" s="3"/>
      <c r="AG6718" s="3"/>
      <c r="AJ6718" s="3"/>
    </row>
    <row r="6719" spans="1:36" x14ac:dyDescent="0.25">
      <c r="A6719" s="1"/>
      <c r="B6719" s="2"/>
      <c r="AA6719" s="3"/>
      <c r="AD6719" s="3"/>
      <c r="AG6719" s="3"/>
      <c r="AJ6719" s="3"/>
    </row>
    <row r="6720" spans="1:36" x14ac:dyDescent="0.25">
      <c r="A6720" s="1"/>
      <c r="B6720" s="2"/>
      <c r="AA6720" s="3"/>
      <c r="AD6720" s="3"/>
      <c r="AG6720" s="3"/>
      <c r="AJ6720" s="3"/>
    </row>
    <row r="6721" spans="1:36" x14ac:dyDescent="0.25">
      <c r="A6721" s="1"/>
      <c r="B6721" s="2"/>
      <c r="AA6721" s="3"/>
      <c r="AD6721" s="3"/>
      <c r="AG6721" s="3"/>
      <c r="AJ6721" s="3"/>
    </row>
    <row r="6722" spans="1:36" x14ac:dyDescent="0.25">
      <c r="A6722" s="1"/>
      <c r="B6722" s="2"/>
      <c r="AA6722" s="3"/>
      <c r="AD6722" s="3"/>
      <c r="AG6722" s="3"/>
      <c r="AJ6722" s="3"/>
    </row>
    <row r="6723" spans="1:36" x14ac:dyDescent="0.25">
      <c r="A6723" s="1"/>
      <c r="B6723" s="2"/>
      <c r="AA6723" s="3"/>
      <c r="AD6723" s="3"/>
      <c r="AG6723" s="3"/>
      <c r="AJ6723" s="3"/>
    </row>
    <row r="6724" spans="1:36" x14ac:dyDescent="0.25">
      <c r="A6724" s="1"/>
      <c r="B6724" s="2"/>
      <c r="AA6724" s="3"/>
      <c r="AD6724" s="3"/>
      <c r="AG6724" s="3"/>
      <c r="AJ6724" s="3"/>
    </row>
    <row r="6725" spans="1:36" x14ac:dyDescent="0.25">
      <c r="A6725" s="1"/>
      <c r="B6725" s="2"/>
      <c r="AA6725" s="3"/>
      <c r="AD6725" s="3"/>
      <c r="AG6725" s="3"/>
      <c r="AJ6725" s="3"/>
    </row>
    <row r="6726" spans="1:36" x14ac:dyDescent="0.25">
      <c r="A6726" s="1"/>
      <c r="B6726" s="2"/>
      <c r="AA6726" s="3"/>
      <c r="AD6726" s="3"/>
      <c r="AG6726" s="3"/>
      <c r="AJ6726" s="3"/>
    </row>
    <row r="6727" spans="1:36" x14ac:dyDescent="0.25">
      <c r="A6727" s="1"/>
      <c r="B6727" s="2"/>
      <c r="AA6727" s="3"/>
      <c r="AD6727" s="3"/>
      <c r="AG6727" s="3"/>
      <c r="AJ6727" s="3"/>
    </row>
    <row r="6728" spans="1:36" x14ac:dyDescent="0.25">
      <c r="A6728" s="1"/>
      <c r="B6728" s="2"/>
      <c r="AA6728" s="3"/>
      <c r="AD6728" s="3"/>
      <c r="AG6728" s="3"/>
      <c r="AJ6728" s="3"/>
    </row>
    <row r="6729" spans="1:36" x14ac:dyDescent="0.25">
      <c r="A6729" s="1"/>
      <c r="B6729" s="2"/>
      <c r="AA6729" s="3"/>
      <c r="AD6729" s="3"/>
      <c r="AG6729" s="3"/>
      <c r="AJ6729" s="3"/>
    </row>
    <row r="6730" spans="1:36" x14ac:dyDescent="0.25">
      <c r="A6730" s="1"/>
      <c r="B6730" s="2"/>
      <c r="AA6730" s="3"/>
      <c r="AD6730" s="3"/>
      <c r="AG6730" s="3"/>
      <c r="AJ6730" s="3"/>
    </row>
    <row r="6731" spans="1:36" x14ac:dyDescent="0.25">
      <c r="A6731" s="1"/>
      <c r="B6731" s="2"/>
      <c r="AA6731" s="3"/>
      <c r="AD6731" s="3"/>
      <c r="AG6731" s="3"/>
      <c r="AJ6731" s="3"/>
    </row>
    <row r="6732" spans="1:36" x14ac:dyDescent="0.25">
      <c r="A6732" s="1"/>
      <c r="B6732" s="2"/>
      <c r="AA6732" s="3"/>
      <c r="AD6732" s="3"/>
      <c r="AG6732" s="3"/>
      <c r="AJ6732" s="3"/>
    </row>
    <row r="6733" spans="1:36" x14ac:dyDescent="0.25">
      <c r="A6733" s="1"/>
      <c r="B6733" s="2"/>
      <c r="AA6733" s="3"/>
      <c r="AD6733" s="3"/>
      <c r="AG6733" s="3"/>
      <c r="AJ6733" s="3"/>
    </row>
    <row r="6734" spans="1:36" x14ac:dyDescent="0.25">
      <c r="A6734" s="1"/>
      <c r="B6734" s="2"/>
      <c r="AA6734" s="3"/>
      <c r="AD6734" s="3"/>
      <c r="AG6734" s="3"/>
      <c r="AJ6734" s="3"/>
    </row>
    <row r="6735" spans="1:36" x14ac:dyDescent="0.25">
      <c r="A6735" s="1"/>
      <c r="B6735" s="2"/>
      <c r="AA6735" s="3"/>
      <c r="AD6735" s="3"/>
      <c r="AG6735" s="3"/>
      <c r="AJ6735" s="3"/>
    </row>
    <row r="6736" spans="1:36" x14ac:dyDescent="0.25">
      <c r="A6736" s="1"/>
      <c r="B6736" s="2"/>
      <c r="AA6736" s="3"/>
      <c r="AD6736" s="3"/>
      <c r="AG6736" s="3"/>
      <c r="AJ6736" s="3"/>
    </row>
    <row r="6737" spans="1:36" x14ac:dyDescent="0.25">
      <c r="A6737" s="1"/>
      <c r="B6737" s="2"/>
      <c r="AA6737" s="3"/>
      <c r="AD6737" s="3"/>
      <c r="AG6737" s="3"/>
      <c r="AJ6737" s="3"/>
    </row>
    <row r="6738" spans="1:36" x14ac:dyDescent="0.25">
      <c r="A6738" s="1"/>
      <c r="B6738" s="2"/>
      <c r="AA6738" s="3"/>
      <c r="AD6738" s="3"/>
      <c r="AG6738" s="3"/>
      <c r="AJ6738" s="3"/>
    </row>
    <row r="6739" spans="1:36" x14ac:dyDescent="0.25">
      <c r="A6739" s="1"/>
      <c r="B6739" s="2"/>
      <c r="AA6739" s="3"/>
      <c r="AD6739" s="3"/>
      <c r="AG6739" s="3"/>
      <c r="AJ6739" s="3"/>
    </row>
    <row r="6740" spans="1:36" x14ac:dyDescent="0.25">
      <c r="A6740" s="1"/>
      <c r="B6740" s="2"/>
      <c r="AA6740" s="3"/>
      <c r="AD6740" s="3"/>
      <c r="AG6740" s="3"/>
      <c r="AJ6740" s="3"/>
    </row>
    <row r="6741" spans="1:36" x14ac:dyDescent="0.25">
      <c r="A6741" s="1"/>
      <c r="B6741" s="2"/>
      <c r="AA6741" s="3"/>
      <c r="AD6741" s="3"/>
      <c r="AG6741" s="3"/>
      <c r="AJ6741" s="3"/>
    </row>
    <row r="6742" spans="1:36" x14ac:dyDescent="0.25">
      <c r="A6742" s="1"/>
      <c r="B6742" s="2"/>
      <c r="AA6742" s="3"/>
      <c r="AD6742" s="3"/>
      <c r="AG6742" s="3"/>
      <c r="AJ6742" s="3"/>
    </row>
    <row r="6743" spans="1:36" x14ac:dyDescent="0.25">
      <c r="A6743" s="1"/>
      <c r="B6743" s="2"/>
      <c r="AA6743" s="3"/>
      <c r="AD6743" s="3"/>
      <c r="AG6743" s="3"/>
      <c r="AJ6743" s="3"/>
    </row>
    <row r="6744" spans="1:36" x14ac:dyDescent="0.25">
      <c r="A6744" s="1"/>
      <c r="B6744" s="2"/>
      <c r="AA6744" s="3"/>
      <c r="AD6744" s="3"/>
      <c r="AG6744" s="3"/>
      <c r="AJ6744" s="3"/>
    </row>
    <row r="6745" spans="1:36" x14ac:dyDescent="0.25">
      <c r="A6745" s="1"/>
      <c r="B6745" s="2"/>
      <c r="AA6745" s="3"/>
      <c r="AD6745" s="3"/>
      <c r="AG6745" s="3"/>
      <c r="AJ6745" s="3"/>
    </row>
    <row r="6746" spans="1:36" x14ac:dyDescent="0.25">
      <c r="A6746" s="1"/>
      <c r="B6746" s="2"/>
      <c r="AA6746" s="3"/>
      <c r="AD6746" s="3"/>
      <c r="AG6746" s="3"/>
      <c r="AJ6746" s="3"/>
    </row>
    <row r="6747" spans="1:36" x14ac:dyDescent="0.25">
      <c r="A6747" s="1"/>
      <c r="B6747" s="2"/>
      <c r="AA6747" s="3"/>
      <c r="AD6747" s="3"/>
      <c r="AG6747" s="3"/>
      <c r="AJ6747" s="3"/>
    </row>
    <row r="6748" spans="1:36" x14ac:dyDescent="0.25">
      <c r="A6748" s="1"/>
      <c r="B6748" s="2"/>
      <c r="AA6748" s="3"/>
      <c r="AD6748" s="3"/>
      <c r="AG6748" s="3"/>
      <c r="AJ6748" s="3"/>
    </row>
    <row r="6749" spans="1:36" x14ac:dyDescent="0.25">
      <c r="A6749" s="1"/>
      <c r="B6749" s="2"/>
      <c r="AA6749" s="3"/>
      <c r="AD6749" s="3"/>
      <c r="AG6749" s="3"/>
      <c r="AJ6749" s="3"/>
    </row>
    <row r="6750" spans="1:36" x14ac:dyDescent="0.25">
      <c r="A6750" s="1"/>
      <c r="B6750" s="2"/>
      <c r="AA6750" s="3"/>
      <c r="AD6750" s="3"/>
      <c r="AG6750" s="3"/>
      <c r="AJ6750" s="3"/>
    </row>
    <row r="6751" spans="1:36" x14ac:dyDescent="0.25">
      <c r="A6751" s="1"/>
      <c r="B6751" s="2"/>
      <c r="AA6751" s="3"/>
      <c r="AD6751" s="3"/>
      <c r="AG6751" s="3"/>
      <c r="AJ6751" s="3"/>
    </row>
    <row r="6752" spans="1:36" x14ac:dyDescent="0.25">
      <c r="A6752" s="1"/>
      <c r="B6752" s="2"/>
      <c r="AA6752" s="3"/>
      <c r="AD6752" s="3"/>
      <c r="AG6752" s="3"/>
      <c r="AJ6752" s="3"/>
    </row>
    <row r="6753" spans="1:36" x14ac:dyDescent="0.25">
      <c r="A6753" s="1"/>
      <c r="B6753" s="2"/>
      <c r="AA6753" s="3"/>
      <c r="AD6753" s="3"/>
      <c r="AG6753" s="3"/>
      <c r="AJ6753" s="3"/>
    </row>
    <row r="6754" spans="1:36" x14ac:dyDescent="0.25">
      <c r="A6754" s="1"/>
      <c r="B6754" s="2"/>
      <c r="AA6754" s="3"/>
      <c r="AD6754" s="3"/>
      <c r="AG6754" s="3"/>
      <c r="AJ6754" s="3"/>
    </row>
    <row r="6755" spans="1:36" x14ac:dyDescent="0.25">
      <c r="A6755" s="1"/>
      <c r="B6755" s="2"/>
      <c r="AA6755" s="3"/>
      <c r="AD6755" s="3"/>
      <c r="AG6755" s="3"/>
      <c r="AJ6755" s="3"/>
    </row>
    <row r="6756" spans="1:36" x14ac:dyDescent="0.25">
      <c r="A6756" s="1"/>
      <c r="B6756" s="2"/>
      <c r="AA6756" s="3"/>
      <c r="AD6756" s="3"/>
      <c r="AG6756" s="3"/>
      <c r="AJ6756" s="3"/>
    </row>
    <row r="6757" spans="1:36" x14ac:dyDescent="0.25">
      <c r="A6757" s="1"/>
      <c r="B6757" s="2"/>
      <c r="AA6757" s="3"/>
      <c r="AD6757" s="3"/>
      <c r="AG6757" s="3"/>
      <c r="AJ6757" s="3"/>
    </row>
    <row r="6758" spans="1:36" x14ac:dyDescent="0.25">
      <c r="A6758" s="1"/>
      <c r="B6758" s="2"/>
      <c r="AA6758" s="3"/>
      <c r="AD6758" s="3"/>
      <c r="AG6758" s="3"/>
      <c r="AJ6758" s="3"/>
    </row>
    <row r="6759" spans="1:36" x14ac:dyDescent="0.25">
      <c r="A6759" s="1"/>
      <c r="B6759" s="2"/>
      <c r="AA6759" s="3"/>
      <c r="AD6759" s="3"/>
      <c r="AG6759" s="3"/>
      <c r="AJ6759" s="3"/>
    </row>
    <row r="6760" spans="1:36" x14ac:dyDescent="0.25">
      <c r="A6760" s="1"/>
      <c r="B6760" s="2"/>
      <c r="AA6760" s="3"/>
      <c r="AD6760" s="3"/>
      <c r="AG6760" s="3"/>
      <c r="AJ6760" s="3"/>
    </row>
    <row r="6761" spans="1:36" x14ac:dyDescent="0.25">
      <c r="A6761" s="1"/>
      <c r="B6761" s="2"/>
      <c r="AA6761" s="3"/>
      <c r="AD6761" s="3"/>
      <c r="AG6761" s="3"/>
      <c r="AJ6761" s="3"/>
    </row>
    <row r="6762" spans="1:36" x14ac:dyDescent="0.25">
      <c r="A6762" s="1"/>
      <c r="B6762" s="2"/>
      <c r="AA6762" s="3"/>
      <c r="AD6762" s="3"/>
      <c r="AG6762" s="3"/>
      <c r="AJ6762" s="3"/>
    </row>
    <row r="6763" spans="1:36" x14ac:dyDescent="0.25">
      <c r="A6763" s="1"/>
      <c r="B6763" s="2"/>
      <c r="AA6763" s="3"/>
      <c r="AD6763" s="3"/>
      <c r="AG6763" s="3"/>
      <c r="AJ6763" s="3"/>
    </row>
    <row r="6764" spans="1:36" x14ac:dyDescent="0.25">
      <c r="A6764" s="1"/>
      <c r="B6764" s="2"/>
      <c r="AA6764" s="3"/>
      <c r="AD6764" s="3"/>
      <c r="AG6764" s="3"/>
      <c r="AJ6764" s="3"/>
    </row>
    <row r="6765" spans="1:36" x14ac:dyDescent="0.25">
      <c r="A6765" s="1"/>
      <c r="B6765" s="2"/>
      <c r="AA6765" s="3"/>
      <c r="AD6765" s="3"/>
      <c r="AG6765" s="3"/>
      <c r="AJ6765" s="3"/>
    </row>
    <row r="6766" spans="1:36" x14ac:dyDescent="0.25">
      <c r="A6766" s="1"/>
      <c r="B6766" s="2"/>
      <c r="AA6766" s="3"/>
      <c r="AD6766" s="3"/>
      <c r="AG6766" s="3"/>
      <c r="AJ6766" s="3"/>
    </row>
    <row r="6767" spans="1:36" x14ac:dyDescent="0.25">
      <c r="A6767" s="1"/>
      <c r="B6767" s="2"/>
      <c r="AA6767" s="3"/>
      <c r="AD6767" s="3"/>
      <c r="AG6767" s="3"/>
      <c r="AJ6767" s="3"/>
    </row>
    <row r="6768" spans="1:36" x14ac:dyDescent="0.25">
      <c r="A6768" s="1"/>
      <c r="B6768" s="2"/>
      <c r="AA6768" s="3"/>
      <c r="AD6768" s="3"/>
      <c r="AG6768" s="3"/>
      <c r="AJ6768" s="3"/>
    </row>
    <row r="6769" spans="1:36" x14ac:dyDescent="0.25">
      <c r="A6769" s="1"/>
      <c r="B6769" s="2"/>
      <c r="AA6769" s="3"/>
      <c r="AD6769" s="3"/>
      <c r="AG6769" s="3"/>
      <c r="AJ6769" s="3"/>
    </row>
    <row r="6770" spans="1:36" x14ac:dyDescent="0.25">
      <c r="A6770" s="1"/>
      <c r="B6770" s="2"/>
      <c r="AA6770" s="3"/>
      <c r="AD6770" s="3"/>
      <c r="AG6770" s="3"/>
      <c r="AJ6770" s="3"/>
    </row>
    <row r="6771" spans="1:36" x14ac:dyDescent="0.25">
      <c r="A6771" s="1"/>
      <c r="B6771" s="2"/>
      <c r="AA6771" s="3"/>
      <c r="AD6771" s="3"/>
      <c r="AG6771" s="3"/>
      <c r="AJ6771" s="3"/>
    </row>
    <row r="6772" spans="1:36" x14ac:dyDescent="0.25">
      <c r="A6772" s="1"/>
      <c r="B6772" s="2"/>
      <c r="AA6772" s="3"/>
      <c r="AD6772" s="3"/>
      <c r="AG6772" s="3"/>
      <c r="AJ6772" s="3"/>
    </row>
    <row r="6773" spans="1:36" x14ac:dyDescent="0.25">
      <c r="A6773" s="1"/>
      <c r="B6773" s="2"/>
      <c r="AA6773" s="3"/>
      <c r="AD6773" s="3"/>
      <c r="AG6773" s="3"/>
      <c r="AJ6773" s="3"/>
    </row>
    <row r="6774" spans="1:36" x14ac:dyDescent="0.25">
      <c r="A6774" s="1"/>
      <c r="B6774" s="2"/>
      <c r="AA6774" s="3"/>
      <c r="AD6774" s="3"/>
      <c r="AG6774" s="3"/>
      <c r="AJ6774" s="3"/>
    </row>
    <row r="6775" spans="1:36" x14ac:dyDescent="0.25">
      <c r="A6775" s="1"/>
      <c r="B6775" s="2"/>
      <c r="AA6775" s="3"/>
      <c r="AD6775" s="3"/>
      <c r="AG6775" s="3"/>
      <c r="AJ6775" s="3"/>
    </row>
    <row r="6776" spans="1:36" x14ac:dyDescent="0.25">
      <c r="A6776" s="1"/>
      <c r="B6776" s="2"/>
      <c r="AA6776" s="3"/>
      <c r="AD6776" s="3"/>
      <c r="AG6776" s="3"/>
      <c r="AJ6776" s="3"/>
    </row>
    <row r="6777" spans="1:36" x14ac:dyDescent="0.25">
      <c r="A6777" s="1"/>
      <c r="B6777" s="2"/>
      <c r="AA6777" s="3"/>
      <c r="AD6777" s="3"/>
      <c r="AG6777" s="3"/>
      <c r="AJ6777" s="3"/>
    </row>
    <row r="6778" spans="1:36" x14ac:dyDescent="0.25">
      <c r="A6778" s="1"/>
      <c r="B6778" s="2"/>
      <c r="AA6778" s="3"/>
      <c r="AD6778" s="3"/>
      <c r="AG6778" s="3"/>
      <c r="AJ6778" s="3"/>
    </row>
    <row r="6779" spans="1:36" x14ac:dyDescent="0.25">
      <c r="A6779" s="1"/>
      <c r="B6779" s="2"/>
      <c r="AA6779" s="3"/>
      <c r="AD6779" s="3"/>
      <c r="AG6779" s="3"/>
      <c r="AJ6779" s="3"/>
    </row>
    <row r="6780" spans="1:36" x14ac:dyDescent="0.25">
      <c r="A6780" s="1"/>
      <c r="B6780" s="2"/>
      <c r="AA6780" s="3"/>
      <c r="AD6780" s="3"/>
      <c r="AG6780" s="3"/>
      <c r="AJ6780" s="3"/>
    </row>
    <row r="6781" spans="1:36" x14ac:dyDescent="0.25">
      <c r="A6781" s="1"/>
      <c r="B6781" s="2"/>
      <c r="AA6781" s="3"/>
      <c r="AD6781" s="3"/>
      <c r="AG6781" s="3"/>
      <c r="AJ6781" s="3"/>
    </row>
    <row r="6782" spans="1:36" x14ac:dyDescent="0.25">
      <c r="A6782" s="1"/>
      <c r="B6782" s="2"/>
      <c r="AA6782" s="3"/>
      <c r="AD6782" s="3"/>
      <c r="AG6782" s="3"/>
      <c r="AJ6782" s="3"/>
    </row>
    <row r="6783" spans="1:36" x14ac:dyDescent="0.25">
      <c r="A6783" s="1"/>
      <c r="B6783" s="2"/>
      <c r="AA6783" s="3"/>
      <c r="AD6783" s="3"/>
      <c r="AG6783" s="3"/>
      <c r="AJ6783" s="3"/>
    </row>
    <row r="6784" spans="1:36" x14ac:dyDescent="0.25">
      <c r="A6784" s="1"/>
      <c r="B6784" s="2"/>
      <c r="AA6784" s="3"/>
      <c r="AD6784" s="3"/>
      <c r="AG6784" s="3"/>
      <c r="AJ6784" s="3"/>
    </row>
    <row r="6785" spans="1:36" x14ac:dyDescent="0.25">
      <c r="A6785" s="1"/>
      <c r="B6785" s="2"/>
      <c r="AA6785" s="3"/>
      <c r="AD6785" s="3"/>
      <c r="AG6785" s="3"/>
      <c r="AJ6785" s="3"/>
    </row>
    <row r="6786" spans="1:36" x14ac:dyDescent="0.25">
      <c r="A6786" s="1"/>
      <c r="B6786" s="2"/>
      <c r="AA6786" s="3"/>
      <c r="AD6786" s="3"/>
      <c r="AG6786" s="3"/>
      <c r="AJ6786" s="3"/>
    </row>
    <row r="6787" spans="1:36" x14ac:dyDescent="0.25">
      <c r="A6787" s="1"/>
      <c r="B6787" s="2"/>
      <c r="AA6787" s="3"/>
      <c r="AD6787" s="3"/>
      <c r="AG6787" s="3"/>
      <c r="AJ6787" s="3"/>
    </row>
    <row r="6788" spans="1:36" x14ac:dyDescent="0.25">
      <c r="A6788" s="1"/>
      <c r="B6788" s="2"/>
      <c r="AA6788" s="3"/>
      <c r="AD6788" s="3"/>
      <c r="AG6788" s="3"/>
      <c r="AJ6788" s="3"/>
    </row>
    <row r="6789" spans="1:36" x14ac:dyDescent="0.25">
      <c r="A6789" s="1"/>
      <c r="B6789" s="2"/>
      <c r="AA6789" s="3"/>
      <c r="AD6789" s="3"/>
      <c r="AG6789" s="3"/>
      <c r="AJ6789" s="3"/>
    </row>
    <row r="6790" spans="1:36" x14ac:dyDescent="0.25">
      <c r="A6790" s="1"/>
      <c r="B6790" s="2"/>
      <c r="AA6790" s="3"/>
      <c r="AD6790" s="3"/>
      <c r="AG6790" s="3"/>
      <c r="AJ6790" s="3"/>
    </row>
    <row r="6791" spans="1:36" x14ac:dyDescent="0.25">
      <c r="A6791" s="1"/>
      <c r="B6791" s="2"/>
      <c r="AA6791" s="3"/>
      <c r="AD6791" s="3"/>
      <c r="AG6791" s="3"/>
      <c r="AJ6791" s="3"/>
    </row>
    <row r="6792" spans="1:36" x14ac:dyDescent="0.25">
      <c r="A6792" s="1"/>
      <c r="B6792" s="2"/>
      <c r="AA6792" s="3"/>
      <c r="AD6792" s="3"/>
      <c r="AG6792" s="3"/>
      <c r="AJ6792" s="3"/>
    </row>
    <row r="6793" spans="1:36" x14ac:dyDescent="0.25">
      <c r="A6793" s="1"/>
      <c r="B6793" s="2"/>
      <c r="AA6793" s="3"/>
      <c r="AD6793" s="3"/>
      <c r="AG6793" s="3"/>
      <c r="AJ6793" s="3"/>
    </row>
    <row r="6794" spans="1:36" x14ac:dyDescent="0.25">
      <c r="A6794" s="1"/>
      <c r="B6794" s="2"/>
      <c r="AA6794" s="3"/>
      <c r="AD6794" s="3"/>
      <c r="AG6794" s="3"/>
      <c r="AJ6794" s="3"/>
    </row>
    <row r="6795" spans="1:36" x14ac:dyDescent="0.25">
      <c r="A6795" s="1"/>
      <c r="B6795" s="2"/>
      <c r="AA6795" s="3"/>
      <c r="AD6795" s="3"/>
      <c r="AG6795" s="3"/>
      <c r="AJ6795" s="3"/>
    </row>
    <row r="6796" spans="1:36" x14ac:dyDescent="0.25">
      <c r="A6796" s="1"/>
      <c r="B6796" s="2"/>
      <c r="AA6796" s="3"/>
      <c r="AD6796" s="3"/>
      <c r="AG6796" s="3"/>
      <c r="AJ6796" s="3"/>
    </row>
    <row r="6797" spans="1:36" x14ac:dyDescent="0.25">
      <c r="A6797" s="1"/>
      <c r="B6797" s="2"/>
      <c r="AA6797" s="3"/>
      <c r="AD6797" s="3"/>
      <c r="AG6797" s="3"/>
      <c r="AJ6797" s="3"/>
    </row>
    <row r="6798" spans="1:36" x14ac:dyDescent="0.25">
      <c r="A6798" s="1"/>
      <c r="B6798" s="2"/>
      <c r="AA6798" s="3"/>
      <c r="AD6798" s="3"/>
      <c r="AG6798" s="3"/>
      <c r="AJ6798" s="3"/>
    </row>
    <row r="6799" spans="1:36" x14ac:dyDescent="0.25">
      <c r="A6799" s="1"/>
      <c r="B6799" s="2"/>
      <c r="AA6799" s="3"/>
      <c r="AD6799" s="3"/>
      <c r="AG6799" s="3"/>
      <c r="AJ6799" s="3"/>
    </row>
    <row r="6800" spans="1:36" x14ac:dyDescent="0.25">
      <c r="A6800" s="1"/>
      <c r="B6800" s="2"/>
      <c r="AA6800" s="3"/>
      <c r="AD6800" s="3"/>
      <c r="AG6800" s="3"/>
      <c r="AJ6800" s="3"/>
    </row>
    <row r="6801" spans="1:36" x14ac:dyDescent="0.25">
      <c r="A6801" s="1"/>
      <c r="B6801" s="2"/>
      <c r="AA6801" s="3"/>
      <c r="AD6801" s="3"/>
      <c r="AG6801" s="3"/>
      <c r="AJ6801" s="3"/>
    </row>
    <row r="6802" spans="1:36" x14ac:dyDescent="0.25">
      <c r="A6802" s="1"/>
      <c r="B6802" s="2"/>
      <c r="AA6802" s="3"/>
      <c r="AD6802" s="3"/>
      <c r="AG6802" s="3"/>
      <c r="AJ6802" s="3"/>
    </row>
    <row r="6803" spans="1:36" x14ac:dyDescent="0.25">
      <c r="A6803" s="1"/>
      <c r="B6803" s="2"/>
      <c r="AA6803" s="3"/>
      <c r="AD6803" s="3"/>
      <c r="AG6803" s="3"/>
      <c r="AJ6803" s="3"/>
    </row>
    <row r="6804" spans="1:36" x14ac:dyDescent="0.25">
      <c r="A6804" s="1"/>
      <c r="B6804" s="2"/>
      <c r="AA6804" s="3"/>
      <c r="AD6804" s="3"/>
      <c r="AG6804" s="3"/>
      <c r="AJ6804" s="3"/>
    </row>
    <row r="6805" spans="1:36" x14ac:dyDescent="0.25">
      <c r="A6805" s="1"/>
      <c r="B6805" s="2"/>
      <c r="AA6805" s="3"/>
      <c r="AD6805" s="3"/>
      <c r="AG6805" s="3"/>
      <c r="AJ6805" s="3"/>
    </row>
    <row r="6806" spans="1:36" x14ac:dyDescent="0.25">
      <c r="A6806" s="1"/>
      <c r="B6806" s="2"/>
      <c r="AA6806" s="3"/>
      <c r="AD6806" s="3"/>
      <c r="AG6806" s="3"/>
      <c r="AJ6806" s="3"/>
    </row>
    <row r="6807" spans="1:36" x14ac:dyDescent="0.25">
      <c r="A6807" s="1"/>
      <c r="B6807" s="2"/>
      <c r="AA6807" s="3"/>
      <c r="AD6807" s="3"/>
      <c r="AG6807" s="3"/>
      <c r="AJ6807" s="3"/>
    </row>
    <row r="6808" spans="1:36" x14ac:dyDescent="0.25">
      <c r="A6808" s="1"/>
      <c r="B6808" s="2"/>
      <c r="AA6808" s="3"/>
      <c r="AD6808" s="3"/>
      <c r="AG6808" s="3"/>
      <c r="AJ6808" s="3"/>
    </row>
    <row r="6809" spans="1:36" x14ac:dyDescent="0.25">
      <c r="A6809" s="1"/>
      <c r="B6809" s="2"/>
      <c r="AA6809" s="3"/>
      <c r="AD6809" s="3"/>
      <c r="AG6809" s="3"/>
      <c r="AJ6809" s="3"/>
    </row>
    <row r="6810" spans="1:36" x14ac:dyDescent="0.25">
      <c r="A6810" s="1"/>
      <c r="B6810" s="2"/>
      <c r="AA6810" s="3"/>
      <c r="AD6810" s="3"/>
      <c r="AG6810" s="3"/>
      <c r="AJ6810" s="3"/>
    </row>
    <row r="6811" spans="1:36" x14ac:dyDescent="0.25">
      <c r="A6811" s="1"/>
      <c r="B6811" s="2"/>
      <c r="AA6811" s="3"/>
      <c r="AD6811" s="3"/>
      <c r="AG6811" s="3"/>
      <c r="AJ6811" s="3"/>
    </row>
    <row r="6812" spans="1:36" x14ac:dyDescent="0.25">
      <c r="A6812" s="1"/>
      <c r="B6812" s="2"/>
      <c r="AA6812" s="3"/>
      <c r="AD6812" s="3"/>
      <c r="AG6812" s="3"/>
      <c r="AJ6812" s="3"/>
    </row>
    <row r="6813" spans="1:36" x14ac:dyDescent="0.25">
      <c r="A6813" s="1"/>
      <c r="B6813" s="2"/>
      <c r="AA6813" s="3"/>
      <c r="AD6813" s="3"/>
      <c r="AG6813" s="3"/>
      <c r="AJ6813" s="3"/>
    </row>
    <row r="6814" spans="1:36" x14ac:dyDescent="0.25">
      <c r="A6814" s="1"/>
      <c r="B6814" s="2"/>
      <c r="AA6814" s="3"/>
      <c r="AD6814" s="3"/>
      <c r="AG6814" s="3"/>
      <c r="AJ6814" s="3"/>
    </row>
    <row r="6815" spans="1:36" x14ac:dyDescent="0.25">
      <c r="A6815" s="1"/>
      <c r="B6815" s="2"/>
      <c r="AA6815" s="3"/>
      <c r="AD6815" s="3"/>
      <c r="AG6815" s="3"/>
      <c r="AJ6815" s="3"/>
    </row>
    <row r="6816" spans="1:36" x14ac:dyDescent="0.25">
      <c r="A6816" s="1"/>
      <c r="B6816" s="2"/>
      <c r="AA6816" s="3"/>
      <c r="AD6816" s="3"/>
      <c r="AG6816" s="3"/>
      <c r="AJ6816" s="3"/>
    </row>
    <row r="6817" spans="1:36" x14ac:dyDescent="0.25">
      <c r="A6817" s="1"/>
      <c r="B6817" s="2"/>
      <c r="AA6817" s="3"/>
      <c r="AD6817" s="3"/>
      <c r="AG6817" s="3"/>
      <c r="AJ6817" s="3"/>
    </row>
    <row r="6818" spans="1:36" x14ac:dyDescent="0.25">
      <c r="A6818" s="1"/>
      <c r="B6818" s="2"/>
      <c r="AA6818" s="3"/>
      <c r="AD6818" s="3"/>
      <c r="AG6818" s="3"/>
      <c r="AJ6818" s="3"/>
    </row>
    <row r="6819" spans="1:36" x14ac:dyDescent="0.25">
      <c r="A6819" s="1"/>
      <c r="B6819" s="2"/>
      <c r="AA6819" s="3"/>
      <c r="AD6819" s="3"/>
      <c r="AG6819" s="3"/>
      <c r="AJ6819" s="3"/>
    </row>
    <row r="6820" spans="1:36" x14ac:dyDescent="0.25">
      <c r="A6820" s="1"/>
      <c r="B6820" s="2"/>
      <c r="AA6820" s="3"/>
      <c r="AD6820" s="3"/>
      <c r="AG6820" s="3"/>
      <c r="AJ6820" s="3"/>
    </row>
    <row r="6821" spans="1:36" x14ac:dyDescent="0.25">
      <c r="A6821" s="1"/>
      <c r="B6821" s="2"/>
      <c r="AA6821" s="3"/>
      <c r="AD6821" s="3"/>
      <c r="AG6821" s="3"/>
      <c r="AJ6821" s="3"/>
    </row>
    <row r="6822" spans="1:36" x14ac:dyDescent="0.25">
      <c r="A6822" s="1"/>
      <c r="B6822" s="2"/>
      <c r="AA6822" s="3"/>
      <c r="AD6822" s="3"/>
      <c r="AG6822" s="3"/>
      <c r="AJ6822" s="3"/>
    </row>
    <row r="6823" spans="1:36" x14ac:dyDescent="0.25">
      <c r="A6823" s="1"/>
      <c r="B6823" s="2"/>
      <c r="AA6823" s="3"/>
      <c r="AD6823" s="3"/>
      <c r="AG6823" s="3"/>
      <c r="AJ6823" s="3"/>
    </row>
    <row r="6824" spans="1:36" x14ac:dyDescent="0.25">
      <c r="A6824" s="1"/>
      <c r="B6824" s="2"/>
      <c r="AA6824" s="3"/>
      <c r="AD6824" s="3"/>
      <c r="AG6824" s="3"/>
      <c r="AJ6824" s="3"/>
    </row>
    <row r="6825" spans="1:36" x14ac:dyDescent="0.25">
      <c r="A6825" s="1"/>
      <c r="B6825" s="2"/>
      <c r="AA6825" s="3"/>
      <c r="AD6825" s="3"/>
      <c r="AG6825" s="3"/>
      <c r="AJ6825" s="3"/>
    </row>
    <row r="6826" spans="1:36" x14ac:dyDescent="0.25">
      <c r="A6826" s="1"/>
      <c r="B6826" s="2"/>
      <c r="AA6826" s="3"/>
      <c r="AD6826" s="3"/>
      <c r="AG6826" s="3"/>
      <c r="AJ6826" s="3"/>
    </row>
    <row r="6827" spans="1:36" x14ac:dyDescent="0.25">
      <c r="A6827" s="1"/>
      <c r="B6827" s="2"/>
      <c r="AA6827" s="3"/>
      <c r="AD6827" s="3"/>
      <c r="AG6827" s="3"/>
      <c r="AJ6827" s="3"/>
    </row>
    <row r="6828" spans="1:36" x14ac:dyDescent="0.25">
      <c r="A6828" s="1"/>
      <c r="B6828" s="2"/>
      <c r="AA6828" s="3"/>
      <c r="AD6828" s="3"/>
      <c r="AG6828" s="3"/>
      <c r="AJ6828" s="3"/>
    </row>
    <row r="6829" spans="1:36" x14ac:dyDescent="0.25">
      <c r="A6829" s="1"/>
      <c r="B6829" s="2"/>
      <c r="AA6829" s="3"/>
      <c r="AD6829" s="3"/>
      <c r="AG6829" s="3"/>
      <c r="AJ6829" s="3"/>
    </row>
    <row r="6830" spans="1:36" x14ac:dyDescent="0.25">
      <c r="A6830" s="1"/>
      <c r="B6830" s="2"/>
      <c r="AA6830" s="3"/>
      <c r="AD6830" s="3"/>
      <c r="AG6830" s="3"/>
      <c r="AJ6830" s="3"/>
    </row>
    <row r="6831" spans="1:36" x14ac:dyDescent="0.25">
      <c r="A6831" s="1"/>
      <c r="B6831" s="2"/>
      <c r="AA6831" s="3"/>
      <c r="AD6831" s="3"/>
      <c r="AG6831" s="3"/>
      <c r="AJ6831" s="3"/>
    </row>
    <row r="6832" spans="1:36" x14ac:dyDescent="0.25">
      <c r="A6832" s="1"/>
      <c r="B6832" s="2"/>
      <c r="AA6832" s="3"/>
      <c r="AD6832" s="3"/>
      <c r="AG6832" s="3"/>
      <c r="AJ6832" s="3"/>
    </row>
    <row r="6833" spans="1:36" x14ac:dyDescent="0.25">
      <c r="A6833" s="1"/>
      <c r="B6833" s="2"/>
      <c r="AA6833" s="3"/>
      <c r="AD6833" s="3"/>
      <c r="AG6833" s="3"/>
      <c r="AJ6833" s="3"/>
    </row>
    <row r="6834" spans="1:36" x14ac:dyDescent="0.25">
      <c r="A6834" s="1"/>
      <c r="B6834" s="2"/>
      <c r="AA6834" s="3"/>
      <c r="AD6834" s="3"/>
      <c r="AG6834" s="3"/>
      <c r="AJ6834" s="3"/>
    </row>
    <row r="6835" spans="1:36" x14ac:dyDescent="0.25">
      <c r="A6835" s="1"/>
      <c r="B6835" s="2"/>
      <c r="AA6835" s="3"/>
      <c r="AD6835" s="3"/>
      <c r="AG6835" s="3"/>
      <c r="AJ6835" s="3"/>
    </row>
    <row r="6836" spans="1:36" x14ac:dyDescent="0.25">
      <c r="A6836" s="1"/>
      <c r="B6836" s="2"/>
      <c r="AA6836" s="3"/>
      <c r="AD6836" s="3"/>
      <c r="AG6836" s="3"/>
      <c r="AJ6836" s="3"/>
    </row>
    <row r="6837" spans="1:36" x14ac:dyDescent="0.25">
      <c r="A6837" s="1"/>
      <c r="B6837" s="2"/>
      <c r="AA6837" s="3"/>
      <c r="AD6837" s="3"/>
      <c r="AG6837" s="3"/>
      <c r="AJ6837" s="3"/>
    </row>
    <row r="6838" spans="1:36" x14ac:dyDescent="0.25">
      <c r="A6838" s="1"/>
      <c r="B6838" s="2"/>
      <c r="AA6838" s="3"/>
      <c r="AD6838" s="3"/>
      <c r="AG6838" s="3"/>
      <c r="AJ6838" s="3"/>
    </row>
    <row r="6839" spans="1:36" x14ac:dyDescent="0.25">
      <c r="A6839" s="1"/>
      <c r="B6839" s="2"/>
      <c r="AA6839" s="3"/>
      <c r="AD6839" s="3"/>
      <c r="AG6839" s="3"/>
      <c r="AJ6839" s="3"/>
    </row>
    <row r="6840" spans="1:36" x14ac:dyDescent="0.25">
      <c r="A6840" s="1"/>
      <c r="B6840" s="2"/>
      <c r="AA6840" s="3"/>
      <c r="AD6840" s="3"/>
      <c r="AG6840" s="3"/>
      <c r="AJ6840" s="3"/>
    </row>
    <row r="6841" spans="1:36" x14ac:dyDescent="0.25">
      <c r="A6841" s="1"/>
      <c r="B6841" s="2"/>
      <c r="AA6841" s="3"/>
      <c r="AD6841" s="3"/>
      <c r="AG6841" s="3"/>
      <c r="AJ6841" s="3"/>
    </row>
    <row r="6842" spans="1:36" x14ac:dyDescent="0.25">
      <c r="A6842" s="1"/>
      <c r="B6842" s="2"/>
      <c r="AA6842" s="3"/>
      <c r="AD6842" s="3"/>
      <c r="AG6842" s="3"/>
      <c r="AJ6842" s="3"/>
    </row>
    <row r="6843" spans="1:36" x14ac:dyDescent="0.25">
      <c r="A6843" s="1"/>
      <c r="B6843" s="2"/>
      <c r="AA6843" s="3"/>
      <c r="AD6843" s="3"/>
      <c r="AG6843" s="3"/>
      <c r="AJ6843" s="3"/>
    </row>
    <row r="6844" spans="1:36" x14ac:dyDescent="0.25">
      <c r="A6844" s="1"/>
      <c r="B6844" s="2"/>
      <c r="AA6844" s="3"/>
      <c r="AD6844" s="3"/>
      <c r="AG6844" s="3"/>
      <c r="AJ6844" s="3"/>
    </row>
    <row r="6845" spans="1:36" x14ac:dyDescent="0.25">
      <c r="A6845" s="1"/>
      <c r="B6845" s="2"/>
      <c r="AA6845" s="3"/>
      <c r="AD6845" s="3"/>
      <c r="AG6845" s="3"/>
      <c r="AJ6845" s="3"/>
    </row>
    <row r="6846" spans="1:36" x14ac:dyDescent="0.25">
      <c r="A6846" s="1"/>
      <c r="B6846" s="2"/>
      <c r="AA6846" s="3"/>
      <c r="AD6846" s="3"/>
      <c r="AG6846" s="3"/>
      <c r="AJ6846" s="3"/>
    </row>
    <row r="6847" spans="1:36" x14ac:dyDescent="0.25">
      <c r="A6847" s="1"/>
      <c r="B6847" s="2"/>
      <c r="AA6847" s="3"/>
      <c r="AD6847" s="3"/>
      <c r="AG6847" s="3"/>
      <c r="AJ6847" s="3"/>
    </row>
    <row r="6848" spans="1:36" x14ac:dyDescent="0.25">
      <c r="A6848" s="1"/>
      <c r="B6848" s="2"/>
      <c r="AA6848" s="3"/>
      <c r="AD6848" s="3"/>
      <c r="AG6848" s="3"/>
      <c r="AJ6848" s="3"/>
    </row>
    <row r="6849" spans="1:36" x14ac:dyDescent="0.25">
      <c r="A6849" s="1"/>
      <c r="B6849" s="2"/>
      <c r="AA6849" s="3"/>
      <c r="AD6849" s="3"/>
      <c r="AG6849" s="3"/>
      <c r="AJ6849" s="3"/>
    </row>
    <row r="6850" spans="1:36" x14ac:dyDescent="0.25">
      <c r="A6850" s="1"/>
      <c r="B6850" s="2"/>
      <c r="AA6850" s="3"/>
      <c r="AD6850" s="3"/>
      <c r="AG6850" s="3"/>
      <c r="AJ6850" s="3"/>
    </row>
    <row r="6851" spans="1:36" x14ac:dyDescent="0.25">
      <c r="A6851" s="1"/>
      <c r="B6851" s="2"/>
      <c r="AA6851" s="3"/>
      <c r="AD6851" s="3"/>
      <c r="AG6851" s="3"/>
      <c r="AJ6851" s="3"/>
    </row>
    <row r="6852" spans="1:36" x14ac:dyDescent="0.25">
      <c r="A6852" s="1"/>
      <c r="B6852" s="2"/>
      <c r="AA6852" s="3"/>
      <c r="AD6852" s="3"/>
      <c r="AG6852" s="3"/>
      <c r="AJ6852" s="3"/>
    </row>
    <row r="6853" spans="1:36" x14ac:dyDescent="0.25">
      <c r="A6853" s="1"/>
      <c r="B6853" s="2"/>
      <c r="AA6853" s="3"/>
      <c r="AD6853" s="3"/>
      <c r="AG6853" s="3"/>
      <c r="AJ6853" s="3"/>
    </row>
    <row r="6854" spans="1:36" x14ac:dyDescent="0.25">
      <c r="A6854" s="1"/>
      <c r="B6854" s="2"/>
      <c r="AA6854" s="3"/>
      <c r="AD6854" s="3"/>
      <c r="AG6854" s="3"/>
      <c r="AJ6854" s="3"/>
    </row>
    <row r="6855" spans="1:36" x14ac:dyDescent="0.25">
      <c r="A6855" s="1"/>
      <c r="B6855" s="2"/>
      <c r="AA6855" s="3"/>
      <c r="AD6855" s="3"/>
      <c r="AG6855" s="3"/>
      <c r="AJ6855" s="3"/>
    </row>
    <row r="6856" spans="1:36" x14ac:dyDescent="0.25">
      <c r="A6856" s="1"/>
      <c r="B6856" s="2"/>
      <c r="AA6856" s="3"/>
      <c r="AD6856" s="3"/>
      <c r="AG6856" s="3"/>
      <c r="AJ6856" s="3"/>
    </row>
    <row r="6857" spans="1:36" x14ac:dyDescent="0.25">
      <c r="A6857" s="1"/>
      <c r="B6857" s="2"/>
      <c r="AA6857" s="3"/>
      <c r="AD6857" s="3"/>
      <c r="AG6857" s="3"/>
      <c r="AJ6857" s="3"/>
    </row>
    <row r="6858" spans="1:36" x14ac:dyDescent="0.25">
      <c r="A6858" s="1"/>
      <c r="B6858" s="2"/>
      <c r="AA6858" s="3"/>
      <c r="AD6858" s="3"/>
      <c r="AG6858" s="3"/>
      <c r="AJ6858" s="3"/>
    </row>
    <row r="6859" spans="1:36" x14ac:dyDescent="0.25">
      <c r="A6859" s="1"/>
      <c r="B6859" s="2"/>
      <c r="AA6859" s="3"/>
      <c r="AD6859" s="3"/>
      <c r="AG6859" s="3"/>
      <c r="AJ6859" s="3"/>
    </row>
    <row r="6860" spans="1:36" x14ac:dyDescent="0.25">
      <c r="A6860" s="1"/>
      <c r="B6860" s="2"/>
      <c r="AA6860" s="3"/>
      <c r="AD6860" s="3"/>
      <c r="AG6860" s="3"/>
      <c r="AJ6860" s="3"/>
    </row>
    <row r="6861" spans="1:36" x14ac:dyDescent="0.25">
      <c r="A6861" s="1"/>
      <c r="B6861" s="2"/>
      <c r="AA6861" s="3"/>
      <c r="AD6861" s="3"/>
      <c r="AG6861" s="3"/>
      <c r="AJ6861" s="3"/>
    </row>
    <row r="6862" spans="1:36" x14ac:dyDescent="0.25">
      <c r="A6862" s="1"/>
      <c r="B6862" s="2"/>
      <c r="AA6862" s="3"/>
      <c r="AD6862" s="3"/>
      <c r="AG6862" s="3"/>
      <c r="AJ6862" s="3"/>
    </row>
    <row r="6863" spans="1:36" x14ac:dyDescent="0.25">
      <c r="A6863" s="1"/>
      <c r="B6863" s="2"/>
      <c r="AA6863" s="3"/>
      <c r="AD6863" s="3"/>
      <c r="AG6863" s="3"/>
      <c r="AJ6863" s="3"/>
    </row>
    <row r="6864" spans="1:36" x14ac:dyDescent="0.25">
      <c r="A6864" s="1"/>
      <c r="B6864" s="2"/>
      <c r="AA6864" s="3"/>
      <c r="AD6864" s="3"/>
      <c r="AG6864" s="3"/>
      <c r="AJ6864" s="3"/>
    </row>
    <row r="6865" spans="1:36" x14ac:dyDescent="0.25">
      <c r="A6865" s="1"/>
      <c r="B6865" s="2"/>
      <c r="AA6865" s="3"/>
      <c r="AD6865" s="3"/>
      <c r="AG6865" s="3"/>
      <c r="AJ6865" s="3"/>
    </row>
    <row r="6866" spans="1:36" x14ac:dyDescent="0.25">
      <c r="A6866" s="1"/>
      <c r="B6866" s="2"/>
      <c r="AA6866" s="3"/>
      <c r="AD6866" s="3"/>
      <c r="AG6866" s="3"/>
      <c r="AJ6866" s="3"/>
    </row>
    <row r="6867" spans="1:36" x14ac:dyDescent="0.25">
      <c r="A6867" s="1"/>
      <c r="B6867" s="2"/>
      <c r="AA6867" s="3"/>
      <c r="AD6867" s="3"/>
      <c r="AG6867" s="3"/>
      <c r="AJ6867" s="3"/>
    </row>
    <row r="6868" spans="1:36" x14ac:dyDescent="0.25">
      <c r="A6868" s="1"/>
      <c r="B6868" s="2"/>
      <c r="AA6868" s="3"/>
      <c r="AD6868" s="3"/>
      <c r="AG6868" s="3"/>
      <c r="AJ6868" s="3"/>
    </row>
    <row r="6869" spans="1:36" x14ac:dyDescent="0.25">
      <c r="A6869" s="1"/>
      <c r="B6869" s="2"/>
      <c r="AA6869" s="3"/>
      <c r="AD6869" s="3"/>
      <c r="AG6869" s="3"/>
      <c r="AJ6869" s="3"/>
    </row>
    <row r="6870" spans="1:36" x14ac:dyDescent="0.25">
      <c r="A6870" s="1"/>
      <c r="B6870" s="2"/>
      <c r="AA6870" s="3"/>
      <c r="AD6870" s="3"/>
      <c r="AG6870" s="3"/>
      <c r="AJ6870" s="3"/>
    </row>
    <row r="6871" spans="1:36" x14ac:dyDescent="0.25">
      <c r="A6871" s="1"/>
      <c r="B6871" s="2"/>
      <c r="AA6871" s="3"/>
      <c r="AD6871" s="3"/>
      <c r="AG6871" s="3"/>
      <c r="AJ6871" s="3"/>
    </row>
    <row r="6872" spans="1:36" x14ac:dyDescent="0.25">
      <c r="A6872" s="1"/>
      <c r="B6872" s="2"/>
      <c r="AA6872" s="3"/>
      <c r="AD6872" s="3"/>
      <c r="AG6872" s="3"/>
      <c r="AJ6872" s="3"/>
    </row>
    <row r="6873" spans="1:36" x14ac:dyDescent="0.25">
      <c r="A6873" s="1"/>
      <c r="B6873" s="2"/>
      <c r="AA6873" s="3"/>
      <c r="AD6873" s="3"/>
      <c r="AG6873" s="3"/>
      <c r="AJ6873" s="3"/>
    </row>
    <row r="6874" spans="1:36" x14ac:dyDescent="0.25">
      <c r="A6874" s="1"/>
      <c r="B6874" s="2"/>
      <c r="AA6874" s="3"/>
      <c r="AD6874" s="3"/>
      <c r="AG6874" s="3"/>
      <c r="AJ6874" s="3"/>
    </row>
    <row r="6875" spans="1:36" x14ac:dyDescent="0.25">
      <c r="A6875" s="1"/>
      <c r="B6875" s="2"/>
      <c r="AA6875" s="3"/>
      <c r="AD6875" s="3"/>
      <c r="AG6875" s="3"/>
      <c r="AJ6875" s="3"/>
    </row>
    <row r="6876" spans="1:36" x14ac:dyDescent="0.25">
      <c r="A6876" s="1"/>
      <c r="B6876" s="2"/>
      <c r="AA6876" s="3"/>
      <c r="AD6876" s="3"/>
      <c r="AG6876" s="3"/>
      <c r="AJ6876" s="3"/>
    </row>
    <row r="6877" spans="1:36" x14ac:dyDescent="0.25">
      <c r="A6877" s="1"/>
      <c r="B6877" s="2"/>
      <c r="AA6877" s="3"/>
      <c r="AD6877" s="3"/>
      <c r="AG6877" s="3"/>
      <c r="AJ6877" s="3"/>
    </row>
    <row r="6878" spans="1:36" x14ac:dyDescent="0.25">
      <c r="A6878" s="1"/>
      <c r="B6878" s="2"/>
      <c r="AA6878" s="3"/>
      <c r="AD6878" s="3"/>
      <c r="AG6878" s="3"/>
      <c r="AJ6878" s="3"/>
    </row>
    <row r="6879" spans="1:36" x14ac:dyDescent="0.25">
      <c r="A6879" s="1"/>
      <c r="B6879" s="2"/>
      <c r="AA6879" s="3"/>
      <c r="AD6879" s="3"/>
      <c r="AG6879" s="3"/>
      <c r="AJ6879" s="3"/>
    </row>
    <row r="6880" spans="1:36" x14ac:dyDescent="0.25">
      <c r="A6880" s="1"/>
      <c r="B6880" s="2"/>
      <c r="AA6880" s="3"/>
      <c r="AD6880" s="3"/>
      <c r="AG6880" s="3"/>
      <c r="AJ6880" s="3"/>
    </row>
    <row r="6881" spans="1:36" x14ac:dyDescent="0.25">
      <c r="A6881" s="1"/>
      <c r="B6881" s="2"/>
      <c r="AA6881" s="3"/>
      <c r="AD6881" s="3"/>
      <c r="AG6881" s="3"/>
      <c r="AJ6881" s="3"/>
    </row>
    <row r="6882" spans="1:36" x14ac:dyDescent="0.25">
      <c r="A6882" s="1"/>
      <c r="B6882" s="2"/>
      <c r="AA6882" s="3"/>
      <c r="AD6882" s="3"/>
      <c r="AG6882" s="3"/>
      <c r="AJ6882" s="3"/>
    </row>
    <row r="6883" spans="1:36" x14ac:dyDescent="0.25">
      <c r="A6883" s="1"/>
      <c r="B6883" s="2"/>
      <c r="AA6883" s="3"/>
      <c r="AD6883" s="3"/>
      <c r="AG6883" s="3"/>
      <c r="AJ6883" s="3"/>
    </row>
    <row r="6884" spans="1:36" x14ac:dyDescent="0.25">
      <c r="A6884" s="1"/>
      <c r="B6884" s="2"/>
      <c r="AA6884" s="3"/>
      <c r="AD6884" s="3"/>
      <c r="AG6884" s="3"/>
      <c r="AJ6884" s="3"/>
    </row>
    <row r="6885" spans="1:36" x14ac:dyDescent="0.25">
      <c r="A6885" s="1"/>
      <c r="B6885" s="2"/>
      <c r="AA6885" s="3"/>
      <c r="AD6885" s="3"/>
      <c r="AG6885" s="3"/>
      <c r="AJ6885" s="3"/>
    </row>
    <row r="6886" spans="1:36" x14ac:dyDescent="0.25">
      <c r="A6886" s="1"/>
      <c r="B6886" s="2"/>
      <c r="AA6886" s="3"/>
      <c r="AD6886" s="3"/>
      <c r="AG6886" s="3"/>
      <c r="AJ6886" s="3"/>
    </row>
    <row r="6887" spans="1:36" x14ac:dyDescent="0.25">
      <c r="A6887" s="1"/>
      <c r="B6887" s="2"/>
      <c r="AA6887" s="3"/>
      <c r="AD6887" s="3"/>
      <c r="AG6887" s="3"/>
      <c r="AJ6887" s="3"/>
    </row>
    <row r="6888" spans="1:36" x14ac:dyDescent="0.25">
      <c r="A6888" s="1"/>
      <c r="B6888" s="2"/>
      <c r="AA6888" s="3"/>
      <c r="AD6888" s="3"/>
      <c r="AG6888" s="3"/>
      <c r="AJ6888" s="3"/>
    </row>
    <row r="6889" spans="1:36" x14ac:dyDescent="0.25">
      <c r="A6889" s="1"/>
      <c r="B6889" s="2"/>
      <c r="AA6889" s="3"/>
      <c r="AD6889" s="3"/>
      <c r="AG6889" s="3"/>
      <c r="AJ6889" s="3"/>
    </row>
    <row r="6890" spans="1:36" x14ac:dyDescent="0.25">
      <c r="A6890" s="1"/>
      <c r="B6890" s="2"/>
      <c r="AA6890" s="3"/>
      <c r="AD6890" s="3"/>
      <c r="AG6890" s="3"/>
      <c r="AJ6890" s="3"/>
    </row>
    <row r="6891" spans="1:36" x14ac:dyDescent="0.25">
      <c r="A6891" s="1"/>
      <c r="B6891" s="2"/>
      <c r="AA6891" s="3"/>
      <c r="AD6891" s="3"/>
      <c r="AG6891" s="3"/>
      <c r="AJ6891" s="3"/>
    </row>
    <row r="6892" spans="1:36" x14ac:dyDescent="0.25">
      <c r="A6892" s="1"/>
      <c r="B6892" s="2"/>
      <c r="AA6892" s="3"/>
      <c r="AD6892" s="3"/>
      <c r="AG6892" s="3"/>
      <c r="AJ6892" s="3"/>
    </row>
    <row r="6893" spans="1:36" x14ac:dyDescent="0.25">
      <c r="A6893" s="1"/>
      <c r="B6893" s="2"/>
      <c r="AA6893" s="3"/>
      <c r="AD6893" s="3"/>
      <c r="AG6893" s="3"/>
      <c r="AJ6893" s="3"/>
    </row>
    <row r="6894" spans="1:36" x14ac:dyDescent="0.25">
      <c r="A6894" s="1"/>
      <c r="B6894" s="2"/>
      <c r="AA6894" s="3"/>
      <c r="AD6894" s="3"/>
      <c r="AG6894" s="3"/>
      <c r="AJ6894" s="3"/>
    </row>
    <row r="6895" spans="1:36" x14ac:dyDescent="0.25">
      <c r="A6895" s="1"/>
      <c r="B6895" s="2"/>
      <c r="AA6895" s="3"/>
      <c r="AD6895" s="3"/>
      <c r="AG6895" s="3"/>
      <c r="AJ6895" s="3"/>
    </row>
    <row r="6896" spans="1:36" x14ac:dyDescent="0.25">
      <c r="A6896" s="1"/>
      <c r="B6896" s="2"/>
      <c r="AA6896" s="3"/>
      <c r="AD6896" s="3"/>
      <c r="AG6896" s="3"/>
      <c r="AJ6896" s="3"/>
    </row>
    <row r="6897" spans="1:36" x14ac:dyDescent="0.25">
      <c r="A6897" s="1"/>
      <c r="B6897" s="2"/>
      <c r="AA6897" s="3"/>
      <c r="AD6897" s="3"/>
      <c r="AG6897" s="3"/>
      <c r="AJ6897" s="3"/>
    </row>
    <row r="6898" spans="1:36" x14ac:dyDescent="0.25">
      <c r="A6898" s="1"/>
      <c r="B6898" s="2"/>
      <c r="AA6898" s="3"/>
      <c r="AD6898" s="3"/>
      <c r="AG6898" s="3"/>
      <c r="AJ6898" s="3"/>
    </row>
    <row r="6899" spans="1:36" x14ac:dyDescent="0.25">
      <c r="A6899" s="1"/>
      <c r="B6899" s="2"/>
      <c r="AA6899" s="3"/>
      <c r="AD6899" s="3"/>
      <c r="AG6899" s="3"/>
      <c r="AJ6899" s="3"/>
    </row>
    <row r="6900" spans="1:36" x14ac:dyDescent="0.25">
      <c r="A6900" s="1"/>
      <c r="B6900" s="2"/>
      <c r="AA6900" s="3"/>
      <c r="AD6900" s="3"/>
      <c r="AG6900" s="3"/>
      <c r="AJ6900" s="3"/>
    </row>
    <row r="6901" spans="1:36" x14ac:dyDescent="0.25">
      <c r="A6901" s="1"/>
      <c r="B6901" s="2"/>
      <c r="AA6901" s="3"/>
      <c r="AD6901" s="3"/>
      <c r="AG6901" s="3"/>
      <c r="AJ6901" s="3"/>
    </row>
    <row r="6902" spans="1:36" x14ac:dyDescent="0.25">
      <c r="A6902" s="1"/>
      <c r="B6902" s="2"/>
      <c r="AA6902" s="3"/>
      <c r="AD6902" s="3"/>
      <c r="AG6902" s="3"/>
      <c r="AJ6902" s="3"/>
    </row>
    <row r="6903" spans="1:36" x14ac:dyDescent="0.25">
      <c r="A6903" s="1"/>
      <c r="B6903" s="2"/>
      <c r="AA6903" s="3"/>
      <c r="AD6903" s="3"/>
      <c r="AG6903" s="3"/>
      <c r="AJ6903" s="3"/>
    </row>
    <row r="6904" spans="1:36" x14ac:dyDescent="0.25">
      <c r="A6904" s="1"/>
      <c r="B6904" s="2"/>
      <c r="AA6904" s="3"/>
      <c r="AD6904" s="3"/>
      <c r="AG6904" s="3"/>
      <c r="AJ6904" s="3"/>
    </row>
    <row r="6905" spans="1:36" x14ac:dyDescent="0.25">
      <c r="A6905" s="1"/>
      <c r="B6905" s="2"/>
      <c r="AA6905" s="3"/>
      <c r="AD6905" s="3"/>
      <c r="AG6905" s="3"/>
      <c r="AJ6905" s="3"/>
    </row>
    <row r="6906" spans="1:36" x14ac:dyDescent="0.25">
      <c r="A6906" s="1"/>
      <c r="B6906" s="2"/>
      <c r="AA6906" s="3"/>
      <c r="AD6906" s="3"/>
      <c r="AG6906" s="3"/>
      <c r="AJ6906" s="3"/>
    </row>
    <row r="6907" spans="1:36" x14ac:dyDescent="0.25">
      <c r="A6907" s="1"/>
      <c r="B6907" s="2"/>
      <c r="AA6907" s="3"/>
      <c r="AD6907" s="3"/>
      <c r="AG6907" s="3"/>
      <c r="AJ6907" s="3"/>
    </row>
    <row r="6908" spans="1:36" x14ac:dyDescent="0.25">
      <c r="A6908" s="1"/>
      <c r="B6908" s="2"/>
      <c r="AA6908" s="3"/>
      <c r="AD6908" s="3"/>
      <c r="AG6908" s="3"/>
      <c r="AJ6908" s="3"/>
    </row>
    <row r="6909" spans="1:36" x14ac:dyDescent="0.25">
      <c r="A6909" s="1"/>
      <c r="B6909" s="2"/>
      <c r="AA6909" s="3"/>
      <c r="AD6909" s="3"/>
      <c r="AG6909" s="3"/>
      <c r="AJ6909" s="3"/>
    </row>
    <row r="6910" spans="1:36" x14ac:dyDescent="0.25">
      <c r="A6910" s="1"/>
      <c r="B6910" s="2"/>
      <c r="AA6910" s="3"/>
      <c r="AD6910" s="3"/>
      <c r="AG6910" s="3"/>
      <c r="AJ6910" s="3"/>
    </row>
    <row r="6911" spans="1:36" x14ac:dyDescent="0.25">
      <c r="A6911" s="1"/>
      <c r="B6911" s="2"/>
      <c r="AA6911" s="3"/>
      <c r="AD6911" s="3"/>
      <c r="AG6911" s="3"/>
      <c r="AJ6911" s="3"/>
    </row>
    <row r="6912" spans="1:36" x14ac:dyDescent="0.25">
      <c r="A6912" s="1"/>
      <c r="B6912" s="2"/>
      <c r="AA6912" s="3"/>
      <c r="AD6912" s="3"/>
      <c r="AG6912" s="3"/>
      <c r="AJ6912" s="3"/>
    </row>
    <row r="6913" spans="1:36" x14ac:dyDescent="0.25">
      <c r="A6913" s="1"/>
      <c r="B6913" s="2"/>
      <c r="AA6913" s="3"/>
      <c r="AD6913" s="3"/>
      <c r="AG6913" s="3"/>
      <c r="AJ6913" s="3"/>
    </row>
    <row r="6914" spans="1:36" x14ac:dyDescent="0.25">
      <c r="A6914" s="1"/>
      <c r="B6914" s="2"/>
      <c r="AA6914" s="3"/>
      <c r="AD6914" s="3"/>
      <c r="AG6914" s="3"/>
      <c r="AJ6914" s="3"/>
    </row>
    <row r="6915" spans="1:36" x14ac:dyDescent="0.25">
      <c r="A6915" s="1"/>
      <c r="B6915" s="2"/>
      <c r="AA6915" s="3"/>
      <c r="AD6915" s="3"/>
      <c r="AG6915" s="3"/>
      <c r="AJ6915" s="3"/>
    </row>
    <row r="6916" spans="1:36" x14ac:dyDescent="0.25">
      <c r="A6916" s="1"/>
      <c r="B6916" s="2"/>
      <c r="AA6916" s="3"/>
      <c r="AD6916" s="3"/>
      <c r="AG6916" s="3"/>
      <c r="AJ6916" s="3"/>
    </row>
    <row r="6917" spans="1:36" x14ac:dyDescent="0.25">
      <c r="A6917" s="1"/>
      <c r="B6917" s="2"/>
      <c r="AA6917" s="3"/>
      <c r="AD6917" s="3"/>
      <c r="AG6917" s="3"/>
      <c r="AJ6917" s="3"/>
    </row>
    <row r="6918" spans="1:36" x14ac:dyDescent="0.25">
      <c r="A6918" s="1"/>
      <c r="B6918" s="2"/>
      <c r="AA6918" s="3"/>
      <c r="AD6918" s="3"/>
      <c r="AG6918" s="3"/>
      <c r="AJ6918" s="3"/>
    </row>
    <row r="6919" spans="1:36" x14ac:dyDescent="0.25">
      <c r="A6919" s="1"/>
      <c r="B6919" s="2"/>
      <c r="AA6919" s="3"/>
      <c r="AD6919" s="3"/>
      <c r="AG6919" s="3"/>
      <c r="AJ6919" s="3"/>
    </row>
    <row r="6920" spans="1:36" x14ac:dyDescent="0.25">
      <c r="A6920" s="1"/>
      <c r="B6920" s="2"/>
      <c r="AA6920" s="3"/>
      <c r="AD6920" s="3"/>
      <c r="AG6920" s="3"/>
      <c r="AJ6920" s="3"/>
    </row>
    <row r="6921" spans="1:36" x14ac:dyDescent="0.25">
      <c r="A6921" s="1"/>
      <c r="B6921" s="2"/>
      <c r="AA6921" s="3"/>
      <c r="AD6921" s="3"/>
      <c r="AG6921" s="3"/>
      <c r="AJ6921" s="3"/>
    </row>
    <row r="6922" spans="1:36" x14ac:dyDescent="0.25">
      <c r="A6922" s="1"/>
      <c r="B6922" s="2"/>
      <c r="AA6922" s="3"/>
      <c r="AD6922" s="3"/>
      <c r="AG6922" s="3"/>
      <c r="AJ6922" s="3"/>
    </row>
    <row r="6923" spans="1:36" x14ac:dyDescent="0.25">
      <c r="A6923" s="1"/>
      <c r="B6923" s="2"/>
      <c r="AA6923" s="3"/>
      <c r="AD6923" s="3"/>
      <c r="AG6923" s="3"/>
      <c r="AJ6923" s="3"/>
    </row>
    <row r="6924" spans="1:36" x14ac:dyDescent="0.25">
      <c r="A6924" s="1"/>
      <c r="B6924" s="2"/>
      <c r="AA6924" s="3"/>
      <c r="AD6924" s="3"/>
      <c r="AG6924" s="3"/>
      <c r="AJ6924" s="3"/>
    </row>
    <row r="6925" spans="1:36" x14ac:dyDescent="0.25">
      <c r="A6925" s="1"/>
      <c r="B6925" s="2"/>
      <c r="AA6925" s="3"/>
      <c r="AD6925" s="3"/>
      <c r="AG6925" s="3"/>
      <c r="AJ6925" s="3"/>
    </row>
    <row r="6926" spans="1:36" x14ac:dyDescent="0.25">
      <c r="A6926" s="1"/>
      <c r="B6926" s="2"/>
      <c r="AA6926" s="3"/>
      <c r="AD6926" s="3"/>
      <c r="AG6926" s="3"/>
      <c r="AJ6926" s="3"/>
    </row>
    <row r="6927" spans="1:36" x14ac:dyDescent="0.25">
      <c r="A6927" s="1"/>
      <c r="B6927" s="2"/>
      <c r="AA6927" s="3"/>
      <c r="AD6927" s="3"/>
      <c r="AG6927" s="3"/>
      <c r="AJ6927" s="3"/>
    </row>
    <row r="6928" spans="1:36" x14ac:dyDescent="0.25">
      <c r="A6928" s="1"/>
      <c r="B6928" s="2"/>
      <c r="AA6928" s="3"/>
      <c r="AD6928" s="3"/>
      <c r="AG6928" s="3"/>
      <c r="AJ6928" s="3"/>
    </row>
    <row r="6929" spans="1:36" x14ac:dyDescent="0.25">
      <c r="A6929" s="1"/>
      <c r="B6929" s="2"/>
      <c r="AA6929" s="3"/>
      <c r="AD6929" s="3"/>
      <c r="AG6929" s="3"/>
      <c r="AJ6929" s="3"/>
    </row>
    <row r="6930" spans="1:36" x14ac:dyDescent="0.25">
      <c r="A6930" s="1"/>
      <c r="B6930" s="2"/>
      <c r="AA6930" s="3"/>
      <c r="AD6930" s="3"/>
      <c r="AG6930" s="3"/>
      <c r="AJ6930" s="3"/>
    </row>
    <row r="6931" spans="1:36" x14ac:dyDescent="0.25">
      <c r="A6931" s="1"/>
      <c r="B6931" s="2"/>
      <c r="AA6931" s="3"/>
      <c r="AD6931" s="3"/>
      <c r="AG6931" s="3"/>
      <c r="AJ6931" s="3"/>
    </row>
    <row r="6932" spans="1:36" x14ac:dyDescent="0.25">
      <c r="A6932" s="1"/>
      <c r="B6932" s="2"/>
      <c r="AA6932" s="3"/>
      <c r="AD6932" s="3"/>
      <c r="AG6932" s="3"/>
      <c r="AJ6932" s="3"/>
    </row>
    <row r="6933" spans="1:36" x14ac:dyDescent="0.25">
      <c r="A6933" s="1"/>
      <c r="B6933" s="2"/>
      <c r="AA6933" s="3"/>
      <c r="AD6933" s="3"/>
      <c r="AG6933" s="3"/>
      <c r="AJ6933" s="3"/>
    </row>
    <row r="6934" spans="1:36" x14ac:dyDescent="0.25">
      <c r="A6934" s="1"/>
      <c r="B6934" s="2"/>
      <c r="AA6934" s="3"/>
      <c r="AD6934" s="3"/>
      <c r="AG6934" s="3"/>
      <c r="AJ6934" s="3"/>
    </row>
    <row r="6935" spans="1:36" x14ac:dyDescent="0.25">
      <c r="A6935" s="1"/>
      <c r="B6935" s="2"/>
      <c r="AA6935" s="3"/>
      <c r="AD6935" s="3"/>
      <c r="AG6935" s="3"/>
      <c r="AJ6935" s="3"/>
    </row>
    <row r="6936" spans="1:36" x14ac:dyDescent="0.25">
      <c r="A6936" s="1"/>
      <c r="B6936" s="2"/>
      <c r="AA6936" s="3"/>
      <c r="AD6936" s="3"/>
      <c r="AG6936" s="3"/>
      <c r="AJ6936" s="3"/>
    </row>
    <row r="6937" spans="1:36" x14ac:dyDescent="0.25">
      <c r="A6937" s="1"/>
      <c r="B6937" s="2"/>
      <c r="AA6937" s="3"/>
      <c r="AD6937" s="3"/>
      <c r="AG6937" s="3"/>
      <c r="AJ6937" s="3"/>
    </row>
    <row r="6938" spans="1:36" x14ac:dyDescent="0.25">
      <c r="A6938" s="1"/>
      <c r="B6938" s="2"/>
      <c r="AA6938" s="3"/>
      <c r="AD6938" s="3"/>
      <c r="AG6938" s="3"/>
      <c r="AJ6938" s="3"/>
    </row>
    <row r="6939" spans="1:36" x14ac:dyDescent="0.25">
      <c r="A6939" s="1"/>
      <c r="B6939" s="2"/>
      <c r="AA6939" s="3"/>
      <c r="AD6939" s="3"/>
      <c r="AG6939" s="3"/>
      <c r="AJ6939" s="3"/>
    </row>
    <row r="6940" spans="1:36" x14ac:dyDescent="0.25">
      <c r="A6940" s="1"/>
      <c r="B6940" s="2"/>
      <c r="AA6940" s="3"/>
      <c r="AD6940" s="3"/>
      <c r="AG6940" s="3"/>
      <c r="AJ6940" s="3"/>
    </row>
    <row r="6941" spans="1:36" x14ac:dyDescent="0.25">
      <c r="A6941" s="1"/>
      <c r="B6941" s="2"/>
      <c r="AA6941" s="3"/>
      <c r="AD6941" s="3"/>
      <c r="AG6941" s="3"/>
      <c r="AJ6941" s="3"/>
    </row>
    <row r="6942" spans="1:36" x14ac:dyDescent="0.25">
      <c r="A6942" s="1"/>
      <c r="B6942" s="2"/>
      <c r="AA6942" s="3"/>
      <c r="AD6942" s="3"/>
      <c r="AG6942" s="3"/>
      <c r="AJ6942" s="3"/>
    </row>
    <row r="6943" spans="1:36" x14ac:dyDescent="0.25">
      <c r="A6943" s="1"/>
      <c r="B6943" s="2"/>
      <c r="AA6943" s="3"/>
      <c r="AD6943" s="3"/>
      <c r="AG6943" s="3"/>
      <c r="AJ6943" s="3"/>
    </row>
    <row r="6944" spans="1:36" x14ac:dyDescent="0.25">
      <c r="A6944" s="1"/>
      <c r="B6944" s="2"/>
      <c r="AA6944" s="3"/>
      <c r="AD6944" s="3"/>
      <c r="AG6944" s="3"/>
      <c r="AJ6944" s="3"/>
    </row>
    <row r="6945" spans="1:36" x14ac:dyDescent="0.25">
      <c r="A6945" s="1"/>
      <c r="B6945" s="2"/>
      <c r="AA6945" s="3"/>
      <c r="AD6945" s="3"/>
      <c r="AG6945" s="3"/>
      <c r="AJ6945" s="3"/>
    </row>
    <row r="6946" spans="1:36" x14ac:dyDescent="0.25">
      <c r="A6946" s="1"/>
      <c r="B6946" s="2"/>
      <c r="AA6946" s="3"/>
      <c r="AD6946" s="3"/>
      <c r="AG6946" s="3"/>
      <c r="AJ6946" s="3"/>
    </row>
    <row r="6947" spans="1:36" x14ac:dyDescent="0.25">
      <c r="A6947" s="1"/>
      <c r="B6947" s="2"/>
      <c r="AA6947" s="3"/>
      <c r="AD6947" s="3"/>
      <c r="AG6947" s="3"/>
      <c r="AJ6947" s="3"/>
    </row>
    <row r="6948" spans="1:36" x14ac:dyDescent="0.25">
      <c r="A6948" s="1"/>
      <c r="B6948" s="2"/>
      <c r="AA6948" s="3"/>
      <c r="AD6948" s="3"/>
      <c r="AG6948" s="3"/>
      <c r="AJ6948" s="3"/>
    </row>
    <row r="6949" spans="1:36" x14ac:dyDescent="0.25">
      <c r="A6949" s="1"/>
      <c r="B6949" s="2"/>
      <c r="AA6949" s="3"/>
      <c r="AD6949" s="3"/>
      <c r="AG6949" s="3"/>
      <c r="AJ6949" s="3"/>
    </row>
    <row r="6950" spans="1:36" x14ac:dyDescent="0.25">
      <c r="A6950" s="1"/>
      <c r="B6950" s="2"/>
      <c r="AA6950" s="3"/>
      <c r="AD6950" s="3"/>
      <c r="AG6950" s="3"/>
      <c r="AJ6950" s="3"/>
    </row>
    <row r="6951" spans="1:36" x14ac:dyDescent="0.25">
      <c r="A6951" s="1"/>
      <c r="B6951" s="2"/>
      <c r="AA6951" s="3"/>
      <c r="AD6951" s="3"/>
      <c r="AG6951" s="3"/>
      <c r="AJ6951" s="3"/>
    </row>
    <row r="6952" spans="1:36" x14ac:dyDescent="0.25">
      <c r="A6952" s="1"/>
      <c r="B6952" s="2"/>
      <c r="AA6952" s="3"/>
      <c r="AD6952" s="3"/>
      <c r="AG6952" s="3"/>
      <c r="AJ6952" s="3"/>
    </row>
    <row r="6953" spans="1:36" x14ac:dyDescent="0.25">
      <c r="A6953" s="1"/>
      <c r="B6953" s="2"/>
      <c r="AA6953" s="3"/>
      <c r="AD6953" s="3"/>
      <c r="AG6953" s="3"/>
      <c r="AJ6953" s="3"/>
    </row>
    <row r="6954" spans="1:36" x14ac:dyDescent="0.25">
      <c r="A6954" s="1"/>
      <c r="B6954" s="2"/>
      <c r="AA6954" s="3"/>
      <c r="AD6954" s="3"/>
      <c r="AG6954" s="3"/>
      <c r="AJ6954" s="3"/>
    </row>
    <row r="6955" spans="1:36" x14ac:dyDescent="0.25">
      <c r="A6955" s="1"/>
      <c r="B6955" s="2"/>
      <c r="AA6955" s="3"/>
      <c r="AD6955" s="3"/>
      <c r="AG6955" s="3"/>
      <c r="AJ6955" s="3"/>
    </row>
    <row r="6956" spans="1:36" x14ac:dyDescent="0.25">
      <c r="A6956" s="1"/>
      <c r="B6956" s="2"/>
      <c r="AA6956" s="3"/>
      <c r="AD6956" s="3"/>
      <c r="AG6956" s="3"/>
      <c r="AJ6956" s="3"/>
    </row>
    <row r="6957" spans="1:36" x14ac:dyDescent="0.25">
      <c r="A6957" s="1"/>
      <c r="B6957" s="2"/>
      <c r="AA6957" s="3"/>
      <c r="AD6957" s="3"/>
      <c r="AG6957" s="3"/>
      <c r="AJ6957" s="3"/>
    </row>
    <row r="6958" spans="1:36" x14ac:dyDescent="0.25">
      <c r="A6958" s="1"/>
      <c r="B6958" s="2"/>
      <c r="AA6958" s="3"/>
      <c r="AD6958" s="3"/>
      <c r="AG6958" s="3"/>
      <c r="AJ6958" s="3"/>
    </row>
    <row r="6959" spans="1:36" x14ac:dyDescent="0.25">
      <c r="A6959" s="1"/>
      <c r="B6959" s="2"/>
      <c r="AA6959" s="3"/>
      <c r="AD6959" s="3"/>
      <c r="AG6959" s="3"/>
      <c r="AJ6959" s="3"/>
    </row>
    <row r="6960" spans="1:36" x14ac:dyDescent="0.25">
      <c r="A6960" s="1"/>
      <c r="B6960" s="2"/>
      <c r="AA6960" s="3"/>
      <c r="AD6960" s="3"/>
      <c r="AG6960" s="3"/>
      <c r="AJ6960" s="3"/>
    </row>
    <row r="6961" spans="1:36" x14ac:dyDescent="0.25">
      <c r="A6961" s="1"/>
      <c r="B6961" s="2"/>
      <c r="AA6961" s="3"/>
      <c r="AD6961" s="3"/>
      <c r="AG6961" s="3"/>
      <c r="AJ6961" s="3"/>
    </row>
    <row r="6962" spans="1:36" x14ac:dyDescent="0.25">
      <c r="A6962" s="1"/>
      <c r="B6962" s="2"/>
      <c r="AA6962" s="3"/>
      <c r="AD6962" s="3"/>
      <c r="AG6962" s="3"/>
      <c r="AJ6962" s="3"/>
    </row>
    <row r="6963" spans="1:36" x14ac:dyDescent="0.25">
      <c r="A6963" s="1"/>
      <c r="B6963" s="2"/>
      <c r="AA6963" s="3"/>
      <c r="AD6963" s="3"/>
      <c r="AG6963" s="3"/>
      <c r="AJ6963" s="3"/>
    </row>
    <row r="6964" spans="1:36" x14ac:dyDescent="0.25">
      <c r="A6964" s="1"/>
      <c r="B6964" s="2"/>
      <c r="AA6964" s="3"/>
      <c r="AD6964" s="3"/>
      <c r="AG6964" s="3"/>
      <c r="AJ6964" s="3"/>
    </row>
    <row r="6965" spans="1:36" x14ac:dyDescent="0.25">
      <c r="A6965" s="1"/>
      <c r="B6965" s="2"/>
      <c r="AA6965" s="3"/>
      <c r="AD6965" s="3"/>
      <c r="AG6965" s="3"/>
      <c r="AJ6965" s="3"/>
    </row>
    <row r="6966" spans="1:36" x14ac:dyDescent="0.25">
      <c r="A6966" s="1"/>
      <c r="B6966" s="2"/>
      <c r="AA6966" s="3"/>
      <c r="AD6966" s="3"/>
      <c r="AG6966" s="3"/>
      <c r="AJ6966" s="3"/>
    </row>
    <row r="6967" spans="1:36" x14ac:dyDescent="0.25">
      <c r="A6967" s="1"/>
      <c r="B6967" s="2"/>
      <c r="AA6967" s="3"/>
      <c r="AD6967" s="3"/>
      <c r="AG6967" s="3"/>
      <c r="AJ6967" s="3"/>
    </row>
    <row r="6968" spans="1:36" x14ac:dyDescent="0.25">
      <c r="A6968" s="1"/>
      <c r="B6968" s="2"/>
      <c r="AA6968" s="3"/>
      <c r="AD6968" s="3"/>
      <c r="AG6968" s="3"/>
      <c r="AJ6968" s="3"/>
    </row>
    <row r="6969" spans="1:36" x14ac:dyDescent="0.25">
      <c r="A6969" s="1"/>
      <c r="B6969" s="2"/>
      <c r="AA6969" s="3"/>
      <c r="AD6969" s="3"/>
      <c r="AG6969" s="3"/>
      <c r="AJ6969" s="3"/>
    </row>
    <row r="6970" spans="1:36" x14ac:dyDescent="0.25">
      <c r="A6970" s="1"/>
      <c r="B6970" s="2"/>
      <c r="AA6970" s="3"/>
      <c r="AD6970" s="3"/>
      <c r="AG6970" s="3"/>
      <c r="AJ6970" s="3"/>
    </row>
    <row r="6971" spans="1:36" x14ac:dyDescent="0.25">
      <c r="A6971" s="1"/>
      <c r="B6971" s="2"/>
      <c r="AA6971" s="3"/>
      <c r="AD6971" s="3"/>
      <c r="AG6971" s="3"/>
      <c r="AJ6971" s="3"/>
    </row>
    <row r="6972" spans="1:36" x14ac:dyDescent="0.25">
      <c r="A6972" s="1"/>
      <c r="B6972" s="2"/>
      <c r="AA6972" s="3"/>
      <c r="AD6972" s="3"/>
      <c r="AG6972" s="3"/>
      <c r="AJ6972" s="3"/>
    </row>
    <row r="6973" spans="1:36" x14ac:dyDescent="0.25">
      <c r="A6973" s="1"/>
      <c r="B6973" s="2"/>
      <c r="AA6973" s="3"/>
      <c r="AD6973" s="3"/>
      <c r="AG6973" s="3"/>
      <c r="AJ6973" s="3"/>
    </row>
    <row r="6974" spans="1:36" x14ac:dyDescent="0.25">
      <c r="A6974" s="1"/>
      <c r="B6974" s="2"/>
      <c r="AA6974" s="3"/>
      <c r="AD6974" s="3"/>
      <c r="AG6974" s="3"/>
      <c r="AJ6974" s="3"/>
    </row>
    <row r="6975" spans="1:36" x14ac:dyDescent="0.25">
      <c r="A6975" s="1"/>
      <c r="B6975" s="2"/>
      <c r="AA6975" s="3"/>
      <c r="AD6975" s="3"/>
      <c r="AG6975" s="3"/>
      <c r="AJ6975" s="3"/>
    </row>
    <row r="6976" spans="1:36" x14ac:dyDescent="0.25">
      <c r="A6976" s="1"/>
      <c r="B6976" s="2"/>
      <c r="AA6976" s="3"/>
      <c r="AD6976" s="3"/>
      <c r="AG6976" s="3"/>
      <c r="AJ6976" s="3"/>
    </row>
    <row r="6977" spans="1:36" x14ac:dyDescent="0.25">
      <c r="A6977" s="1"/>
      <c r="B6977" s="2"/>
      <c r="AA6977" s="3"/>
      <c r="AD6977" s="3"/>
      <c r="AG6977" s="3"/>
      <c r="AJ6977" s="3"/>
    </row>
    <row r="6978" spans="1:36" x14ac:dyDescent="0.25">
      <c r="A6978" s="1"/>
      <c r="B6978" s="2"/>
      <c r="AA6978" s="3"/>
      <c r="AD6978" s="3"/>
      <c r="AG6978" s="3"/>
      <c r="AJ6978" s="3"/>
    </row>
    <row r="6979" spans="1:36" x14ac:dyDescent="0.25">
      <c r="A6979" s="1"/>
      <c r="B6979" s="2"/>
      <c r="AA6979" s="3"/>
      <c r="AD6979" s="3"/>
      <c r="AG6979" s="3"/>
      <c r="AJ6979" s="3"/>
    </row>
    <row r="6980" spans="1:36" x14ac:dyDescent="0.25">
      <c r="A6980" s="1"/>
      <c r="B6980" s="2"/>
      <c r="AA6980" s="3"/>
      <c r="AD6980" s="3"/>
      <c r="AG6980" s="3"/>
      <c r="AJ6980" s="3"/>
    </row>
    <row r="6981" spans="1:36" x14ac:dyDescent="0.25">
      <c r="A6981" s="1"/>
      <c r="B6981" s="2"/>
      <c r="AA6981" s="3"/>
      <c r="AD6981" s="3"/>
      <c r="AG6981" s="3"/>
      <c r="AJ6981" s="3"/>
    </row>
    <row r="6982" spans="1:36" x14ac:dyDescent="0.25">
      <c r="A6982" s="1"/>
      <c r="B6982" s="2"/>
      <c r="AA6982" s="3"/>
      <c r="AD6982" s="3"/>
      <c r="AG6982" s="3"/>
      <c r="AJ6982" s="3"/>
    </row>
    <row r="6983" spans="1:36" x14ac:dyDescent="0.25">
      <c r="A6983" s="1"/>
      <c r="B6983" s="2"/>
      <c r="AA6983" s="3"/>
      <c r="AD6983" s="3"/>
      <c r="AG6983" s="3"/>
      <c r="AJ6983" s="3"/>
    </row>
    <row r="6984" spans="1:36" x14ac:dyDescent="0.25">
      <c r="A6984" s="1"/>
      <c r="B6984" s="2"/>
      <c r="AA6984" s="3"/>
      <c r="AD6984" s="3"/>
      <c r="AG6984" s="3"/>
      <c r="AJ6984" s="3"/>
    </row>
    <row r="6985" spans="1:36" x14ac:dyDescent="0.25">
      <c r="A6985" s="1"/>
      <c r="B6985" s="2"/>
      <c r="AA6985" s="3"/>
      <c r="AD6985" s="3"/>
      <c r="AG6985" s="3"/>
      <c r="AJ6985" s="3"/>
    </row>
    <row r="6986" spans="1:36" x14ac:dyDescent="0.25">
      <c r="A6986" s="1"/>
      <c r="B6986" s="2"/>
      <c r="AA6986" s="3"/>
      <c r="AD6986" s="3"/>
      <c r="AG6986" s="3"/>
      <c r="AJ6986" s="3"/>
    </row>
    <row r="6987" spans="1:36" x14ac:dyDescent="0.25">
      <c r="A6987" s="1"/>
      <c r="B6987" s="2"/>
      <c r="AA6987" s="3"/>
      <c r="AD6987" s="3"/>
      <c r="AG6987" s="3"/>
      <c r="AJ6987" s="3"/>
    </row>
    <row r="6988" spans="1:36" x14ac:dyDescent="0.25">
      <c r="A6988" s="1"/>
      <c r="B6988" s="2"/>
      <c r="AA6988" s="3"/>
      <c r="AD6988" s="3"/>
      <c r="AG6988" s="3"/>
      <c r="AJ6988" s="3"/>
    </row>
    <row r="6989" spans="1:36" x14ac:dyDescent="0.25">
      <c r="A6989" s="1"/>
      <c r="B6989" s="2"/>
      <c r="AA6989" s="3"/>
      <c r="AD6989" s="3"/>
      <c r="AG6989" s="3"/>
      <c r="AJ6989" s="3"/>
    </row>
    <row r="6990" spans="1:36" x14ac:dyDescent="0.25">
      <c r="A6990" s="1"/>
      <c r="B6990" s="2"/>
      <c r="AA6990" s="3"/>
      <c r="AD6990" s="3"/>
      <c r="AG6990" s="3"/>
      <c r="AJ6990" s="3"/>
    </row>
    <row r="6991" spans="1:36" x14ac:dyDescent="0.25">
      <c r="A6991" s="1"/>
      <c r="B6991" s="2"/>
      <c r="AA6991" s="3"/>
      <c r="AD6991" s="3"/>
      <c r="AG6991" s="3"/>
      <c r="AJ6991" s="3"/>
    </row>
    <row r="6992" spans="1:36" x14ac:dyDescent="0.25">
      <c r="A6992" s="1"/>
      <c r="B6992" s="2"/>
      <c r="AA6992" s="3"/>
      <c r="AD6992" s="3"/>
      <c r="AG6992" s="3"/>
      <c r="AJ6992" s="3"/>
    </row>
    <row r="6993" spans="1:36" x14ac:dyDescent="0.25">
      <c r="A6993" s="1"/>
      <c r="B6993" s="2"/>
      <c r="AA6993" s="3"/>
      <c r="AD6993" s="3"/>
      <c r="AG6993" s="3"/>
      <c r="AJ6993" s="3"/>
    </row>
    <row r="6994" spans="1:36" x14ac:dyDescent="0.25">
      <c r="A6994" s="1"/>
      <c r="B6994" s="2"/>
      <c r="AA6994" s="3"/>
      <c r="AD6994" s="3"/>
      <c r="AG6994" s="3"/>
      <c r="AJ6994" s="3"/>
    </row>
    <row r="6995" spans="1:36" x14ac:dyDescent="0.25">
      <c r="A6995" s="1"/>
      <c r="B6995" s="2"/>
      <c r="AA6995" s="3"/>
      <c r="AD6995" s="3"/>
      <c r="AG6995" s="3"/>
      <c r="AJ6995" s="3"/>
    </row>
    <row r="6996" spans="1:36" x14ac:dyDescent="0.25">
      <c r="A6996" s="1"/>
      <c r="B6996" s="2"/>
      <c r="AA6996" s="3"/>
      <c r="AD6996" s="3"/>
      <c r="AG6996" s="3"/>
      <c r="AJ6996" s="3"/>
    </row>
    <row r="6997" spans="1:36" x14ac:dyDescent="0.25">
      <c r="A6997" s="1"/>
      <c r="B6997" s="2"/>
      <c r="AA6997" s="3"/>
      <c r="AD6997" s="3"/>
      <c r="AG6997" s="3"/>
      <c r="AJ6997" s="3"/>
    </row>
    <row r="6998" spans="1:36" x14ac:dyDescent="0.25">
      <c r="A6998" s="1"/>
      <c r="B6998" s="2"/>
      <c r="AA6998" s="3"/>
      <c r="AD6998" s="3"/>
      <c r="AG6998" s="3"/>
      <c r="AJ6998" s="3"/>
    </row>
    <row r="6999" spans="1:36" x14ac:dyDescent="0.25">
      <c r="A6999" s="1"/>
      <c r="B6999" s="2"/>
      <c r="AA6999" s="3"/>
      <c r="AD6999" s="3"/>
      <c r="AG6999" s="3"/>
      <c r="AJ6999" s="3"/>
    </row>
    <row r="7000" spans="1:36" x14ac:dyDescent="0.25">
      <c r="A7000" s="1"/>
      <c r="B7000" s="2"/>
      <c r="AA7000" s="3"/>
      <c r="AD7000" s="3"/>
      <c r="AG7000" s="3"/>
      <c r="AJ7000" s="3"/>
    </row>
    <row r="7001" spans="1:36" x14ac:dyDescent="0.25">
      <c r="A7001" s="1"/>
      <c r="B7001" s="2"/>
      <c r="AA7001" s="3"/>
      <c r="AD7001" s="3"/>
      <c r="AG7001" s="3"/>
      <c r="AJ7001" s="3"/>
    </row>
    <row r="7002" spans="1:36" x14ac:dyDescent="0.25">
      <c r="A7002" s="1"/>
      <c r="B7002" s="2"/>
      <c r="AA7002" s="3"/>
      <c r="AD7002" s="3"/>
      <c r="AG7002" s="3"/>
      <c r="AJ7002" s="3"/>
    </row>
    <row r="7003" spans="1:36" x14ac:dyDescent="0.25">
      <c r="A7003" s="1"/>
      <c r="B7003" s="2"/>
      <c r="AA7003" s="3"/>
      <c r="AD7003" s="3"/>
      <c r="AG7003" s="3"/>
      <c r="AJ7003" s="3"/>
    </row>
    <row r="7004" spans="1:36" x14ac:dyDescent="0.25">
      <c r="A7004" s="1"/>
      <c r="B7004" s="2"/>
      <c r="AA7004" s="3"/>
      <c r="AD7004" s="3"/>
      <c r="AG7004" s="3"/>
      <c r="AJ7004" s="3"/>
    </row>
    <row r="7005" spans="1:36" x14ac:dyDescent="0.25">
      <c r="A7005" s="1"/>
      <c r="B7005" s="2"/>
      <c r="AA7005" s="3"/>
      <c r="AD7005" s="3"/>
      <c r="AG7005" s="3"/>
      <c r="AJ7005" s="3"/>
    </row>
    <row r="7006" spans="1:36" x14ac:dyDescent="0.25">
      <c r="A7006" s="1"/>
      <c r="B7006" s="2"/>
      <c r="AA7006" s="3"/>
      <c r="AD7006" s="3"/>
      <c r="AG7006" s="3"/>
      <c r="AJ7006" s="3"/>
    </row>
    <row r="7007" spans="1:36" x14ac:dyDescent="0.25">
      <c r="A7007" s="1"/>
      <c r="B7007" s="2"/>
      <c r="AA7007" s="3"/>
      <c r="AD7007" s="3"/>
      <c r="AG7007" s="3"/>
      <c r="AJ7007" s="3"/>
    </row>
    <row r="7008" spans="1:36" x14ac:dyDescent="0.25">
      <c r="A7008" s="1"/>
      <c r="B7008" s="2"/>
      <c r="AA7008" s="3"/>
      <c r="AD7008" s="3"/>
      <c r="AG7008" s="3"/>
      <c r="AJ7008" s="3"/>
    </row>
    <row r="7009" spans="1:36" x14ac:dyDescent="0.25">
      <c r="A7009" s="1"/>
      <c r="B7009" s="2"/>
      <c r="AA7009" s="3"/>
      <c r="AD7009" s="3"/>
      <c r="AG7009" s="3"/>
      <c r="AJ7009" s="3"/>
    </row>
    <row r="7010" spans="1:36" x14ac:dyDescent="0.25">
      <c r="A7010" s="1"/>
      <c r="B7010" s="2"/>
      <c r="AA7010" s="3"/>
      <c r="AD7010" s="3"/>
      <c r="AG7010" s="3"/>
      <c r="AJ7010" s="3"/>
    </row>
    <row r="7011" spans="1:36" x14ac:dyDescent="0.25">
      <c r="A7011" s="1"/>
      <c r="B7011" s="2"/>
      <c r="AA7011" s="3"/>
      <c r="AD7011" s="3"/>
      <c r="AG7011" s="3"/>
      <c r="AJ7011" s="3"/>
    </row>
    <row r="7012" spans="1:36" x14ac:dyDescent="0.25">
      <c r="A7012" s="1"/>
      <c r="B7012" s="2"/>
      <c r="AA7012" s="3"/>
      <c r="AD7012" s="3"/>
      <c r="AG7012" s="3"/>
      <c r="AJ7012" s="3"/>
    </row>
    <row r="7013" spans="1:36" x14ac:dyDescent="0.25">
      <c r="A7013" s="1"/>
      <c r="B7013" s="2"/>
      <c r="AA7013" s="3"/>
      <c r="AD7013" s="3"/>
      <c r="AG7013" s="3"/>
      <c r="AJ7013" s="3"/>
    </row>
    <row r="7014" spans="1:36" x14ac:dyDescent="0.25">
      <c r="A7014" s="1"/>
      <c r="B7014" s="2"/>
      <c r="AA7014" s="3"/>
      <c r="AD7014" s="3"/>
      <c r="AG7014" s="3"/>
      <c r="AJ7014" s="3"/>
    </row>
    <row r="7015" spans="1:36" x14ac:dyDescent="0.25">
      <c r="A7015" s="1"/>
      <c r="B7015" s="2"/>
      <c r="AA7015" s="3"/>
      <c r="AD7015" s="3"/>
      <c r="AG7015" s="3"/>
      <c r="AJ7015" s="3"/>
    </row>
    <row r="7016" spans="1:36" x14ac:dyDescent="0.25">
      <c r="A7016" s="1"/>
      <c r="B7016" s="2"/>
      <c r="AA7016" s="3"/>
      <c r="AD7016" s="3"/>
      <c r="AG7016" s="3"/>
      <c r="AJ7016" s="3"/>
    </row>
    <row r="7017" spans="1:36" x14ac:dyDescent="0.25">
      <c r="A7017" s="1"/>
      <c r="B7017" s="2"/>
      <c r="AA7017" s="3"/>
      <c r="AD7017" s="3"/>
      <c r="AG7017" s="3"/>
      <c r="AJ7017" s="3"/>
    </row>
    <row r="7018" spans="1:36" x14ac:dyDescent="0.25">
      <c r="A7018" s="1"/>
      <c r="B7018" s="2"/>
      <c r="AA7018" s="3"/>
      <c r="AD7018" s="3"/>
      <c r="AG7018" s="3"/>
      <c r="AJ7018" s="3"/>
    </row>
    <row r="7019" spans="1:36" x14ac:dyDescent="0.25">
      <c r="A7019" s="1"/>
      <c r="B7019" s="2"/>
      <c r="AA7019" s="3"/>
      <c r="AD7019" s="3"/>
      <c r="AG7019" s="3"/>
      <c r="AJ7019" s="3"/>
    </row>
    <row r="7020" spans="1:36" x14ac:dyDescent="0.25">
      <c r="A7020" s="1"/>
      <c r="B7020" s="2"/>
      <c r="AA7020" s="3"/>
      <c r="AD7020" s="3"/>
      <c r="AG7020" s="3"/>
      <c r="AJ7020" s="3"/>
    </row>
    <row r="7021" spans="1:36" x14ac:dyDescent="0.25">
      <c r="A7021" s="1"/>
      <c r="B7021" s="2"/>
      <c r="AA7021" s="3"/>
      <c r="AD7021" s="3"/>
      <c r="AG7021" s="3"/>
      <c r="AJ7021" s="3"/>
    </row>
    <row r="7022" spans="1:36" x14ac:dyDescent="0.25">
      <c r="A7022" s="1"/>
      <c r="B7022" s="2"/>
      <c r="AA7022" s="3"/>
      <c r="AD7022" s="3"/>
      <c r="AG7022" s="3"/>
      <c r="AJ7022" s="3"/>
    </row>
    <row r="7023" spans="1:36" x14ac:dyDescent="0.25">
      <c r="A7023" s="1"/>
      <c r="B7023" s="2"/>
      <c r="AA7023" s="3"/>
      <c r="AD7023" s="3"/>
      <c r="AG7023" s="3"/>
      <c r="AJ7023" s="3"/>
    </row>
    <row r="7024" spans="1:36" x14ac:dyDescent="0.25">
      <c r="A7024" s="1"/>
      <c r="B7024" s="2"/>
      <c r="AA7024" s="3"/>
      <c r="AD7024" s="3"/>
      <c r="AG7024" s="3"/>
      <c r="AJ7024" s="3"/>
    </row>
    <row r="7025" spans="1:36" x14ac:dyDescent="0.25">
      <c r="A7025" s="1"/>
      <c r="B7025" s="2"/>
      <c r="AA7025" s="3"/>
      <c r="AD7025" s="3"/>
      <c r="AG7025" s="3"/>
      <c r="AJ7025" s="3"/>
    </row>
    <row r="7026" spans="1:36" x14ac:dyDescent="0.25">
      <c r="A7026" s="1"/>
      <c r="B7026" s="2"/>
      <c r="AA7026" s="3"/>
      <c r="AD7026" s="3"/>
      <c r="AG7026" s="3"/>
      <c r="AJ7026" s="3"/>
    </row>
    <row r="7027" spans="1:36" x14ac:dyDescent="0.25">
      <c r="A7027" s="1"/>
      <c r="B7027" s="2"/>
      <c r="AA7027" s="3"/>
      <c r="AD7027" s="3"/>
      <c r="AG7027" s="3"/>
      <c r="AJ7027" s="3"/>
    </row>
    <row r="7028" spans="1:36" x14ac:dyDescent="0.25">
      <c r="A7028" s="1"/>
      <c r="B7028" s="2"/>
      <c r="AA7028" s="3"/>
      <c r="AD7028" s="3"/>
      <c r="AG7028" s="3"/>
      <c r="AJ7028" s="3"/>
    </row>
    <row r="7029" spans="1:36" x14ac:dyDescent="0.25">
      <c r="A7029" s="1"/>
      <c r="B7029" s="2"/>
      <c r="AA7029" s="3"/>
      <c r="AD7029" s="3"/>
      <c r="AG7029" s="3"/>
      <c r="AJ7029" s="3"/>
    </row>
    <row r="7030" spans="1:36" x14ac:dyDescent="0.25">
      <c r="A7030" s="1"/>
      <c r="B7030" s="2"/>
      <c r="AA7030" s="3"/>
      <c r="AD7030" s="3"/>
      <c r="AG7030" s="3"/>
      <c r="AJ7030" s="3"/>
    </row>
    <row r="7031" spans="1:36" x14ac:dyDescent="0.25">
      <c r="A7031" s="1"/>
      <c r="B7031" s="2"/>
      <c r="AA7031" s="3"/>
      <c r="AD7031" s="3"/>
      <c r="AG7031" s="3"/>
      <c r="AJ7031" s="3"/>
    </row>
    <row r="7032" spans="1:36" x14ac:dyDescent="0.25">
      <c r="A7032" s="1"/>
      <c r="B7032" s="2"/>
      <c r="AA7032" s="3"/>
      <c r="AD7032" s="3"/>
      <c r="AG7032" s="3"/>
      <c r="AJ7032" s="3"/>
    </row>
    <row r="7033" spans="1:36" x14ac:dyDescent="0.25">
      <c r="A7033" s="1"/>
      <c r="B7033" s="2"/>
      <c r="AA7033" s="3"/>
      <c r="AD7033" s="3"/>
      <c r="AG7033" s="3"/>
      <c r="AJ7033" s="3"/>
    </row>
    <row r="7034" spans="1:36" x14ac:dyDescent="0.25">
      <c r="A7034" s="1"/>
      <c r="B7034" s="2"/>
      <c r="AA7034" s="3"/>
      <c r="AD7034" s="3"/>
      <c r="AG7034" s="3"/>
      <c r="AJ7034" s="3"/>
    </row>
    <row r="7035" spans="1:36" x14ac:dyDescent="0.25">
      <c r="A7035" s="1"/>
      <c r="B7035" s="2"/>
      <c r="AA7035" s="3"/>
      <c r="AD7035" s="3"/>
      <c r="AG7035" s="3"/>
      <c r="AJ7035" s="3"/>
    </row>
    <row r="7036" spans="1:36" x14ac:dyDescent="0.25">
      <c r="A7036" s="1"/>
      <c r="B7036" s="2"/>
      <c r="AA7036" s="3"/>
      <c r="AD7036" s="3"/>
      <c r="AG7036" s="3"/>
      <c r="AJ7036" s="3"/>
    </row>
    <row r="7037" spans="1:36" x14ac:dyDescent="0.25">
      <c r="A7037" s="1"/>
      <c r="B7037" s="2"/>
      <c r="AA7037" s="3"/>
      <c r="AD7037" s="3"/>
      <c r="AG7037" s="3"/>
      <c r="AJ7037" s="3"/>
    </row>
    <row r="7038" spans="1:36" x14ac:dyDescent="0.25">
      <c r="A7038" s="1"/>
      <c r="B7038" s="2"/>
      <c r="AA7038" s="3"/>
      <c r="AD7038" s="3"/>
      <c r="AG7038" s="3"/>
      <c r="AJ7038" s="3"/>
    </row>
    <row r="7039" spans="1:36" x14ac:dyDescent="0.25">
      <c r="A7039" s="1"/>
      <c r="B7039" s="2"/>
      <c r="AA7039" s="3"/>
      <c r="AD7039" s="3"/>
      <c r="AG7039" s="3"/>
      <c r="AJ7039" s="3"/>
    </row>
    <row r="7040" spans="1:36" x14ac:dyDescent="0.25">
      <c r="A7040" s="1"/>
      <c r="B7040" s="2"/>
      <c r="AA7040" s="3"/>
      <c r="AD7040" s="3"/>
      <c r="AG7040" s="3"/>
      <c r="AJ7040" s="3"/>
    </row>
    <row r="7041" spans="1:36" x14ac:dyDescent="0.25">
      <c r="A7041" s="1"/>
      <c r="B7041" s="2"/>
      <c r="AA7041" s="3"/>
      <c r="AD7041" s="3"/>
      <c r="AG7041" s="3"/>
      <c r="AJ7041" s="3"/>
    </row>
    <row r="7042" spans="1:36" x14ac:dyDescent="0.25">
      <c r="A7042" s="1"/>
      <c r="B7042" s="2"/>
      <c r="AA7042" s="3"/>
      <c r="AD7042" s="3"/>
      <c r="AG7042" s="3"/>
      <c r="AJ7042" s="3"/>
    </row>
    <row r="7043" spans="1:36" x14ac:dyDescent="0.25">
      <c r="A7043" s="1"/>
      <c r="B7043" s="2"/>
      <c r="AA7043" s="3"/>
      <c r="AD7043" s="3"/>
      <c r="AG7043" s="3"/>
      <c r="AJ7043" s="3"/>
    </row>
    <row r="7044" spans="1:36" x14ac:dyDescent="0.25">
      <c r="A7044" s="1"/>
      <c r="B7044" s="2"/>
      <c r="AA7044" s="3"/>
      <c r="AD7044" s="3"/>
      <c r="AG7044" s="3"/>
      <c r="AJ7044" s="3"/>
    </row>
    <row r="7045" spans="1:36" x14ac:dyDescent="0.25">
      <c r="A7045" s="1"/>
      <c r="B7045" s="2"/>
      <c r="AA7045" s="3"/>
      <c r="AD7045" s="3"/>
      <c r="AG7045" s="3"/>
      <c r="AJ7045" s="3"/>
    </row>
    <row r="7046" spans="1:36" x14ac:dyDescent="0.25">
      <c r="A7046" s="1"/>
      <c r="B7046" s="2"/>
      <c r="AA7046" s="3"/>
      <c r="AD7046" s="3"/>
      <c r="AG7046" s="3"/>
      <c r="AJ7046" s="3"/>
    </row>
    <row r="7047" spans="1:36" x14ac:dyDescent="0.25">
      <c r="A7047" s="1"/>
      <c r="B7047" s="2"/>
      <c r="AA7047" s="3"/>
      <c r="AD7047" s="3"/>
      <c r="AG7047" s="3"/>
      <c r="AJ7047" s="3"/>
    </row>
    <row r="7048" spans="1:36" x14ac:dyDescent="0.25">
      <c r="A7048" s="1"/>
      <c r="B7048" s="2"/>
      <c r="AA7048" s="3"/>
      <c r="AD7048" s="3"/>
      <c r="AG7048" s="3"/>
      <c r="AJ7048" s="3"/>
    </row>
    <row r="7049" spans="1:36" x14ac:dyDescent="0.25">
      <c r="A7049" s="1"/>
      <c r="B7049" s="2"/>
      <c r="AA7049" s="3"/>
      <c r="AD7049" s="3"/>
      <c r="AG7049" s="3"/>
      <c r="AJ7049" s="3"/>
    </row>
    <row r="7050" spans="1:36" x14ac:dyDescent="0.25">
      <c r="A7050" s="1"/>
      <c r="B7050" s="2"/>
      <c r="AA7050" s="3"/>
      <c r="AD7050" s="3"/>
      <c r="AG7050" s="3"/>
      <c r="AJ7050" s="3"/>
    </row>
    <row r="7051" spans="1:36" x14ac:dyDescent="0.25">
      <c r="A7051" s="1"/>
      <c r="B7051" s="2"/>
      <c r="AA7051" s="3"/>
      <c r="AD7051" s="3"/>
      <c r="AG7051" s="3"/>
      <c r="AJ7051" s="3"/>
    </row>
    <row r="7052" spans="1:36" x14ac:dyDescent="0.25">
      <c r="A7052" s="1"/>
      <c r="B7052" s="2"/>
      <c r="AA7052" s="3"/>
      <c r="AD7052" s="3"/>
      <c r="AG7052" s="3"/>
      <c r="AJ7052" s="3"/>
    </row>
    <row r="7053" spans="1:36" x14ac:dyDescent="0.25">
      <c r="A7053" s="1"/>
      <c r="B7053" s="2"/>
      <c r="AA7053" s="3"/>
      <c r="AD7053" s="3"/>
      <c r="AG7053" s="3"/>
      <c r="AJ7053" s="3"/>
    </row>
    <row r="7054" spans="1:36" x14ac:dyDescent="0.25">
      <c r="A7054" s="1"/>
      <c r="B7054" s="2"/>
      <c r="AA7054" s="3"/>
      <c r="AD7054" s="3"/>
      <c r="AG7054" s="3"/>
      <c r="AJ7054" s="3"/>
    </row>
    <row r="7055" spans="1:36" x14ac:dyDescent="0.25">
      <c r="A7055" s="1"/>
      <c r="B7055" s="2"/>
      <c r="AA7055" s="3"/>
      <c r="AD7055" s="3"/>
      <c r="AG7055" s="3"/>
      <c r="AJ7055" s="3"/>
    </row>
    <row r="7056" spans="1:36" x14ac:dyDescent="0.25">
      <c r="A7056" s="1"/>
      <c r="B7056" s="2"/>
      <c r="AA7056" s="3"/>
      <c r="AD7056" s="3"/>
      <c r="AG7056" s="3"/>
      <c r="AJ7056" s="3"/>
    </row>
    <row r="7057" spans="1:36" x14ac:dyDescent="0.25">
      <c r="A7057" s="1"/>
      <c r="B7057" s="2"/>
      <c r="AA7057" s="3"/>
      <c r="AD7057" s="3"/>
      <c r="AG7057" s="3"/>
      <c r="AJ7057" s="3"/>
    </row>
    <row r="7058" spans="1:36" x14ac:dyDescent="0.25">
      <c r="A7058" s="1"/>
      <c r="B7058" s="2"/>
      <c r="AA7058" s="3"/>
      <c r="AD7058" s="3"/>
      <c r="AG7058" s="3"/>
      <c r="AJ7058" s="3"/>
    </row>
    <row r="7059" spans="1:36" x14ac:dyDescent="0.25">
      <c r="A7059" s="1"/>
      <c r="B7059" s="2"/>
      <c r="AA7059" s="3"/>
      <c r="AD7059" s="3"/>
      <c r="AG7059" s="3"/>
      <c r="AJ7059" s="3"/>
    </row>
    <row r="7060" spans="1:36" x14ac:dyDescent="0.25">
      <c r="A7060" s="1"/>
      <c r="B7060" s="2"/>
      <c r="AA7060" s="3"/>
      <c r="AD7060" s="3"/>
      <c r="AG7060" s="3"/>
      <c r="AJ7060" s="3"/>
    </row>
    <row r="7061" spans="1:36" x14ac:dyDescent="0.25">
      <c r="A7061" s="1"/>
      <c r="B7061" s="2"/>
      <c r="AA7061" s="3"/>
      <c r="AD7061" s="3"/>
      <c r="AG7061" s="3"/>
      <c r="AJ7061" s="3"/>
    </row>
    <row r="7062" spans="1:36" x14ac:dyDescent="0.25">
      <c r="A7062" s="1"/>
      <c r="B7062" s="2"/>
      <c r="AA7062" s="3"/>
      <c r="AD7062" s="3"/>
      <c r="AG7062" s="3"/>
      <c r="AJ7062" s="3"/>
    </row>
    <row r="7063" spans="1:36" x14ac:dyDescent="0.25">
      <c r="A7063" s="1"/>
      <c r="B7063" s="2"/>
      <c r="AA7063" s="3"/>
      <c r="AD7063" s="3"/>
      <c r="AG7063" s="3"/>
      <c r="AJ7063" s="3"/>
    </row>
    <row r="7064" spans="1:36" x14ac:dyDescent="0.25">
      <c r="A7064" s="1"/>
      <c r="B7064" s="2"/>
      <c r="AA7064" s="3"/>
      <c r="AD7064" s="3"/>
      <c r="AG7064" s="3"/>
      <c r="AJ7064" s="3"/>
    </row>
    <row r="7065" spans="1:36" x14ac:dyDescent="0.25">
      <c r="A7065" s="1"/>
      <c r="B7065" s="2"/>
      <c r="AA7065" s="3"/>
      <c r="AD7065" s="3"/>
      <c r="AG7065" s="3"/>
      <c r="AJ7065" s="3"/>
    </row>
    <row r="7066" spans="1:36" x14ac:dyDescent="0.25">
      <c r="A7066" s="1"/>
      <c r="B7066" s="2"/>
      <c r="AA7066" s="3"/>
      <c r="AD7066" s="3"/>
      <c r="AG7066" s="3"/>
      <c r="AJ7066" s="3"/>
    </row>
    <row r="7067" spans="1:36" x14ac:dyDescent="0.25">
      <c r="A7067" s="1"/>
      <c r="B7067" s="2"/>
      <c r="AA7067" s="3"/>
      <c r="AD7067" s="3"/>
      <c r="AG7067" s="3"/>
      <c r="AJ7067" s="3"/>
    </row>
    <row r="7068" spans="1:36" x14ac:dyDescent="0.25">
      <c r="A7068" s="1"/>
      <c r="B7068" s="2"/>
      <c r="AA7068" s="3"/>
      <c r="AD7068" s="3"/>
      <c r="AG7068" s="3"/>
      <c r="AJ7068" s="3"/>
    </row>
    <row r="7069" spans="1:36" x14ac:dyDescent="0.25">
      <c r="A7069" s="1"/>
      <c r="B7069" s="2"/>
      <c r="AA7069" s="3"/>
      <c r="AD7069" s="3"/>
      <c r="AG7069" s="3"/>
      <c r="AJ7069" s="3"/>
    </row>
    <row r="7070" spans="1:36" x14ac:dyDescent="0.25">
      <c r="A7070" s="1"/>
      <c r="B7070" s="2"/>
      <c r="AA7070" s="3"/>
      <c r="AD7070" s="3"/>
      <c r="AG7070" s="3"/>
      <c r="AJ7070" s="3"/>
    </row>
    <row r="7071" spans="1:36" x14ac:dyDescent="0.25">
      <c r="A7071" s="1"/>
      <c r="B7071" s="2"/>
      <c r="AA7071" s="3"/>
      <c r="AD7071" s="3"/>
      <c r="AG7071" s="3"/>
      <c r="AJ7071" s="3"/>
    </row>
    <row r="7072" spans="1:36" x14ac:dyDescent="0.25">
      <c r="A7072" s="1"/>
      <c r="B7072" s="2"/>
      <c r="AA7072" s="3"/>
      <c r="AD7072" s="3"/>
      <c r="AG7072" s="3"/>
      <c r="AJ7072" s="3"/>
    </row>
    <row r="7073" spans="1:36" x14ac:dyDescent="0.25">
      <c r="A7073" s="1"/>
      <c r="B7073" s="2"/>
      <c r="AA7073" s="3"/>
      <c r="AD7073" s="3"/>
      <c r="AG7073" s="3"/>
      <c r="AJ7073" s="3"/>
    </row>
    <row r="7074" spans="1:36" x14ac:dyDescent="0.25">
      <c r="A7074" s="1"/>
      <c r="B7074" s="2"/>
      <c r="AA7074" s="3"/>
      <c r="AD7074" s="3"/>
      <c r="AG7074" s="3"/>
      <c r="AJ7074" s="3"/>
    </row>
    <row r="7075" spans="1:36" x14ac:dyDescent="0.25">
      <c r="A7075" s="1"/>
      <c r="B7075" s="2"/>
      <c r="AA7075" s="3"/>
      <c r="AD7075" s="3"/>
      <c r="AG7075" s="3"/>
      <c r="AJ7075" s="3"/>
    </row>
    <row r="7076" spans="1:36" x14ac:dyDescent="0.25">
      <c r="A7076" s="1"/>
      <c r="B7076" s="2"/>
      <c r="AA7076" s="3"/>
      <c r="AD7076" s="3"/>
      <c r="AG7076" s="3"/>
      <c r="AJ7076" s="3"/>
    </row>
    <row r="7077" spans="1:36" x14ac:dyDescent="0.25">
      <c r="A7077" s="1"/>
      <c r="B7077" s="2"/>
      <c r="AA7077" s="3"/>
      <c r="AD7077" s="3"/>
      <c r="AG7077" s="3"/>
      <c r="AJ7077" s="3"/>
    </row>
    <row r="7078" spans="1:36" x14ac:dyDescent="0.25">
      <c r="A7078" s="1"/>
      <c r="B7078" s="2"/>
      <c r="AA7078" s="3"/>
      <c r="AD7078" s="3"/>
      <c r="AG7078" s="3"/>
      <c r="AJ7078" s="3"/>
    </row>
    <row r="7079" spans="1:36" x14ac:dyDescent="0.25">
      <c r="A7079" s="1"/>
      <c r="B7079" s="2"/>
      <c r="AA7079" s="3"/>
      <c r="AD7079" s="3"/>
      <c r="AG7079" s="3"/>
      <c r="AJ7079" s="3"/>
    </row>
    <row r="7080" spans="1:36" x14ac:dyDescent="0.25">
      <c r="A7080" s="1"/>
      <c r="B7080" s="2"/>
      <c r="AA7080" s="3"/>
      <c r="AD7080" s="3"/>
      <c r="AG7080" s="3"/>
      <c r="AJ7080" s="3"/>
    </row>
    <row r="7081" spans="1:36" x14ac:dyDescent="0.25">
      <c r="A7081" s="1"/>
      <c r="B7081" s="2"/>
      <c r="AA7081" s="3"/>
      <c r="AD7081" s="3"/>
      <c r="AG7081" s="3"/>
      <c r="AJ7081" s="3"/>
    </row>
    <row r="7082" spans="1:36" x14ac:dyDescent="0.25">
      <c r="A7082" s="1"/>
      <c r="B7082" s="2"/>
      <c r="AA7082" s="3"/>
      <c r="AD7082" s="3"/>
      <c r="AG7082" s="3"/>
      <c r="AJ7082" s="3"/>
    </row>
    <row r="7083" spans="1:36" x14ac:dyDescent="0.25">
      <c r="A7083" s="1"/>
      <c r="B7083" s="2"/>
      <c r="AA7083" s="3"/>
      <c r="AD7083" s="3"/>
      <c r="AG7083" s="3"/>
      <c r="AJ7083" s="3"/>
    </row>
    <row r="7084" spans="1:36" x14ac:dyDescent="0.25">
      <c r="A7084" s="1"/>
      <c r="B7084" s="2"/>
      <c r="AA7084" s="3"/>
      <c r="AD7084" s="3"/>
      <c r="AG7084" s="3"/>
      <c r="AJ7084" s="3"/>
    </row>
    <row r="7085" spans="1:36" x14ac:dyDescent="0.25">
      <c r="A7085" s="1"/>
      <c r="B7085" s="2"/>
      <c r="AA7085" s="3"/>
      <c r="AD7085" s="3"/>
      <c r="AG7085" s="3"/>
      <c r="AJ7085" s="3"/>
    </row>
    <row r="7086" spans="1:36" x14ac:dyDescent="0.25">
      <c r="A7086" s="1"/>
      <c r="B7086" s="2"/>
      <c r="AA7086" s="3"/>
      <c r="AD7086" s="3"/>
      <c r="AG7086" s="3"/>
      <c r="AJ7086" s="3"/>
    </row>
    <row r="7087" spans="1:36" x14ac:dyDescent="0.25">
      <c r="A7087" s="1"/>
      <c r="B7087" s="2"/>
      <c r="AA7087" s="3"/>
      <c r="AD7087" s="3"/>
      <c r="AG7087" s="3"/>
      <c r="AJ7087" s="3"/>
    </row>
    <row r="7088" spans="1:36" x14ac:dyDescent="0.25">
      <c r="A7088" s="1"/>
      <c r="B7088" s="2"/>
      <c r="AA7088" s="3"/>
      <c r="AD7088" s="3"/>
      <c r="AG7088" s="3"/>
      <c r="AJ7088" s="3"/>
    </row>
    <row r="7089" spans="1:36" x14ac:dyDescent="0.25">
      <c r="A7089" s="1"/>
      <c r="B7089" s="2"/>
      <c r="AA7089" s="3"/>
      <c r="AD7089" s="3"/>
      <c r="AG7089" s="3"/>
      <c r="AJ7089" s="3"/>
    </row>
    <row r="7090" spans="1:36" x14ac:dyDescent="0.25">
      <c r="A7090" s="1"/>
      <c r="B7090" s="2"/>
      <c r="AA7090" s="3"/>
      <c r="AD7090" s="3"/>
      <c r="AG7090" s="3"/>
      <c r="AJ7090" s="3"/>
    </row>
    <row r="7091" spans="1:36" x14ac:dyDescent="0.25">
      <c r="A7091" s="1"/>
      <c r="B7091" s="2"/>
      <c r="AA7091" s="3"/>
      <c r="AD7091" s="3"/>
      <c r="AG7091" s="3"/>
      <c r="AJ7091" s="3"/>
    </row>
    <row r="7092" spans="1:36" x14ac:dyDescent="0.25">
      <c r="A7092" s="1"/>
      <c r="B7092" s="2"/>
      <c r="AA7092" s="3"/>
      <c r="AD7092" s="3"/>
      <c r="AG7092" s="3"/>
      <c r="AJ7092" s="3"/>
    </row>
    <row r="7093" spans="1:36" x14ac:dyDescent="0.25">
      <c r="A7093" s="1"/>
      <c r="B7093" s="2"/>
      <c r="AA7093" s="3"/>
      <c r="AD7093" s="3"/>
      <c r="AG7093" s="3"/>
      <c r="AJ7093" s="3"/>
    </row>
    <row r="7094" spans="1:36" x14ac:dyDescent="0.25">
      <c r="A7094" s="1"/>
      <c r="B7094" s="2"/>
      <c r="AA7094" s="3"/>
      <c r="AD7094" s="3"/>
      <c r="AG7094" s="3"/>
      <c r="AJ7094" s="3"/>
    </row>
    <row r="7095" spans="1:36" x14ac:dyDescent="0.25">
      <c r="A7095" s="1"/>
      <c r="B7095" s="2"/>
      <c r="AA7095" s="3"/>
      <c r="AD7095" s="3"/>
      <c r="AG7095" s="3"/>
      <c r="AJ7095" s="3"/>
    </row>
    <row r="7096" spans="1:36" x14ac:dyDescent="0.25">
      <c r="A7096" s="1"/>
      <c r="B7096" s="2"/>
      <c r="AA7096" s="3"/>
      <c r="AD7096" s="3"/>
      <c r="AG7096" s="3"/>
      <c r="AJ7096" s="3"/>
    </row>
    <row r="7097" spans="1:36" x14ac:dyDescent="0.25">
      <c r="A7097" s="1"/>
      <c r="B7097" s="2"/>
      <c r="AA7097" s="3"/>
      <c r="AD7097" s="3"/>
      <c r="AG7097" s="3"/>
      <c r="AJ7097" s="3"/>
    </row>
    <row r="7098" spans="1:36" x14ac:dyDescent="0.25">
      <c r="A7098" s="1"/>
      <c r="B7098" s="2"/>
      <c r="AA7098" s="3"/>
      <c r="AD7098" s="3"/>
      <c r="AG7098" s="3"/>
      <c r="AJ7098" s="3"/>
    </row>
    <row r="7099" spans="1:36" x14ac:dyDescent="0.25">
      <c r="A7099" s="1"/>
      <c r="B7099" s="2"/>
      <c r="AA7099" s="3"/>
      <c r="AD7099" s="3"/>
      <c r="AG7099" s="3"/>
      <c r="AJ7099" s="3"/>
    </row>
    <row r="7100" spans="1:36" x14ac:dyDescent="0.25">
      <c r="A7100" s="1"/>
      <c r="B7100" s="2"/>
      <c r="AA7100" s="3"/>
      <c r="AD7100" s="3"/>
      <c r="AG7100" s="3"/>
      <c r="AJ7100" s="3"/>
    </row>
    <row r="7101" spans="1:36" x14ac:dyDescent="0.25">
      <c r="A7101" s="1"/>
      <c r="B7101" s="2"/>
      <c r="AA7101" s="3"/>
      <c r="AD7101" s="3"/>
      <c r="AG7101" s="3"/>
      <c r="AJ7101" s="3"/>
    </row>
    <row r="7102" spans="1:36" x14ac:dyDescent="0.25">
      <c r="A7102" s="1"/>
      <c r="B7102" s="2"/>
      <c r="AA7102" s="3"/>
      <c r="AD7102" s="3"/>
      <c r="AG7102" s="3"/>
      <c r="AJ7102" s="3"/>
    </row>
    <row r="7103" spans="1:36" x14ac:dyDescent="0.25">
      <c r="A7103" s="1"/>
      <c r="B7103" s="2"/>
      <c r="AA7103" s="3"/>
      <c r="AD7103" s="3"/>
      <c r="AG7103" s="3"/>
      <c r="AJ7103" s="3"/>
    </row>
    <row r="7104" spans="1:36" x14ac:dyDescent="0.25">
      <c r="A7104" s="1"/>
      <c r="B7104" s="2"/>
      <c r="AA7104" s="3"/>
      <c r="AD7104" s="3"/>
      <c r="AG7104" s="3"/>
      <c r="AJ7104" s="3"/>
    </row>
    <row r="7105" spans="1:36" x14ac:dyDescent="0.25">
      <c r="A7105" s="1"/>
      <c r="B7105" s="2"/>
      <c r="AA7105" s="3"/>
      <c r="AD7105" s="3"/>
      <c r="AG7105" s="3"/>
      <c r="AJ7105" s="3"/>
    </row>
    <row r="7106" spans="1:36" x14ac:dyDescent="0.25">
      <c r="A7106" s="1"/>
      <c r="B7106" s="2"/>
      <c r="AA7106" s="3"/>
      <c r="AD7106" s="3"/>
      <c r="AG7106" s="3"/>
      <c r="AJ7106" s="3"/>
    </row>
    <row r="7107" spans="1:36" x14ac:dyDescent="0.25">
      <c r="A7107" s="1"/>
      <c r="B7107" s="2"/>
      <c r="AA7107" s="3"/>
      <c r="AD7107" s="3"/>
      <c r="AG7107" s="3"/>
      <c r="AJ7107" s="3"/>
    </row>
    <row r="7108" spans="1:36" x14ac:dyDescent="0.25">
      <c r="A7108" s="1"/>
      <c r="B7108" s="2"/>
      <c r="AA7108" s="3"/>
      <c r="AD7108" s="3"/>
      <c r="AG7108" s="3"/>
      <c r="AJ7108" s="3"/>
    </row>
    <row r="7109" spans="1:36" x14ac:dyDescent="0.25">
      <c r="A7109" s="1"/>
      <c r="B7109" s="2"/>
      <c r="AA7109" s="3"/>
      <c r="AD7109" s="3"/>
      <c r="AG7109" s="3"/>
      <c r="AJ7109" s="3"/>
    </row>
    <row r="7110" spans="1:36" x14ac:dyDescent="0.25">
      <c r="A7110" s="1"/>
      <c r="B7110" s="2"/>
      <c r="AA7110" s="3"/>
      <c r="AD7110" s="3"/>
      <c r="AG7110" s="3"/>
      <c r="AJ7110" s="3"/>
    </row>
  </sheetData>
  <autoFilter ref="A3:AJ3" xr:uid="{00000000-0001-0000-0000-000000000000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0AC89-8002-490C-BFF0-5E88A218D112}">
  <sheetPr codeName="Hoja2">
    <pageSetUpPr fitToPage="1"/>
  </sheetPr>
  <dimension ref="A1:Q14"/>
  <sheetViews>
    <sheetView view="pageBreakPreview" topLeftCell="A35" zoomScaleNormal="85" zoomScaleSheetLayoutView="100" workbookViewId="0"/>
  </sheetViews>
  <sheetFormatPr baseColWidth="10" defaultRowHeight="15" x14ac:dyDescent="0.25"/>
  <cols>
    <col min="1" max="1" width="11" customWidth="1"/>
    <col min="2" max="2" width="12" bestFit="1" customWidth="1"/>
    <col min="3" max="3" width="7.85546875" customWidth="1"/>
    <col min="6" max="6" width="11.85546875" bestFit="1" customWidth="1"/>
    <col min="11" max="11" width="7.5703125" customWidth="1"/>
    <col min="12" max="12" width="9.28515625" customWidth="1"/>
    <col min="13" max="13" width="27.85546875" customWidth="1"/>
    <col min="14" max="14" width="9.7109375" bestFit="1" customWidth="1"/>
    <col min="15" max="15" width="8.140625" bestFit="1" customWidth="1"/>
    <col min="16" max="16" width="10.7109375" bestFit="1" customWidth="1"/>
    <col min="17" max="17" width="30.5703125" bestFit="1" customWidth="1"/>
  </cols>
  <sheetData>
    <row r="1" spans="1:17" s="4" customFormat="1" ht="21" x14ac:dyDescent="0.35">
      <c r="A1" s="36"/>
      <c r="B1" s="37"/>
      <c r="C1" s="37"/>
      <c r="D1" s="37"/>
      <c r="E1" s="37"/>
      <c r="F1" s="37"/>
      <c r="G1" s="37"/>
      <c r="H1" s="37"/>
      <c r="I1" s="37"/>
      <c r="J1" s="38"/>
      <c r="K1" s="36"/>
      <c r="L1" s="37"/>
      <c r="M1" s="37"/>
      <c r="N1" s="37"/>
      <c r="O1" s="37"/>
      <c r="P1" s="37"/>
      <c r="Q1" s="38"/>
    </row>
    <row r="2" spans="1:17" x14ac:dyDescent="0.25">
      <c r="A2" s="39" t="s">
        <v>129</v>
      </c>
      <c r="B2" s="35" t="s">
        <v>130</v>
      </c>
      <c r="C2" s="35"/>
      <c r="D2" s="35"/>
      <c r="E2" s="35"/>
      <c r="F2" s="35"/>
      <c r="G2" s="35"/>
      <c r="H2" s="35"/>
      <c r="I2" s="35"/>
      <c r="J2" s="40"/>
      <c r="K2" s="41"/>
      <c r="L2" s="42" t="s">
        <v>131</v>
      </c>
      <c r="M2" s="35" t="s">
        <v>132</v>
      </c>
      <c r="N2" s="35"/>
      <c r="O2" s="35"/>
      <c r="P2" s="35"/>
      <c r="Q2" s="40"/>
    </row>
    <row r="3" spans="1:17" x14ac:dyDescent="0.25">
      <c r="A3" s="39" t="s">
        <v>133</v>
      </c>
      <c r="B3" s="35" t="s">
        <v>134</v>
      </c>
      <c r="C3" s="35"/>
      <c r="D3" s="35"/>
      <c r="E3" s="35"/>
      <c r="F3" s="35"/>
      <c r="G3" s="35"/>
      <c r="H3" s="35"/>
      <c r="I3" s="35"/>
      <c r="J3" s="40"/>
      <c r="K3" s="41"/>
      <c r="L3" s="42" t="s">
        <v>135</v>
      </c>
      <c r="M3" s="35" t="s">
        <v>136</v>
      </c>
      <c r="N3" s="35"/>
      <c r="O3" s="35"/>
      <c r="P3" s="35"/>
      <c r="Q3" s="40"/>
    </row>
    <row r="4" spans="1:17" x14ac:dyDescent="0.25">
      <c r="A4" s="39" t="s">
        <v>137</v>
      </c>
      <c r="B4" s="43">
        <v>44859</v>
      </c>
      <c r="C4" s="35"/>
      <c r="D4" s="35"/>
      <c r="E4" s="35"/>
      <c r="F4" s="35"/>
      <c r="G4" s="35"/>
      <c r="H4" s="35"/>
      <c r="I4" s="35"/>
      <c r="J4" s="40"/>
      <c r="K4" s="41"/>
      <c r="L4" s="42" t="s">
        <v>138</v>
      </c>
      <c r="M4" s="44" t="s">
        <v>139</v>
      </c>
      <c r="N4" s="35"/>
      <c r="O4" s="35"/>
      <c r="P4" s="35"/>
      <c r="Q4" s="40"/>
    </row>
    <row r="5" spans="1:17" x14ac:dyDescent="0.25">
      <c r="A5" s="39" t="s">
        <v>140</v>
      </c>
      <c r="B5" s="35" t="s">
        <v>141</v>
      </c>
      <c r="C5" s="35"/>
      <c r="D5" s="35"/>
      <c r="E5" s="35"/>
      <c r="F5" s="35"/>
      <c r="G5" s="35"/>
      <c r="H5" s="35"/>
      <c r="I5" s="35"/>
      <c r="J5" s="40"/>
      <c r="K5" s="41"/>
      <c r="L5" s="42" t="s">
        <v>142</v>
      </c>
      <c r="M5" s="45" t="s">
        <v>68</v>
      </c>
      <c r="N5" s="35"/>
      <c r="O5" s="35"/>
      <c r="P5" s="35"/>
      <c r="Q5" s="40"/>
    </row>
    <row r="6" spans="1:17" x14ac:dyDescent="0.25">
      <c r="A6" s="39" t="s">
        <v>143</v>
      </c>
      <c r="B6" s="35" t="s">
        <v>144</v>
      </c>
      <c r="C6" s="35"/>
      <c r="D6" s="35"/>
      <c r="E6" s="35"/>
      <c r="F6" s="35"/>
      <c r="G6" s="35"/>
      <c r="H6" s="35"/>
      <c r="I6" s="35"/>
      <c r="J6" s="40"/>
      <c r="K6" s="41"/>
      <c r="L6" s="42" t="s">
        <v>145</v>
      </c>
      <c r="M6" s="46" t="s">
        <v>67</v>
      </c>
      <c r="N6" s="35"/>
      <c r="O6" s="35"/>
      <c r="P6" s="35"/>
      <c r="Q6" s="40"/>
    </row>
    <row r="7" spans="1:17" x14ac:dyDescent="0.25">
      <c r="A7" s="39" t="s">
        <v>146</v>
      </c>
      <c r="B7" s="35" t="s">
        <v>147</v>
      </c>
      <c r="C7" s="35"/>
      <c r="D7" s="35"/>
      <c r="E7" s="35"/>
      <c r="F7" s="35"/>
      <c r="G7" s="35"/>
      <c r="H7" s="35"/>
      <c r="I7" s="35"/>
      <c r="J7" s="40"/>
      <c r="K7" s="41"/>
      <c r="L7" s="35"/>
      <c r="M7" s="35"/>
      <c r="N7" s="35"/>
      <c r="O7" s="35"/>
      <c r="P7" s="35"/>
      <c r="Q7" s="40"/>
    </row>
    <row r="8" spans="1:17" ht="15.75" thickBot="1" x14ac:dyDescent="0.3">
      <c r="A8" s="47"/>
      <c r="B8" s="48"/>
      <c r="C8" s="48"/>
      <c r="D8" s="48"/>
      <c r="E8" s="48"/>
      <c r="F8" s="48"/>
      <c r="G8" s="48"/>
      <c r="H8" s="48"/>
      <c r="I8" s="48"/>
      <c r="J8" s="49"/>
      <c r="K8" s="47"/>
      <c r="L8" s="48"/>
      <c r="M8" s="48"/>
      <c r="N8" s="48"/>
      <c r="O8" s="48"/>
      <c r="P8" s="48"/>
      <c r="Q8" s="49"/>
    </row>
    <row r="9" spans="1:17" s="4" customFormat="1" ht="21" x14ac:dyDescent="0.35">
      <c r="A9" s="15" t="s">
        <v>127</v>
      </c>
      <c r="M9" s="50" t="s">
        <v>69</v>
      </c>
      <c r="N9" s="50"/>
      <c r="O9" s="50"/>
      <c r="P9" s="50"/>
      <c r="Q9" s="50"/>
    </row>
    <row r="10" spans="1:17" x14ac:dyDescent="0.25">
      <c r="A10" s="31" t="s">
        <v>84</v>
      </c>
      <c r="M10" s="26">
        <f>Q10</f>
        <v>0</v>
      </c>
      <c r="N10" s="27">
        <f>P10</f>
        <v>0.7324074074074074</v>
      </c>
      <c r="O10" s="18" t="s">
        <v>71</v>
      </c>
      <c r="P10" s="19">
        <f>MIN(datos!$B:$B)</f>
        <v>0.7324074074074074</v>
      </c>
      <c r="Q10" s="20">
        <f>MIN(datos!$A:$A)</f>
        <v>0</v>
      </c>
    </row>
    <row r="11" spans="1:17" x14ac:dyDescent="0.25">
      <c r="A11" s="17" t="s">
        <v>67</v>
      </c>
      <c r="M11" s="26">
        <f>Q11</f>
        <v>0</v>
      </c>
      <c r="N11" s="28">
        <f>P11</f>
        <v>0.73865740740740737</v>
      </c>
      <c r="O11" s="18" t="s">
        <v>72</v>
      </c>
      <c r="P11" s="19">
        <f>MAX(datos!$B:$B)</f>
        <v>0.73865740740740737</v>
      </c>
      <c r="Q11" s="20">
        <f>MAX(datos!$A:$A)</f>
        <v>0</v>
      </c>
    </row>
    <row r="12" spans="1:17" x14ac:dyDescent="0.25">
      <c r="A12" s="17" t="s">
        <v>68</v>
      </c>
      <c r="M12" s="51" t="s">
        <v>70</v>
      </c>
      <c r="N12" s="51"/>
      <c r="P12" s="21" t="s">
        <v>75</v>
      </c>
    </row>
    <row r="13" spans="1:17" x14ac:dyDescent="0.25">
      <c r="M13" s="22" t="e">
        <f>MATCH($M$10,datos!$A:$A,0)</f>
        <v>#N/A</v>
      </c>
      <c r="N13" s="22">
        <f t="array" aca="1" ref="N13" ca="1">IFERROR(MATCH($M$10&amp;$N$10,DATE&amp;TIME,1)+4,4)</f>
        <v>4</v>
      </c>
      <c r="O13" s="8"/>
      <c r="P13" s="23">
        <f>COUNTA(datos!$A:$A)-3</f>
        <v>10</v>
      </c>
      <c r="Q13" t="s">
        <v>76</v>
      </c>
    </row>
    <row r="14" spans="1:17" x14ac:dyDescent="0.25">
      <c r="M14" s="22" t="e">
        <f>MATCH($M$11,datos!$A:$A,1)</f>
        <v>#N/A</v>
      </c>
      <c r="N14" s="22" t="e">
        <f t="array" aca="1" ref="N14" ca="1">MATCH(M11&amp;$N$11,DATE&amp;TIME,1)+3</f>
        <v>#N/A</v>
      </c>
      <c r="O14" s="8"/>
      <c r="P14" s="24" t="e">
        <f ca="1">N14-N13+1</f>
        <v>#N/A</v>
      </c>
      <c r="Q14" t="s">
        <v>77</v>
      </c>
    </row>
  </sheetData>
  <mergeCells count="2">
    <mergeCell ref="M9:Q9"/>
    <mergeCell ref="M12:N12"/>
  </mergeCells>
  <dataValidations count="3">
    <dataValidation type="date" allowBlank="1" showInputMessage="1" showErrorMessage="1" errorTitle="Error de dia" error="El dia seleccionado debe estar dentro del registro" sqref="M10:M11" xr:uid="{683E569A-080D-4256-A245-C3C205F7CC34}">
      <formula1>Q9</formula1>
      <formula2>Q10</formula2>
    </dataValidation>
    <dataValidation type="time" allowBlank="1" showInputMessage="1" showErrorMessage="1" errorTitle="Error de hora" error="La hora minima debe estar dentro del rango de medicion" sqref="N10" xr:uid="{E3CED69A-907E-4D49-B308-B731E26DC4D7}">
      <formula1>P10</formula1>
      <formula2>P11</formula2>
    </dataValidation>
    <dataValidation type="time" allowBlank="1" showInputMessage="1" showErrorMessage="1" errorTitle="Error de hora" error="La hora maxima debe estar dentro del rango de medicion" sqref="N11" xr:uid="{BF313E61-8AC9-4381-AFCA-01B3C5812E23}">
      <formula1>P10</formula1>
      <formula2>P11</formula2>
    </dataValidation>
  </dataValidations>
  <hyperlinks>
    <hyperlink ref="A11" r:id="rId1" xr:uid="{30448AD1-A9AF-4C7F-B7FE-58BE802E1FFD}"/>
    <hyperlink ref="A12" r:id="rId2" xr:uid="{EAB1DC47-C24C-4487-8F07-B30B408DEC9C}"/>
    <hyperlink ref="M5" r:id="rId3" xr:uid="{7D4CB461-A7DA-462E-839B-E2B572B9D45A}"/>
    <hyperlink ref="M6" r:id="rId4" xr:uid="{E0930F06-B13B-4AA8-991F-C313F3CF1C3D}"/>
  </hyperlinks>
  <pageMargins left="0.25" right="0.25" top="0.75" bottom="0.75" header="0.3" footer="0.3"/>
  <pageSetup paperSize="9" scale="43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8" name="Button 1">
              <controlPr defaultSize="0" print="0" autoFill="0" autoPict="0" macro="[0]!A_COLUMNAS">
                <anchor moveWithCells="1" sizeWithCells="1">
                  <from>
                    <xdr:col>6</xdr:col>
                    <xdr:colOff>723900</xdr:colOff>
                    <xdr:row>9</xdr:row>
                    <xdr:rowOff>9525</xdr:rowOff>
                  </from>
                  <to>
                    <xdr:col>8</xdr:col>
                    <xdr:colOff>742950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9" name="Button 2">
              <controlPr defaultSize="0" print="0" autoFill="0" autoPict="0" macro="[0]!AJUSTA_MAX_MIN">
                <anchor moveWithCells="1" sizeWithCells="1">
                  <from>
                    <xdr:col>9</xdr:col>
                    <xdr:colOff>28575</xdr:colOff>
                    <xdr:row>9</xdr:row>
                    <xdr:rowOff>9525</xdr:rowOff>
                  </from>
                  <to>
                    <xdr:col>11</xdr:col>
                    <xdr:colOff>314325</xdr:colOff>
                    <xdr:row>12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A7051-C667-4985-B5AF-1F4CD9153D20}">
  <sheetPr codeName="Hoja4"/>
  <dimension ref="A1:Q62"/>
  <sheetViews>
    <sheetView view="pageBreakPreview" zoomScale="60" zoomScaleNormal="100" workbookViewId="0">
      <selection sqref="A1:N7"/>
    </sheetView>
  </sheetViews>
  <sheetFormatPr baseColWidth="10" defaultRowHeight="15" x14ac:dyDescent="0.25"/>
  <sheetData>
    <row r="1" spans="1:17" s="4" customFormat="1" ht="21" x14ac:dyDescent="0.35">
      <c r="A1" s="36"/>
      <c r="B1" s="37"/>
      <c r="C1" s="37"/>
      <c r="D1" s="37"/>
      <c r="E1" s="37"/>
      <c r="F1" s="37"/>
      <c r="G1" s="37"/>
      <c r="H1" s="37"/>
      <c r="I1" s="37"/>
      <c r="J1" s="38"/>
      <c r="K1" s="36"/>
      <c r="L1" s="37"/>
      <c r="M1" s="37"/>
      <c r="N1" s="37"/>
      <c r="O1" s="37"/>
      <c r="P1" s="37"/>
      <c r="Q1" s="38"/>
    </row>
    <row r="2" spans="1:17" x14ac:dyDescent="0.25">
      <c r="A2" s="39" t="s">
        <v>129</v>
      </c>
      <c r="B2" s="35" t="s">
        <v>130</v>
      </c>
      <c r="C2" s="35"/>
      <c r="D2" s="35"/>
      <c r="E2" s="35"/>
      <c r="F2" s="35"/>
      <c r="G2" s="35"/>
      <c r="H2" s="35"/>
      <c r="I2" s="35"/>
      <c r="J2" s="40"/>
      <c r="K2" s="41"/>
      <c r="L2" s="42" t="s">
        <v>131</v>
      </c>
      <c r="M2" s="35" t="s">
        <v>132</v>
      </c>
      <c r="N2" s="35"/>
      <c r="O2" s="35"/>
      <c r="P2" s="35"/>
      <c r="Q2" s="40"/>
    </row>
    <row r="3" spans="1:17" x14ac:dyDescent="0.25">
      <c r="A3" s="39" t="s">
        <v>133</v>
      </c>
      <c r="B3" s="35" t="s">
        <v>134</v>
      </c>
      <c r="C3" s="35"/>
      <c r="D3" s="35"/>
      <c r="E3" s="35"/>
      <c r="F3" s="35"/>
      <c r="G3" s="35"/>
      <c r="H3" s="35"/>
      <c r="I3" s="35"/>
      <c r="J3" s="40"/>
      <c r="K3" s="41"/>
      <c r="L3" s="42" t="s">
        <v>135</v>
      </c>
      <c r="M3" s="35" t="s">
        <v>136</v>
      </c>
      <c r="N3" s="35"/>
      <c r="O3" s="35"/>
      <c r="P3" s="35"/>
      <c r="Q3" s="40"/>
    </row>
    <row r="4" spans="1:17" x14ac:dyDescent="0.25">
      <c r="A4" s="39" t="s">
        <v>137</v>
      </c>
      <c r="B4" s="43">
        <v>44859</v>
      </c>
      <c r="C4" s="35"/>
      <c r="D4" s="35"/>
      <c r="E4" s="35"/>
      <c r="F4" s="35"/>
      <c r="G4" s="35"/>
      <c r="H4" s="35"/>
      <c r="I4" s="35"/>
      <c r="J4" s="40"/>
      <c r="K4" s="41"/>
      <c r="L4" s="42" t="s">
        <v>138</v>
      </c>
      <c r="M4" s="44" t="s">
        <v>139</v>
      </c>
      <c r="N4" s="35"/>
      <c r="O4" s="35"/>
      <c r="P4" s="35"/>
      <c r="Q4" s="40"/>
    </row>
    <row r="5" spans="1:17" x14ac:dyDescent="0.25">
      <c r="A5" s="39" t="s">
        <v>140</v>
      </c>
      <c r="B5" s="35" t="s">
        <v>141</v>
      </c>
      <c r="C5" s="35"/>
      <c r="D5" s="35"/>
      <c r="E5" s="35"/>
      <c r="F5" s="35"/>
      <c r="G5" s="35"/>
      <c r="H5" s="35"/>
      <c r="I5" s="35"/>
      <c r="J5" s="40"/>
      <c r="K5" s="41"/>
      <c r="L5" s="42" t="s">
        <v>142</v>
      </c>
      <c r="M5" s="45" t="s">
        <v>68</v>
      </c>
      <c r="N5" s="35"/>
      <c r="O5" s="35"/>
      <c r="P5" s="35"/>
      <c r="Q5" s="40"/>
    </row>
    <row r="6" spans="1:17" x14ac:dyDescent="0.25">
      <c r="A6" s="39" t="s">
        <v>143</v>
      </c>
      <c r="B6" s="35" t="s">
        <v>144</v>
      </c>
      <c r="C6" s="35"/>
      <c r="D6" s="35"/>
      <c r="E6" s="35"/>
      <c r="F6" s="35"/>
      <c r="G6" s="35"/>
      <c r="H6" s="35"/>
      <c r="I6" s="35"/>
      <c r="J6" s="40"/>
      <c r="K6" s="41"/>
      <c r="L6" s="42" t="s">
        <v>145</v>
      </c>
      <c r="M6" s="46" t="s">
        <v>67</v>
      </c>
      <c r="N6" s="35"/>
      <c r="O6" s="35"/>
      <c r="P6" s="35"/>
      <c r="Q6" s="40"/>
    </row>
    <row r="7" spans="1:17" x14ac:dyDescent="0.25">
      <c r="A7" s="39" t="s">
        <v>146</v>
      </c>
      <c r="B7" s="35" t="s">
        <v>147</v>
      </c>
      <c r="C7" s="35"/>
      <c r="D7" s="35"/>
      <c r="E7" s="35"/>
      <c r="F7" s="35"/>
      <c r="G7" s="35"/>
      <c r="H7" s="35"/>
      <c r="I7" s="35"/>
      <c r="J7" s="40"/>
      <c r="K7" s="41"/>
      <c r="L7" s="35"/>
      <c r="M7" s="35"/>
      <c r="N7" s="35"/>
      <c r="O7" s="35"/>
      <c r="P7" s="35"/>
      <c r="Q7" s="40"/>
    </row>
    <row r="8" spans="1:17" ht="15.75" thickBot="1" x14ac:dyDescent="0.3">
      <c r="A8" s="47"/>
      <c r="B8" s="48"/>
      <c r="C8" s="48"/>
      <c r="D8" s="48"/>
      <c r="E8" s="48"/>
      <c r="F8" s="48"/>
      <c r="G8" s="48"/>
      <c r="H8" s="48"/>
      <c r="I8" s="48"/>
      <c r="J8" s="49"/>
      <c r="K8" s="47"/>
      <c r="L8" s="48"/>
      <c r="M8" s="48"/>
      <c r="N8" s="48"/>
      <c r="O8" s="48"/>
      <c r="P8" s="48"/>
      <c r="Q8" s="49"/>
    </row>
    <row r="9" spans="1:17" x14ac:dyDescent="0.25">
      <c r="A9" s="35" t="s">
        <v>80</v>
      </c>
      <c r="B9" s="35">
        <v>190</v>
      </c>
      <c r="I9" s="35" t="s">
        <v>80</v>
      </c>
      <c r="J9" s="35">
        <v>49.5</v>
      </c>
    </row>
    <row r="10" spans="1:17" x14ac:dyDescent="0.25">
      <c r="A10" s="35" t="s">
        <v>81</v>
      </c>
      <c r="B10" s="35">
        <v>250</v>
      </c>
      <c r="I10" s="35" t="s">
        <v>81</v>
      </c>
      <c r="J10" s="35">
        <v>50.5</v>
      </c>
    </row>
    <row r="11" spans="1:17" x14ac:dyDescent="0.25">
      <c r="A11" s="35" t="s">
        <v>82</v>
      </c>
      <c r="B11" s="35">
        <v>2</v>
      </c>
      <c r="I11" s="35" t="s">
        <v>82</v>
      </c>
      <c r="J11" s="35">
        <v>0.02</v>
      </c>
    </row>
    <row r="13" spans="1:17" x14ac:dyDescent="0.25">
      <c r="A13" s="30"/>
      <c r="B13" s="10" t="s">
        <v>31</v>
      </c>
      <c r="I13" s="30"/>
      <c r="J13" s="10" t="s">
        <v>126</v>
      </c>
    </row>
    <row r="14" spans="1:17" x14ac:dyDescent="0.25">
      <c r="A14" s="29" t="s">
        <v>78</v>
      </c>
      <c r="B14" s="29" t="s">
        <v>79</v>
      </c>
      <c r="I14" s="29" t="s">
        <v>78</v>
      </c>
      <c r="J14" s="29" t="s">
        <v>79</v>
      </c>
    </row>
    <row r="15" spans="1:17" x14ac:dyDescent="0.25">
      <c r="A15" s="29" t="s">
        <v>83</v>
      </c>
      <c r="B15" s="6" t="e">
        <f ca="1">COUNTIF(UA,"&lt;"&amp;$B$9-($B$11/2))</f>
        <v>#N/A</v>
      </c>
      <c r="I15" s="29" t="s">
        <v>83</v>
      </c>
      <c r="J15" s="6" t="e">
        <f ca="1">COUNTIF(F_A,"&lt;"&amp;$J$9-($J$11/2))</f>
        <v>#N/A</v>
      </c>
    </row>
    <row r="16" spans="1:17" x14ac:dyDescent="0.25">
      <c r="A16" s="29">
        <f>$B$9</f>
        <v>190</v>
      </c>
      <c r="B16" s="6" t="e">
        <f t="shared" ref="B16:B40" ca="1" si="0">COUNTIF(UA,"&lt;"&amp;A16+($B$11/2))-COUNTIF(UA,"&lt;"&amp;A16-($B$11/2))</f>
        <v>#N/A</v>
      </c>
      <c r="I16" s="29">
        <f>$J$9</f>
        <v>49.5</v>
      </c>
      <c r="J16" s="6" t="e">
        <f t="shared" ref="J16:J56" ca="1" si="1">COUNTIF(F_A,"&lt;"&amp;I16+($J$11/2))-COUNTIF(F_A,"&lt;"&amp;I16-($J$11/2))</f>
        <v>#N/A</v>
      </c>
    </row>
    <row r="17" spans="1:10" x14ac:dyDescent="0.25">
      <c r="A17" s="6">
        <f>IFERROR(IF((A16+$B$11)&lt;$B$10,A16+$B$11,""),"")</f>
        <v>192</v>
      </c>
      <c r="B17" s="6" t="e">
        <f t="shared" ca="1" si="0"/>
        <v>#N/A</v>
      </c>
      <c r="I17" s="6">
        <f>IFERROR(IF((I16+$J$11)&lt;$J$10,I16+$J$11,""),"")</f>
        <v>49.52</v>
      </c>
      <c r="J17" s="6" t="e">
        <f t="shared" ca="1" si="1"/>
        <v>#N/A</v>
      </c>
    </row>
    <row r="18" spans="1:10" x14ac:dyDescent="0.25">
      <c r="A18" s="6">
        <f t="shared" ref="A18:A45" si="2">IFERROR(IF((A17+$B$11)&lt;$B$10,A17+$B$11,""),"")</f>
        <v>194</v>
      </c>
      <c r="B18" s="6" t="e">
        <f t="shared" ca="1" si="0"/>
        <v>#N/A</v>
      </c>
      <c r="I18" s="6">
        <f t="shared" ref="I18:I56" si="3">IFERROR(IF((I17+$J$11)&lt;$J$10,I17+$J$11,""),"")</f>
        <v>49.540000000000006</v>
      </c>
      <c r="J18" s="6" t="e">
        <f t="shared" ca="1" si="1"/>
        <v>#N/A</v>
      </c>
    </row>
    <row r="19" spans="1:10" x14ac:dyDescent="0.25">
      <c r="A19" s="6">
        <f t="shared" si="2"/>
        <v>196</v>
      </c>
      <c r="B19" s="6" t="e">
        <f t="shared" ca="1" si="0"/>
        <v>#N/A</v>
      </c>
      <c r="I19" s="6">
        <f t="shared" si="3"/>
        <v>49.560000000000009</v>
      </c>
      <c r="J19" s="6" t="e">
        <f t="shared" ca="1" si="1"/>
        <v>#N/A</v>
      </c>
    </row>
    <row r="20" spans="1:10" x14ac:dyDescent="0.25">
      <c r="A20" s="6">
        <f t="shared" si="2"/>
        <v>198</v>
      </c>
      <c r="B20" s="6" t="e">
        <f t="shared" ca="1" si="0"/>
        <v>#N/A</v>
      </c>
      <c r="I20" s="6">
        <f t="shared" si="3"/>
        <v>49.580000000000013</v>
      </c>
      <c r="J20" s="6" t="e">
        <f t="shared" ca="1" si="1"/>
        <v>#N/A</v>
      </c>
    </row>
    <row r="21" spans="1:10" x14ac:dyDescent="0.25">
      <c r="A21" s="6">
        <f t="shared" si="2"/>
        <v>200</v>
      </c>
      <c r="B21" s="6" t="e">
        <f t="shared" ca="1" si="0"/>
        <v>#N/A</v>
      </c>
      <c r="I21" s="6">
        <f t="shared" si="3"/>
        <v>49.600000000000016</v>
      </c>
      <c r="J21" s="6" t="e">
        <f t="shared" ca="1" si="1"/>
        <v>#N/A</v>
      </c>
    </row>
    <row r="22" spans="1:10" x14ac:dyDescent="0.25">
      <c r="A22" s="6">
        <f t="shared" si="2"/>
        <v>202</v>
      </c>
      <c r="B22" s="6" t="e">
        <f t="shared" ca="1" si="0"/>
        <v>#N/A</v>
      </c>
      <c r="I22" s="6">
        <f t="shared" si="3"/>
        <v>49.620000000000019</v>
      </c>
      <c r="J22" s="6" t="e">
        <f t="shared" ca="1" si="1"/>
        <v>#N/A</v>
      </c>
    </row>
    <row r="23" spans="1:10" x14ac:dyDescent="0.25">
      <c r="A23" s="6">
        <f t="shared" si="2"/>
        <v>204</v>
      </c>
      <c r="B23" s="6" t="e">
        <f t="shared" ca="1" si="0"/>
        <v>#N/A</v>
      </c>
      <c r="I23" s="6">
        <f t="shared" si="3"/>
        <v>49.640000000000022</v>
      </c>
      <c r="J23" s="6" t="e">
        <f t="shared" ca="1" si="1"/>
        <v>#N/A</v>
      </c>
    </row>
    <row r="24" spans="1:10" x14ac:dyDescent="0.25">
      <c r="A24" s="6">
        <f t="shared" si="2"/>
        <v>206</v>
      </c>
      <c r="B24" s="6" t="e">
        <f t="shared" ca="1" si="0"/>
        <v>#N/A</v>
      </c>
      <c r="I24" s="6">
        <f t="shared" si="3"/>
        <v>49.660000000000025</v>
      </c>
      <c r="J24" s="6" t="e">
        <f t="shared" ca="1" si="1"/>
        <v>#N/A</v>
      </c>
    </row>
    <row r="25" spans="1:10" x14ac:dyDescent="0.25">
      <c r="A25" s="6">
        <f t="shared" si="2"/>
        <v>208</v>
      </c>
      <c r="B25" s="6" t="e">
        <f t="shared" ca="1" si="0"/>
        <v>#N/A</v>
      </c>
      <c r="I25" s="6">
        <f t="shared" si="3"/>
        <v>49.680000000000028</v>
      </c>
      <c r="J25" s="6" t="e">
        <f t="shared" ca="1" si="1"/>
        <v>#N/A</v>
      </c>
    </row>
    <row r="26" spans="1:10" x14ac:dyDescent="0.25">
      <c r="A26" s="6">
        <f t="shared" si="2"/>
        <v>210</v>
      </c>
      <c r="B26" s="6" t="e">
        <f t="shared" ca="1" si="0"/>
        <v>#N/A</v>
      </c>
      <c r="I26" s="6">
        <f t="shared" si="3"/>
        <v>49.700000000000031</v>
      </c>
      <c r="J26" s="6" t="e">
        <f t="shared" ca="1" si="1"/>
        <v>#N/A</v>
      </c>
    </row>
    <row r="27" spans="1:10" x14ac:dyDescent="0.25">
      <c r="A27" s="6">
        <f t="shared" si="2"/>
        <v>212</v>
      </c>
      <c r="B27" s="6" t="e">
        <f t="shared" ca="1" si="0"/>
        <v>#N/A</v>
      </c>
      <c r="I27" s="6">
        <f t="shared" si="3"/>
        <v>49.720000000000034</v>
      </c>
      <c r="J27" s="6" t="e">
        <f t="shared" ca="1" si="1"/>
        <v>#N/A</v>
      </c>
    </row>
    <row r="28" spans="1:10" x14ac:dyDescent="0.25">
      <c r="A28" s="6">
        <f t="shared" si="2"/>
        <v>214</v>
      </c>
      <c r="B28" s="6" t="e">
        <f t="shared" ca="1" si="0"/>
        <v>#N/A</v>
      </c>
      <c r="I28" s="6">
        <f t="shared" si="3"/>
        <v>49.740000000000038</v>
      </c>
      <c r="J28" s="6" t="e">
        <f t="shared" ca="1" si="1"/>
        <v>#N/A</v>
      </c>
    </row>
    <row r="29" spans="1:10" x14ac:dyDescent="0.25">
      <c r="A29" s="6">
        <f t="shared" si="2"/>
        <v>216</v>
      </c>
      <c r="B29" s="6" t="e">
        <f t="shared" ca="1" si="0"/>
        <v>#N/A</v>
      </c>
      <c r="I29" s="6">
        <f t="shared" si="3"/>
        <v>49.760000000000041</v>
      </c>
      <c r="J29" s="6" t="e">
        <f t="shared" ca="1" si="1"/>
        <v>#N/A</v>
      </c>
    </row>
    <row r="30" spans="1:10" x14ac:dyDescent="0.25">
      <c r="A30" s="6">
        <f t="shared" si="2"/>
        <v>218</v>
      </c>
      <c r="B30" s="6" t="e">
        <f t="shared" ca="1" si="0"/>
        <v>#N/A</v>
      </c>
      <c r="I30" s="6">
        <f t="shared" si="3"/>
        <v>49.780000000000044</v>
      </c>
      <c r="J30" s="6" t="e">
        <f t="shared" ca="1" si="1"/>
        <v>#N/A</v>
      </c>
    </row>
    <row r="31" spans="1:10" x14ac:dyDescent="0.25">
      <c r="A31" s="6">
        <f t="shared" si="2"/>
        <v>220</v>
      </c>
      <c r="B31" s="6" t="e">
        <f t="shared" ca="1" si="0"/>
        <v>#N/A</v>
      </c>
      <c r="I31" s="6">
        <f t="shared" si="3"/>
        <v>49.800000000000047</v>
      </c>
      <c r="J31" s="6" t="e">
        <f t="shared" ca="1" si="1"/>
        <v>#N/A</v>
      </c>
    </row>
    <row r="32" spans="1:10" x14ac:dyDescent="0.25">
      <c r="A32" s="6">
        <f t="shared" si="2"/>
        <v>222</v>
      </c>
      <c r="B32" s="6" t="e">
        <f t="shared" ca="1" si="0"/>
        <v>#N/A</v>
      </c>
      <c r="I32" s="6">
        <f t="shared" si="3"/>
        <v>49.82000000000005</v>
      </c>
      <c r="J32" s="6" t="e">
        <f t="shared" ca="1" si="1"/>
        <v>#N/A</v>
      </c>
    </row>
    <row r="33" spans="1:10" x14ac:dyDescent="0.25">
      <c r="A33" s="6">
        <f t="shared" si="2"/>
        <v>224</v>
      </c>
      <c r="B33" s="6" t="e">
        <f t="shared" ca="1" si="0"/>
        <v>#N/A</v>
      </c>
      <c r="I33" s="6">
        <f t="shared" si="3"/>
        <v>49.840000000000053</v>
      </c>
      <c r="J33" s="6" t="e">
        <f t="shared" ca="1" si="1"/>
        <v>#N/A</v>
      </c>
    </row>
    <row r="34" spans="1:10" x14ac:dyDescent="0.25">
      <c r="A34" s="6">
        <f t="shared" si="2"/>
        <v>226</v>
      </c>
      <c r="B34" s="6" t="e">
        <f t="shared" ca="1" si="0"/>
        <v>#N/A</v>
      </c>
      <c r="I34" s="6">
        <f t="shared" si="3"/>
        <v>49.860000000000056</v>
      </c>
      <c r="J34" s="6" t="e">
        <f t="shared" ca="1" si="1"/>
        <v>#N/A</v>
      </c>
    </row>
    <row r="35" spans="1:10" x14ac:dyDescent="0.25">
      <c r="A35" s="6">
        <f t="shared" si="2"/>
        <v>228</v>
      </c>
      <c r="B35" s="6" t="e">
        <f t="shared" ca="1" si="0"/>
        <v>#N/A</v>
      </c>
      <c r="I35" s="6">
        <f t="shared" si="3"/>
        <v>49.880000000000059</v>
      </c>
      <c r="J35" s="6" t="e">
        <f t="shared" ca="1" si="1"/>
        <v>#N/A</v>
      </c>
    </row>
    <row r="36" spans="1:10" x14ac:dyDescent="0.25">
      <c r="A36" s="6">
        <f t="shared" si="2"/>
        <v>230</v>
      </c>
      <c r="B36" s="6" t="e">
        <f t="shared" ca="1" si="0"/>
        <v>#N/A</v>
      </c>
      <c r="C36" s="25"/>
      <c r="I36" s="6">
        <f t="shared" si="3"/>
        <v>49.900000000000063</v>
      </c>
      <c r="J36" s="6" t="e">
        <f t="shared" ca="1" si="1"/>
        <v>#N/A</v>
      </c>
    </row>
    <row r="37" spans="1:10" x14ac:dyDescent="0.25">
      <c r="A37" s="6">
        <f t="shared" si="2"/>
        <v>232</v>
      </c>
      <c r="B37" s="6" t="e">
        <f t="shared" ca="1" si="0"/>
        <v>#N/A</v>
      </c>
      <c r="I37" s="6">
        <f t="shared" si="3"/>
        <v>49.920000000000066</v>
      </c>
      <c r="J37" s="6" t="e">
        <f t="shared" ca="1" si="1"/>
        <v>#N/A</v>
      </c>
    </row>
    <row r="38" spans="1:10" x14ac:dyDescent="0.25">
      <c r="A38" s="6">
        <f t="shared" si="2"/>
        <v>234</v>
      </c>
      <c r="B38" s="6" t="e">
        <f t="shared" ca="1" si="0"/>
        <v>#N/A</v>
      </c>
      <c r="I38" s="6">
        <f t="shared" si="3"/>
        <v>49.940000000000069</v>
      </c>
      <c r="J38" s="6" t="e">
        <f t="shared" ca="1" si="1"/>
        <v>#N/A</v>
      </c>
    </row>
    <row r="39" spans="1:10" x14ac:dyDescent="0.25">
      <c r="A39" s="6">
        <f t="shared" si="2"/>
        <v>236</v>
      </c>
      <c r="B39" s="6" t="e">
        <f t="shared" ca="1" si="0"/>
        <v>#N/A</v>
      </c>
      <c r="I39" s="6">
        <f t="shared" si="3"/>
        <v>49.960000000000072</v>
      </c>
      <c r="J39" s="6" t="e">
        <f t="shared" ca="1" si="1"/>
        <v>#N/A</v>
      </c>
    </row>
    <row r="40" spans="1:10" x14ac:dyDescent="0.25">
      <c r="A40" s="6">
        <f t="shared" si="2"/>
        <v>238</v>
      </c>
      <c r="B40" s="6" t="e">
        <f t="shared" ca="1" si="0"/>
        <v>#N/A</v>
      </c>
      <c r="I40" s="6">
        <f t="shared" si="3"/>
        <v>49.980000000000075</v>
      </c>
      <c r="J40" s="6" t="e">
        <f t="shared" ca="1" si="1"/>
        <v>#N/A</v>
      </c>
    </row>
    <row r="41" spans="1:10" x14ac:dyDescent="0.25">
      <c r="A41" s="6">
        <f t="shared" si="2"/>
        <v>240</v>
      </c>
      <c r="B41" s="6" t="e">
        <f t="shared" ref="B41:B45" ca="1" si="4">COUNTIF(UA,"&lt;"&amp;A41+($B$11/2))-COUNTIF(UA,"&lt;"&amp;A41-($B$11/2))</f>
        <v>#N/A</v>
      </c>
      <c r="I41" s="6">
        <f t="shared" si="3"/>
        <v>50.000000000000078</v>
      </c>
      <c r="J41" s="6" t="e">
        <f t="shared" ca="1" si="1"/>
        <v>#N/A</v>
      </c>
    </row>
    <row r="42" spans="1:10" x14ac:dyDescent="0.25">
      <c r="A42" s="6">
        <f t="shared" si="2"/>
        <v>242</v>
      </c>
      <c r="B42" s="6" t="e">
        <f t="shared" ca="1" si="4"/>
        <v>#N/A</v>
      </c>
      <c r="I42" s="6">
        <f t="shared" si="3"/>
        <v>50.020000000000081</v>
      </c>
      <c r="J42" s="6" t="e">
        <f t="shared" ca="1" si="1"/>
        <v>#N/A</v>
      </c>
    </row>
    <row r="43" spans="1:10" x14ac:dyDescent="0.25">
      <c r="A43" s="6">
        <f t="shared" si="2"/>
        <v>244</v>
      </c>
      <c r="B43" s="6" t="e">
        <f t="shared" ca="1" si="4"/>
        <v>#N/A</v>
      </c>
      <c r="I43" s="6">
        <f t="shared" si="3"/>
        <v>50.040000000000084</v>
      </c>
      <c r="J43" s="6" t="e">
        <f t="shared" ca="1" si="1"/>
        <v>#N/A</v>
      </c>
    </row>
    <row r="44" spans="1:10" x14ac:dyDescent="0.25">
      <c r="A44" s="6">
        <f t="shared" si="2"/>
        <v>246</v>
      </c>
      <c r="B44" s="6" t="e">
        <f t="shared" ca="1" si="4"/>
        <v>#N/A</v>
      </c>
      <c r="I44" s="6">
        <f t="shared" si="3"/>
        <v>50.060000000000088</v>
      </c>
      <c r="J44" s="6" t="e">
        <f t="shared" ca="1" si="1"/>
        <v>#N/A</v>
      </c>
    </row>
    <row r="45" spans="1:10" x14ac:dyDescent="0.25">
      <c r="A45" s="6">
        <f t="shared" si="2"/>
        <v>248</v>
      </c>
      <c r="B45" s="6" t="e">
        <f t="shared" ca="1" si="4"/>
        <v>#N/A</v>
      </c>
      <c r="I45" s="6">
        <f t="shared" si="3"/>
        <v>50.080000000000091</v>
      </c>
      <c r="J45" s="6" t="e">
        <f t="shared" ca="1" si="1"/>
        <v>#N/A</v>
      </c>
    </row>
    <row r="46" spans="1:10" x14ac:dyDescent="0.25">
      <c r="A46" s="8"/>
      <c r="B46" s="8"/>
      <c r="I46" s="6">
        <f t="shared" si="3"/>
        <v>50.100000000000094</v>
      </c>
      <c r="J46" s="6" t="e">
        <f t="shared" ca="1" si="1"/>
        <v>#N/A</v>
      </c>
    </row>
    <row r="47" spans="1:10" x14ac:dyDescent="0.25">
      <c r="A47" s="8"/>
      <c r="B47" s="8"/>
      <c r="I47" s="6">
        <f t="shared" si="3"/>
        <v>50.120000000000097</v>
      </c>
      <c r="J47" s="6" t="e">
        <f t="shared" ca="1" si="1"/>
        <v>#N/A</v>
      </c>
    </row>
    <row r="48" spans="1:10" x14ac:dyDescent="0.25">
      <c r="A48" s="8"/>
      <c r="B48" s="8"/>
      <c r="I48" s="6">
        <f t="shared" si="3"/>
        <v>50.1400000000001</v>
      </c>
      <c r="J48" s="6" t="e">
        <f t="shared" ca="1" si="1"/>
        <v>#N/A</v>
      </c>
    </row>
    <row r="49" spans="1:10" x14ac:dyDescent="0.25">
      <c r="A49" s="8"/>
      <c r="B49" s="8"/>
      <c r="I49" s="6">
        <f t="shared" si="3"/>
        <v>50.160000000000103</v>
      </c>
      <c r="J49" s="6" t="e">
        <f t="shared" ca="1" si="1"/>
        <v>#N/A</v>
      </c>
    </row>
    <row r="50" spans="1:10" x14ac:dyDescent="0.25">
      <c r="A50" s="8"/>
      <c r="B50" s="8"/>
      <c r="I50" s="6">
        <f t="shared" si="3"/>
        <v>50.180000000000106</v>
      </c>
      <c r="J50" s="6" t="e">
        <f t="shared" ca="1" si="1"/>
        <v>#N/A</v>
      </c>
    </row>
    <row r="51" spans="1:10" x14ac:dyDescent="0.25">
      <c r="I51" s="6">
        <f t="shared" si="3"/>
        <v>50.200000000000109</v>
      </c>
      <c r="J51" s="6" t="e">
        <f t="shared" ca="1" si="1"/>
        <v>#N/A</v>
      </c>
    </row>
    <row r="52" spans="1:10" x14ac:dyDescent="0.25">
      <c r="I52" s="6">
        <f t="shared" si="3"/>
        <v>50.220000000000113</v>
      </c>
      <c r="J52" s="6" t="e">
        <f t="shared" ca="1" si="1"/>
        <v>#N/A</v>
      </c>
    </row>
    <row r="53" spans="1:10" x14ac:dyDescent="0.25">
      <c r="I53" s="6">
        <f t="shared" si="3"/>
        <v>50.240000000000116</v>
      </c>
      <c r="J53" s="6" t="e">
        <f t="shared" ca="1" si="1"/>
        <v>#N/A</v>
      </c>
    </row>
    <row r="54" spans="1:10" x14ac:dyDescent="0.25">
      <c r="I54" s="6">
        <f t="shared" si="3"/>
        <v>50.260000000000119</v>
      </c>
      <c r="J54" s="6" t="e">
        <f t="shared" ca="1" si="1"/>
        <v>#N/A</v>
      </c>
    </row>
    <row r="55" spans="1:10" x14ac:dyDescent="0.25">
      <c r="I55" s="6">
        <f t="shared" si="3"/>
        <v>50.280000000000122</v>
      </c>
      <c r="J55" s="6" t="e">
        <f t="shared" ca="1" si="1"/>
        <v>#N/A</v>
      </c>
    </row>
    <row r="56" spans="1:10" x14ac:dyDescent="0.25">
      <c r="I56" s="6">
        <f t="shared" si="3"/>
        <v>50.300000000000125</v>
      </c>
      <c r="J56" s="6" t="e">
        <f t="shared" ca="1" si="1"/>
        <v>#N/A</v>
      </c>
    </row>
    <row r="57" spans="1:10" x14ac:dyDescent="0.25">
      <c r="I57" s="8"/>
      <c r="J57" s="8"/>
    </row>
    <row r="58" spans="1:10" x14ac:dyDescent="0.25">
      <c r="I58" s="8"/>
      <c r="J58" s="8"/>
    </row>
    <row r="59" spans="1:10" x14ac:dyDescent="0.25">
      <c r="I59" s="8"/>
      <c r="J59" s="8"/>
    </row>
    <row r="60" spans="1:10" x14ac:dyDescent="0.25">
      <c r="I60" s="8"/>
      <c r="J60" s="8"/>
    </row>
    <row r="61" spans="1:10" x14ac:dyDescent="0.25">
      <c r="I61" s="8"/>
      <c r="J61" s="8"/>
    </row>
    <row r="62" spans="1:10" x14ac:dyDescent="0.25">
      <c r="I62" s="8"/>
      <c r="J62" s="8"/>
    </row>
  </sheetData>
  <sheetProtection algorithmName="SHA-512" hashValue="ExLCNv5tsKsOzkNI8Q+e/lz7mN3uQa7hX0CNt5h/73wz0JZBO/0oFT0r/yp3f1U5D3fJ0WPIIhP2F6HvxbXp/A==" saltValue="IiMiWTEYUABMzJefkyZKVQ==" spinCount="100000" sheet="1" objects="1" scenarios="1"/>
  <sortState xmlns:xlrd2="http://schemas.microsoft.com/office/spreadsheetml/2017/richdata2" ref="A16:A41">
    <sortCondition ref="A16"/>
  </sortState>
  <conditionalFormatting sqref="B15:B50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57:J62 J1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6:J5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5:J5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hyperlinks>
    <hyperlink ref="M5" r:id="rId1" xr:uid="{92AB0A4F-AA1E-468C-BDBB-BCD235924DDB}"/>
    <hyperlink ref="M6" r:id="rId2" xr:uid="{AAA71B5E-A32A-4E70-8244-3A5880872F53}"/>
  </hyperlinks>
  <pageMargins left="0.7" right="0.7" top="0.75" bottom="0.75" header="0.3" footer="0.3"/>
  <pageSetup paperSize="9" scale="44"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38D9B-891E-4DCC-B6D9-6D57C1F60F4E}">
  <sheetPr codeName="Hoja3"/>
  <dimension ref="A1:S16330"/>
  <sheetViews>
    <sheetView view="pageBreakPreview" zoomScale="60" zoomScaleNormal="100" workbookViewId="0">
      <selection sqref="A1:N7"/>
    </sheetView>
  </sheetViews>
  <sheetFormatPr baseColWidth="10" defaultRowHeight="15" x14ac:dyDescent="0.25"/>
  <cols>
    <col min="1" max="1" width="3.5703125" style="8" bestFit="1" customWidth="1"/>
    <col min="2" max="2" width="5.42578125" style="8" customWidth="1"/>
    <col min="3" max="3" width="39.5703125" bestFit="1" customWidth="1"/>
    <col min="4" max="4" width="10.42578125" style="25" bestFit="1" customWidth="1"/>
    <col min="5" max="5" width="11.28515625" style="8" bestFit="1" customWidth="1"/>
    <col min="6" max="7" width="12" style="8" bestFit="1" customWidth="1"/>
    <col min="8" max="8" width="11.28515625" style="8" bestFit="1" customWidth="1"/>
    <col min="19" max="19" width="11.42578125" style="8"/>
  </cols>
  <sheetData>
    <row r="1" spans="1:19" s="4" customFormat="1" ht="21" x14ac:dyDescent="0.35">
      <c r="A1" s="36"/>
      <c r="B1" s="37"/>
      <c r="C1" s="37"/>
      <c r="D1" s="37"/>
      <c r="E1" s="37"/>
      <c r="F1" s="37"/>
      <c r="G1" s="37"/>
      <c r="H1" s="37"/>
      <c r="I1" s="37"/>
      <c r="J1" s="38"/>
      <c r="K1" s="36"/>
      <c r="L1" s="37"/>
      <c r="M1" s="37"/>
      <c r="N1" s="37"/>
      <c r="O1" s="37"/>
      <c r="P1" s="37"/>
      <c r="Q1" s="38"/>
    </row>
    <row r="2" spans="1:19" x14ac:dyDescent="0.25">
      <c r="A2" s="39" t="s">
        <v>129</v>
      </c>
      <c r="B2" s="35" t="s">
        <v>130</v>
      </c>
      <c r="C2" s="35"/>
      <c r="D2" s="35"/>
      <c r="E2" s="35"/>
      <c r="F2" s="35"/>
      <c r="G2" s="35"/>
      <c r="H2" s="35"/>
      <c r="I2" s="35"/>
      <c r="J2" s="40"/>
      <c r="K2" s="41"/>
      <c r="L2" s="42" t="s">
        <v>131</v>
      </c>
      <c r="M2" s="35" t="s">
        <v>132</v>
      </c>
      <c r="N2" s="35"/>
      <c r="O2" s="35"/>
      <c r="P2" s="35"/>
      <c r="Q2" s="40"/>
      <c r="S2"/>
    </row>
    <row r="3" spans="1:19" x14ac:dyDescent="0.25">
      <c r="A3" s="39" t="s">
        <v>133</v>
      </c>
      <c r="B3" s="35" t="s">
        <v>134</v>
      </c>
      <c r="C3" s="35"/>
      <c r="D3" s="35"/>
      <c r="E3" s="35"/>
      <c r="F3" s="35"/>
      <c r="G3" s="35"/>
      <c r="H3" s="35"/>
      <c r="I3" s="35"/>
      <c r="J3" s="40"/>
      <c r="K3" s="41"/>
      <c r="L3" s="42" t="s">
        <v>135</v>
      </c>
      <c r="M3" s="35" t="s">
        <v>136</v>
      </c>
      <c r="N3" s="35"/>
      <c r="O3" s="35"/>
      <c r="P3" s="35"/>
      <c r="Q3" s="40"/>
      <c r="S3"/>
    </row>
    <row r="4" spans="1:19" x14ac:dyDescent="0.25">
      <c r="A4" s="39" t="s">
        <v>137</v>
      </c>
      <c r="B4" s="43">
        <v>44859</v>
      </c>
      <c r="C4" s="35"/>
      <c r="D4" s="35"/>
      <c r="E4" s="35"/>
      <c r="F4" s="35"/>
      <c r="G4" s="35"/>
      <c r="H4" s="35"/>
      <c r="I4" s="35"/>
      <c r="J4" s="40"/>
      <c r="K4" s="41"/>
      <c r="L4" s="42" t="s">
        <v>138</v>
      </c>
      <c r="M4" s="44" t="s">
        <v>139</v>
      </c>
      <c r="N4" s="35"/>
      <c r="O4" s="35"/>
      <c r="P4" s="35"/>
      <c r="Q4" s="40"/>
      <c r="S4"/>
    </row>
    <row r="5" spans="1:19" x14ac:dyDescent="0.25">
      <c r="A5" s="39" t="s">
        <v>140</v>
      </c>
      <c r="B5" s="35" t="s">
        <v>141</v>
      </c>
      <c r="C5" s="35"/>
      <c r="D5" s="35"/>
      <c r="E5" s="35"/>
      <c r="F5" s="35"/>
      <c r="G5" s="35"/>
      <c r="H5" s="35"/>
      <c r="I5" s="35"/>
      <c r="J5" s="40"/>
      <c r="K5" s="41"/>
      <c r="L5" s="42" t="s">
        <v>142</v>
      </c>
      <c r="M5" s="45" t="s">
        <v>68</v>
      </c>
      <c r="N5" s="35"/>
      <c r="O5" s="35"/>
      <c r="P5" s="35"/>
      <c r="Q5" s="40"/>
      <c r="S5"/>
    </row>
    <row r="6" spans="1:19" x14ac:dyDescent="0.25">
      <c r="A6" s="39" t="s">
        <v>143</v>
      </c>
      <c r="B6" s="35" t="s">
        <v>144</v>
      </c>
      <c r="C6" s="35"/>
      <c r="D6" s="35"/>
      <c r="E6" s="35"/>
      <c r="F6" s="35"/>
      <c r="G6" s="35"/>
      <c r="H6" s="35"/>
      <c r="I6" s="35"/>
      <c r="J6" s="40"/>
      <c r="K6" s="41"/>
      <c r="L6" s="42" t="s">
        <v>145</v>
      </c>
      <c r="M6" s="46" t="s">
        <v>67</v>
      </c>
      <c r="N6" s="35"/>
      <c r="O6" s="35"/>
      <c r="P6" s="35"/>
      <c r="Q6" s="40"/>
      <c r="S6"/>
    </row>
    <row r="7" spans="1:19" x14ac:dyDescent="0.25">
      <c r="A7" s="39" t="s">
        <v>146</v>
      </c>
      <c r="B7" s="35" t="s">
        <v>147</v>
      </c>
      <c r="C7" s="35"/>
      <c r="D7" s="35"/>
      <c r="E7" s="35"/>
      <c r="F7" s="35"/>
      <c r="G7" s="35"/>
      <c r="H7" s="35"/>
      <c r="I7" s="35"/>
      <c r="J7" s="40"/>
      <c r="K7" s="41"/>
      <c r="L7" s="35"/>
      <c r="M7" s="35"/>
      <c r="N7" s="35"/>
      <c r="O7" s="35"/>
      <c r="P7" s="35"/>
      <c r="Q7" s="40"/>
      <c r="S7"/>
    </row>
    <row r="8" spans="1:19" ht="15.75" thickBot="1" x14ac:dyDescent="0.3">
      <c r="A8" s="47"/>
      <c r="B8" s="48"/>
      <c r="C8" s="48"/>
      <c r="D8" s="48"/>
      <c r="E8" s="48"/>
      <c r="F8" s="48"/>
      <c r="G8" s="48"/>
      <c r="H8" s="48"/>
      <c r="I8" s="48"/>
      <c r="J8" s="49"/>
      <c r="K8" s="47"/>
      <c r="L8" s="48"/>
      <c r="M8" s="48"/>
      <c r="N8" s="48"/>
      <c r="O8" s="48"/>
      <c r="P8" s="48"/>
      <c r="Q8" s="49"/>
      <c r="S8"/>
    </row>
    <row r="9" spans="1:19" ht="21" x14ac:dyDescent="0.35">
      <c r="B9" s="16" t="s">
        <v>128</v>
      </c>
      <c r="M9" s="5"/>
    </row>
    <row r="10" spans="1:19" x14ac:dyDescent="0.25">
      <c r="B10" s="17" t="s">
        <v>67</v>
      </c>
    </row>
    <row r="11" spans="1:19" x14ac:dyDescent="0.25">
      <c r="B11" s="17" t="s">
        <v>68</v>
      </c>
    </row>
    <row r="12" spans="1:19" x14ac:dyDescent="0.25">
      <c r="A12" s="8" t="s">
        <v>120</v>
      </c>
      <c r="B12" s="10" t="s">
        <v>64</v>
      </c>
      <c r="C12" s="13" t="s">
        <v>66</v>
      </c>
      <c r="D12" s="10" t="s">
        <v>65</v>
      </c>
      <c r="E12" s="10" t="s">
        <v>61</v>
      </c>
      <c r="F12" s="10" t="s">
        <v>60</v>
      </c>
      <c r="G12" s="10" t="s">
        <v>63</v>
      </c>
      <c r="H12" s="10" t="s">
        <v>62</v>
      </c>
    </row>
    <row r="13" spans="1:19" x14ac:dyDescent="0.25">
      <c r="A13" s="6" t="s">
        <v>85</v>
      </c>
      <c r="B13" s="6">
        <v>1</v>
      </c>
      <c r="C13" s="52" t="s">
        <v>0</v>
      </c>
      <c r="D13" s="6" t="s">
        <v>29</v>
      </c>
      <c r="E13" s="11">
        <f ca="1">MIN(DATE)</f>
        <v>0</v>
      </c>
      <c r="F13" s="11">
        <f ca="1">MAX(DATE)</f>
        <v>0</v>
      </c>
      <c r="G13" s="6">
        <f ca="1">F13-E13</f>
        <v>0</v>
      </c>
      <c r="H13" s="11" t="e">
        <f ca="1">+AVERAGE(DATE)</f>
        <v>#DIV/0!</v>
      </c>
    </row>
    <row r="14" spans="1:19" x14ac:dyDescent="0.25">
      <c r="A14" s="6" t="s">
        <v>86</v>
      </c>
      <c r="B14" s="6">
        <v>2</v>
      </c>
      <c r="C14" s="52"/>
      <c r="D14" s="6" t="s">
        <v>30</v>
      </c>
      <c r="E14" s="7">
        <f ca="1">MIN(TIME)</f>
        <v>0.7324074074074074</v>
      </c>
      <c r="F14" s="7">
        <f ca="1">MAX(TIME)</f>
        <v>0.73865740740740737</v>
      </c>
      <c r="G14" s="7">
        <f ca="1">F14-E14</f>
        <v>6.2499999999999778E-3</v>
      </c>
      <c r="H14" s="7">
        <f ca="1">AVERAGE(TIME)</f>
        <v>0.73553240740740744</v>
      </c>
    </row>
    <row r="15" spans="1:19" x14ac:dyDescent="0.25">
      <c r="A15" s="6" t="s">
        <v>87</v>
      </c>
      <c r="B15" s="6">
        <v>3</v>
      </c>
      <c r="C15" s="32" t="s">
        <v>1</v>
      </c>
      <c r="D15" s="6" t="s">
        <v>31</v>
      </c>
      <c r="E15" s="6" t="e">
        <f ca="1">MIN(UA)</f>
        <v>#N/A</v>
      </c>
      <c r="F15" s="6" t="e">
        <f ca="1">+MAX(UA)</f>
        <v>#N/A</v>
      </c>
      <c r="G15" s="6" t="e">
        <f t="shared" ref="G15" ca="1" si="0">F15-E15</f>
        <v>#N/A</v>
      </c>
      <c r="H15" s="9" t="e">
        <f ca="1">AVERAGE(UA)</f>
        <v>#N/A</v>
      </c>
    </row>
    <row r="16" spans="1:19" x14ac:dyDescent="0.25">
      <c r="A16" s="6" t="s">
        <v>88</v>
      </c>
      <c r="B16" s="6">
        <v>4</v>
      </c>
      <c r="C16" s="32" t="s">
        <v>2</v>
      </c>
      <c r="D16" s="6" t="s">
        <v>32</v>
      </c>
      <c r="E16" s="34" t="e">
        <f ca="1">MIN(UTHA)</f>
        <v>#N/A</v>
      </c>
      <c r="F16" s="33" t="e">
        <f ca="1">+MAX(UTHA)</f>
        <v>#N/A</v>
      </c>
      <c r="G16" s="33" t="e">
        <f t="shared" ref="G16:G18" ca="1" si="1">F16-E16</f>
        <v>#N/A</v>
      </c>
      <c r="H16" s="33" t="e">
        <f ca="1">AVERAGE(UTHA)</f>
        <v>#N/A</v>
      </c>
    </row>
    <row r="17" spans="1:8" x14ac:dyDescent="0.25">
      <c r="A17" s="6" t="s">
        <v>89</v>
      </c>
      <c r="B17" s="6">
        <v>5</v>
      </c>
      <c r="C17" s="32" t="s">
        <v>3</v>
      </c>
      <c r="D17" s="6" t="s">
        <v>33</v>
      </c>
      <c r="E17" s="6" t="e">
        <f ca="1">MIN(IA)</f>
        <v>#N/A</v>
      </c>
      <c r="F17" s="6" t="e">
        <f ca="1">+MAX(IA)</f>
        <v>#N/A</v>
      </c>
      <c r="G17" s="6" t="e">
        <f t="shared" ca="1" si="1"/>
        <v>#N/A</v>
      </c>
      <c r="H17" s="9" t="e">
        <f ca="1">AVERAGE(IA)</f>
        <v>#N/A</v>
      </c>
    </row>
    <row r="18" spans="1:8" x14ac:dyDescent="0.25">
      <c r="A18" s="6" t="s">
        <v>90</v>
      </c>
      <c r="B18" s="6">
        <v>6</v>
      </c>
      <c r="C18" s="32" t="s">
        <v>4</v>
      </c>
      <c r="D18" s="6" t="s">
        <v>34</v>
      </c>
      <c r="E18" s="6" t="e">
        <f ca="1">MIN(ITHA)</f>
        <v>#N/A</v>
      </c>
      <c r="F18" s="6" t="e">
        <f ca="1">+MAX(ITHA)</f>
        <v>#N/A</v>
      </c>
      <c r="G18" s="6" t="e">
        <f t="shared" ca="1" si="1"/>
        <v>#N/A</v>
      </c>
      <c r="H18" s="9" t="e">
        <f ca="1">AVERAGE(ITHA)</f>
        <v>#N/A</v>
      </c>
    </row>
    <row r="19" spans="1:8" x14ac:dyDescent="0.25">
      <c r="A19" s="6" t="s">
        <v>94</v>
      </c>
      <c r="B19" s="6">
        <v>7</v>
      </c>
      <c r="C19" s="32" t="s">
        <v>5</v>
      </c>
      <c r="D19" s="6" t="s">
        <v>35</v>
      </c>
      <c r="E19" s="6" t="e">
        <f ca="1">MIN(ITHXA)</f>
        <v>#N/A</v>
      </c>
      <c r="F19" s="6" t="e">
        <f ca="1">+MAX(ITHXA)</f>
        <v>#N/A</v>
      </c>
      <c r="G19" s="6" t="e">
        <f t="shared" ref="G19" ca="1" si="2">F19-E19</f>
        <v>#N/A</v>
      </c>
      <c r="H19" s="9" t="e">
        <f ca="1">AVERAGE(ITHXA)</f>
        <v>#N/A</v>
      </c>
    </row>
    <row r="20" spans="1:8" x14ac:dyDescent="0.25">
      <c r="A20" s="6" t="s">
        <v>95</v>
      </c>
      <c r="B20" s="6">
        <v>8</v>
      </c>
      <c r="C20" s="32" t="s">
        <v>6</v>
      </c>
      <c r="D20" s="6" t="s">
        <v>36</v>
      </c>
      <c r="E20" s="6" t="e">
        <f ca="1">MIN(ITHYA)</f>
        <v>#N/A</v>
      </c>
      <c r="F20" s="6" t="e">
        <f ca="1">+MAX(ITHYA)</f>
        <v>#N/A</v>
      </c>
      <c r="G20" s="6" t="e">
        <f t="shared" ref="G20" ca="1" si="3">F20-E20</f>
        <v>#N/A</v>
      </c>
      <c r="H20" s="9" t="e">
        <f ca="1">AVERAGE(ITHYA)</f>
        <v>#N/A</v>
      </c>
    </row>
    <row r="21" spans="1:8" x14ac:dyDescent="0.25">
      <c r="A21" s="6" t="s">
        <v>96</v>
      </c>
      <c r="B21" s="6">
        <v>9</v>
      </c>
      <c r="C21" s="32" t="s">
        <v>7</v>
      </c>
      <c r="D21" s="6" t="s">
        <v>37</v>
      </c>
      <c r="E21" s="6" t="e">
        <f ca="1">MIN(ITHZA)</f>
        <v>#N/A</v>
      </c>
      <c r="F21" s="6" t="e">
        <f ca="1">+MAX(ITHZA)</f>
        <v>#N/A</v>
      </c>
      <c r="G21" s="6" t="e">
        <f t="shared" ref="G21" ca="1" si="4">F21-E21</f>
        <v>#N/A</v>
      </c>
      <c r="H21" s="9" t="e">
        <f ca="1">AVERAGE(ITHZA)</f>
        <v>#N/A</v>
      </c>
    </row>
    <row r="22" spans="1:8" x14ac:dyDescent="0.25">
      <c r="A22" s="6" t="s">
        <v>97</v>
      </c>
      <c r="B22" s="6">
        <v>10</v>
      </c>
      <c r="C22" s="32" t="s">
        <v>8</v>
      </c>
      <c r="D22" s="6" t="s">
        <v>38</v>
      </c>
      <c r="E22" s="6" t="e">
        <f ca="1">MIN(ITHVA)</f>
        <v>#N/A</v>
      </c>
      <c r="F22" s="6" t="e">
        <f ca="1">+MAX(ITHVA)</f>
        <v>#N/A</v>
      </c>
      <c r="G22" s="6" t="e">
        <f t="shared" ref="G22" ca="1" si="5">F22-E22</f>
        <v>#N/A</v>
      </c>
      <c r="H22" s="9" t="e">
        <f ca="1">AVERAGE(ITHVA)</f>
        <v>#N/A</v>
      </c>
    </row>
    <row r="23" spans="1:8" x14ac:dyDescent="0.25">
      <c r="A23" s="6" t="s">
        <v>98</v>
      </c>
      <c r="B23" s="6">
        <v>11</v>
      </c>
      <c r="C23" s="32" t="s">
        <v>73</v>
      </c>
      <c r="D23" s="6" t="s">
        <v>39</v>
      </c>
      <c r="E23" s="6" t="e">
        <f ca="1">MIN(ITHWA)</f>
        <v>#N/A</v>
      </c>
      <c r="F23" s="6" t="e">
        <f ca="1">+MAX(ITHWA)</f>
        <v>#N/A</v>
      </c>
      <c r="G23" s="6" t="e">
        <f t="shared" ref="G23" ca="1" si="6">F23-E23</f>
        <v>#N/A</v>
      </c>
      <c r="H23" s="9" t="e">
        <f ca="1">AVERAGE(ITHWA)</f>
        <v>#N/A</v>
      </c>
    </row>
    <row r="24" spans="1:8" x14ac:dyDescent="0.25">
      <c r="A24" s="6" t="s">
        <v>99</v>
      </c>
      <c r="B24" s="6">
        <v>12</v>
      </c>
      <c r="C24" s="32" t="s">
        <v>9</v>
      </c>
      <c r="D24" s="6" t="s">
        <v>122</v>
      </c>
      <c r="E24" s="6" t="e">
        <f ca="1">MIN(ITHXAA)</f>
        <v>#N/A</v>
      </c>
      <c r="F24" s="6" t="e">
        <f ca="1">+MAX(ITHXAA)</f>
        <v>#N/A</v>
      </c>
      <c r="G24" s="6" t="e">
        <f t="shared" ref="G24:G28" ca="1" si="7">F24-E24</f>
        <v>#N/A</v>
      </c>
      <c r="H24" s="9" t="e">
        <f ca="1">AVERAGE(ITHXAA)</f>
        <v>#N/A</v>
      </c>
    </row>
    <row r="25" spans="1:8" x14ac:dyDescent="0.25">
      <c r="A25" s="6" t="s">
        <v>100</v>
      </c>
      <c r="B25" s="6">
        <v>13</v>
      </c>
      <c r="C25" s="32" t="s">
        <v>10</v>
      </c>
      <c r="D25" s="6" t="s">
        <v>123</v>
      </c>
      <c r="E25" s="6" t="e">
        <f ca="1">MIN(ITHYAA)</f>
        <v>#N/A</v>
      </c>
      <c r="F25" s="6" t="e">
        <f ca="1">+MAX(ITHYAA)</f>
        <v>#N/A</v>
      </c>
      <c r="G25" s="6" t="e">
        <f t="shared" ca="1" si="7"/>
        <v>#N/A</v>
      </c>
      <c r="H25" s="9" t="e">
        <f ca="1">AVERAGE(ITHYAA)</f>
        <v>#N/A</v>
      </c>
    </row>
    <row r="26" spans="1:8" x14ac:dyDescent="0.25">
      <c r="A26" s="6" t="s">
        <v>101</v>
      </c>
      <c r="B26" s="6">
        <v>14</v>
      </c>
      <c r="C26" s="32" t="s">
        <v>11</v>
      </c>
      <c r="D26" s="6" t="s">
        <v>124</v>
      </c>
      <c r="E26" s="6" t="e">
        <f ca="1">MIN(ITHZAA)</f>
        <v>#N/A</v>
      </c>
      <c r="F26" s="6" t="e">
        <f ca="1">+MAX(ITHZAA)</f>
        <v>#N/A</v>
      </c>
      <c r="G26" s="6" t="e">
        <f t="shared" ca="1" si="7"/>
        <v>#N/A</v>
      </c>
      <c r="H26" s="9" t="e">
        <f ca="1">AVERAGE(ITHZAA)</f>
        <v>#N/A</v>
      </c>
    </row>
    <row r="27" spans="1:8" x14ac:dyDescent="0.25">
      <c r="A27" s="6" t="s">
        <v>102</v>
      </c>
      <c r="B27" s="6">
        <v>15</v>
      </c>
      <c r="C27" s="32" t="s">
        <v>12</v>
      </c>
      <c r="D27" s="6" t="s">
        <v>125</v>
      </c>
      <c r="E27" s="6" t="e">
        <f ca="1">MIN(ITHVAA)</f>
        <v>#N/A</v>
      </c>
      <c r="F27" s="6" t="e">
        <f ca="1">+MAX(ITHVAA)</f>
        <v>#N/A</v>
      </c>
      <c r="G27" s="6" t="e">
        <f t="shared" ca="1" si="7"/>
        <v>#N/A</v>
      </c>
      <c r="H27" s="9" t="e">
        <f ca="1">AVERAGE(ITHVAA)</f>
        <v>#N/A</v>
      </c>
    </row>
    <row r="28" spans="1:8" x14ac:dyDescent="0.25">
      <c r="A28" s="6" t="s">
        <v>103</v>
      </c>
      <c r="B28" s="6">
        <v>16</v>
      </c>
      <c r="C28" s="32" t="s">
        <v>74</v>
      </c>
      <c r="D28" s="6" t="s">
        <v>121</v>
      </c>
      <c r="E28" s="6" t="e">
        <f ca="1">MIN(ITHWAA)</f>
        <v>#N/A</v>
      </c>
      <c r="F28" s="6" t="e">
        <f ca="1">+MAX(ITHWAA)</f>
        <v>#N/A</v>
      </c>
      <c r="G28" s="6" t="e">
        <f t="shared" ca="1" si="7"/>
        <v>#N/A</v>
      </c>
      <c r="H28" s="9" t="e">
        <f ca="1">AVERAGE(ITHWAA)</f>
        <v>#N/A</v>
      </c>
    </row>
    <row r="29" spans="1:8" x14ac:dyDescent="0.25">
      <c r="A29" s="6" t="s">
        <v>104</v>
      </c>
      <c r="B29" s="6">
        <v>17</v>
      </c>
      <c r="C29" s="32" t="s">
        <v>13</v>
      </c>
      <c r="D29" s="6" t="s">
        <v>40</v>
      </c>
      <c r="E29" s="6" t="e">
        <f ca="1">MIN(F_A)</f>
        <v>#N/A</v>
      </c>
      <c r="F29" s="6" t="e">
        <f ca="1">+MAX(F_A)</f>
        <v>#N/A</v>
      </c>
      <c r="G29" s="6" t="e">
        <f t="shared" ref="G29:G31" ca="1" si="8">F29-E29</f>
        <v>#N/A</v>
      </c>
      <c r="H29" s="9" t="e">
        <f ca="1">AVERAGE(F_A)</f>
        <v>#N/A</v>
      </c>
    </row>
    <row r="30" spans="1:8" x14ac:dyDescent="0.25">
      <c r="A30" s="6" t="s">
        <v>92</v>
      </c>
      <c r="B30" s="6">
        <v>18</v>
      </c>
      <c r="C30" s="32" t="s">
        <v>14</v>
      </c>
      <c r="D30" s="6" t="s">
        <v>41</v>
      </c>
      <c r="E30" s="14" t="e">
        <f ca="1">MIN(PFA)</f>
        <v>#N/A</v>
      </c>
      <c r="F30" s="14" t="e">
        <f ca="1">+MAX(PFA)</f>
        <v>#N/A</v>
      </c>
      <c r="G30" s="14" t="e">
        <f t="shared" ca="1" si="8"/>
        <v>#N/A</v>
      </c>
      <c r="H30" s="14" t="e">
        <f ca="1">AVERAGE(PFA)</f>
        <v>#N/A</v>
      </c>
    </row>
    <row r="31" spans="1:8" x14ac:dyDescent="0.25">
      <c r="A31" s="6" t="s">
        <v>105</v>
      </c>
      <c r="B31" s="6">
        <v>19</v>
      </c>
      <c r="C31" s="32" t="s">
        <v>15</v>
      </c>
      <c r="D31" s="6" t="s">
        <v>42</v>
      </c>
      <c r="E31" s="12" t="e">
        <f ca="1">MIN(P_A)</f>
        <v>#N/A</v>
      </c>
      <c r="F31" s="12" t="e">
        <f ca="1">+MAX(P_A)</f>
        <v>#N/A</v>
      </c>
      <c r="G31" s="12" t="e">
        <f t="shared" ca="1" si="8"/>
        <v>#N/A</v>
      </c>
      <c r="H31" s="12" t="e">
        <f ca="1">AVERAGE(P_A)</f>
        <v>#N/A</v>
      </c>
    </row>
    <row r="32" spans="1:8" x14ac:dyDescent="0.25">
      <c r="A32" s="6" t="s">
        <v>106</v>
      </c>
      <c r="B32" s="6">
        <v>20</v>
      </c>
      <c r="C32" s="32" t="s">
        <v>16</v>
      </c>
      <c r="D32" s="6" t="s">
        <v>43</v>
      </c>
      <c r="E32" s="12" t="e">
        <f ca="1">MIN(Q_A)</f>
        <v>#N/A</v>
      </c>
      <c r="F32" s="12" t="e">
        <f ca="1">+MAX(Q_A)</f>
        <v>#N/A</v>
      </c>
      <c r="G32" s="12" t="e">
        <f t="shared" ref="G32:G34" ca="1" si="9">F32-E32</f>
        <v>#N/A</v>
      </c>
      <c r="H32" s="12" t="e">
        <f ca="1">AVERAGE(Q_A)</f>
        <v>#N/A</v>
      </c>
    </row>
    <row r="33" spans="1:8" x14ac:dyDescent="0.25">
      <c r="A33" s="6" t="s">
        <v>91</v>
      </c>
      <c r="B33" s="6">
        <v>21</v>
      </c>
      <c r="C33" s="32" t="s">
        <v>17</v>
      </c>
      <c r="D33" s="6" t="s">
        <v>44</v>
      </c>
      <c r="E33" s="12" t="e">
        <f ca="1">MIN(S_A)</f>
        <v>#N/A</v>
      </c>
      <c r="F33" s="12" t="e">
        <f ca="1">+MAX(S_A)</f>
        <v>#N/A</v>
      </c>
      <c r="G33" s="12" t="e">
        <f t="shared" ca="1" si="9"/>
        <v>#N/A</v>
      </c>
      <c r="H33" s="12" t="e">
        <f ca="1">AVERAGE(S_A)</f>
        <v>#N/A</v>
      </c>
    </row>
    <row r="34" spans="1:8" x14ac:dyDescent="0.25">
      <c r="A34" s="6" t="s">
        <v>93</v>
      </c>
      <c r="B34" s="6">
        <v>22</v>
      </c>
      <c r="C34" s="32" t="s">
        <v>18</v>
      </c>
      <c r="D34" s="6" t="s">
        <v>45</v>
      </c>
      <c r="E34" s="12" t="e">
        <f ca="1">MIN(EPA)</f>
        <v>#N/A</v>
      </c>
      <c r="F34" s="12" t="e">
        <f ca="1">+MAX(EPA)</f>
        <v>#N/A</v>
      </c>
      <c r="G34" s="12" t="e">
        <f t="shared" ca="1" si="9"/>
        <v>#N/A</v>
      </c>
      <c r="H34" s="12" t="e">
        <f ca="1">AVERAGE(EPA)</f>
        <v>#N/A</v>
      </c>
    </row>
    <row r="35" spans="1:8" x14ac:dyDescent="0.25">
      <c r="A35" s="6" t="s">
        <v>107</v>
      </c>
      <c r="B35" s="6">
        <v>23</v>
      </c>
      <c r="C35" s="32" t="s">
        <v>19</v>
      </c>
      <c r="D35" s="6" t="s">
        <v>46</v>
      </c>
      <c r="E35" s="12" t="e">
        <f ca="1">MIN(EQA)</f>
        <v>#N/A</v>
      </c>
      <c r="F35" s="12" t="e">
        <f ca="1">+MAX(EQA)</f>
        <v>#N/A</v>
      </c>
      <c r="G35" s="12" t="e">
        <f t="shared" ref="G35:G37" ca="1" si="10">F35-E35</f>
        <v>#N/A</v>
      </c>
      <c r="H35" s="12" t="e">
        <f ca="1">AVERAGE(EQA)</f>
        <v>#N/A</v>
      </c>
    </row>
    <row r="36" spans="1:8" x14ac:dyDescent="0.25">
      <c r="A36" s="6" t="s">
        <v>108</v>
      </c>
      <c r="B36" s="6">
        <v>24</v>
      </c>
      <c r="C36" s="32" t="s">
        <v>20</v>
      </c>
      <c r="D36" s="6" t="s">
        <v>47</v>
      </c>
      <c r="E36" s="12" t="e">
        <f ca="1">MIN(ESA)</f>
        <v>#N/A</v>
      </c>
      <c r="F36" s="12" t="e">
        <f ca="1">+MAX(ESA)</f>
        <v>#N/A</v>
      </c>
      <c r="G36" s="12" t="e">
        <f t="shared" ca="1" si="10"/>
        <v>#N/A</v>
      </c>
      <c r="H36" s="12" t="e">
        <f ca="1">AVERAGE(ESA)</f>
        <v>#N/A</v>
      </c>
    </row>
    <row r="37" spans="1:8" x14ac:dyDescent="0.25">
      <c r="A37" s="6" t="s">
        <v>96</v>
      </c>
      <c r="B37" s="6">
        <v>25</v>
      </c>
      <c r="C37" s="32" t="s">
        <v>21</v>
      </c>
      <c r="D37" s="6" t="s">
        <v>48</v>
      </c>
      <c r="E37" s="12" t="e">
        <f ca="1">MIN(DMIA)</f>
        <v>#N/A</v>
      </c>
      <c r="F37" s="12" t="e">
        <f ca="1">+MAX(DMIA)</f>
        <v>#N/A</v>
      </c>
      <c r="G37" s="12" t="e">
        <f t="shared" ca="1" si="10"/>
        <v>#N/A</v>
      </c>
      <c r="H37" s="12" t="e">
        <f ca="1">AVERAGE(DMIA)</f>
        <v>#N/A</v>
      </c>
    </row>
    <row r="38" spans="1:8" x14ac:dyDescent="0.25">
      <c r="A38" s="6" t="s">
        <v>109</v>
      </c>
      <c r="B38" s="6">
        <v>26</v>
      </c>
      <c r="C38" s="52" t="s">
        <v>22</v>
      </c>
      <c r="D38" s="6" t="s">
        <v>49</v>
      </c>
      <c r="E38" s="12" t="e">
        <f ca="1">MIN(PDMIA)</f>
        <v>#N/A</v>
      </c>
      <c r="F38" s="12" t="e">
        <f ca="1">+MAX(PDMIA)</f>
        <v>#N/A</v>
      </c>
      <c r="G38" s="12" t="e">
        <f t="shared" ref="G38:G40" ca="1" si="11">F38-E38</f>
        <v>#N/A</v>
      </c>
      <c r="H38" s="12" t="e">
        <f ca="1">AVERAGE(PDMIA)</f>
        <v>#N/A</v>
      </c>
    </row>
    <row r="39" spans="1:8" x14ac:dyDescent="0.25">
      <c r="A39" s="6" t="s">
        <v>110</v>
      </c>
      <c r="B39" s="6">
        <v>27</v>
      </c>
      <c r="C39" s="52"/>
      <c r="D39" s="6" t="s">
        <v>50</v>
      </c>
      <c r="E39" s="12" t="e">
        <f ca="1">MIN(PDMIA_DT)</f>
        <v>#N/A</v>
      </c>
      <c r="F39" s="12" t="e">
        <f ca="1">+MAX(PDMIA_DT)</f>
        <v>#N/A</v>
      </c>
      <c r="G39" s="12" t="e">
        <f t="shared" ca="1" si="11"/>
        <v>#N/A</v>
      </c>
      <c r="H39" s="12" t="e">
        <f ca="1">AVERAGE(PDMIA_DT)</f>
        <v>#N/A</v>
      </c>
    </row>
    <row r="40" spans="1:8" x14ac:dyDescent="0.25">
      <c r="A40" s="6" t="s">
        <v>111</v>
      </c>
      <c r="B40" s="6">
        <v>28</v>
      </c>
      <c r="C40" s="32" t="s">
        <v>23</v>
      </c>
      <c r="D40" s="6" t="s">
        <v>51</v>
      </c>
      <c r="E40" s="12" t="e">
        <f ca="1">MIN(DMP)</f>
        <v>#N/A</v>
      </c>
      <c r="F40" s="12" t="e">
        <f ca="1">+MAX(DMP)</f>
        <v>#N/A</v>
      </c>
      <c r="G40" s="12" t="e">
        <f t="shared" ca="1" si="11"/>
        <v>#N/A</v>
      </c>
      <c r="H40" s="12" t="e">
        <f ca="1">AVERAGE(DMP)</f>
        <v>#N/A</v>
      </c>
    </row>
    <row r="41" spans="1:8" x14ac:dyDescent="0.25">
      <c r="A41" s="6" t="s">
        <v>112</v>
      </c>
      <c r="B41" s="6">
        <v>29</v>
      </c>
      <c r="C41" s="52" t="s">
        <v>24</v>
      </c>
      <c r="D41" s="6" t="s">
        <v>52</v>
      </c>
      <c r="E41" s="12" t="e">
        <f ca="1">MIN(PDMP)</f>
        <v>#N/A</v>
      </c>
      <c r="F41" s="12" t="e">
        <f ca="1">+MAX(PDMP)</f>
        <v>#N/A</v>
      </c>
      <c r="G41" s="12" t="e">
        <f t="shared" ref="G41:G43" ca="1" si="12">F41-E41</f>
        <v>#N/A</v>
      </c>
      <c r="H41" s="12" t="e">
        <f ca="1">AVERAGE(PDMP)</f>
        <v>#N/A</v>
      </c>
    </row>
    <row r="42" spans="1:8" x14ac:dyDescent="0.25">
      <c r="A42" s="6" t="s">
        <v>113</v>
      </c>
      <c r="B42" s="6">
        <v>30</v>
      </c>
      <c r="C42" s="52"/>
      <c r="D42" s="6" t="s">
        <v>53</v>
      </c>
      <c r="E42" s="12" t="e">
        <f ca="1">MIN(PDMP_DT)</f>
        <v>#N/A</v>
      </c>
      <c r="F42" s="12" t="e">
        <f ca="1">+MAX(PDMP_DT)</f>
        <v>#N/A</v>
      </c>
      <c r="G42" s="12" t="e">
        <f t="shared" ca="1" si="12"/>
        <v>#N/A</v>
      </c>
      <c r="H42" s="12" t="e">
        <f ca="1">AVERAGE(PDMP_DT)</f>
        <v>#N/A</v>
      </c>
    </row>
    <row r="43" spans="1:8" x14ac:dyDescent="0.25">
      <c r="A43" s="6" t="s">
        <v>114</v>
      </c>
      <c r="B43" s="6">
        <v>31</v>
      </c>
      <c r="C43" s="32" t="s">
        <v>25</v>
      </c>
      <c r="D43" s="6" t="s">
        <v>54</v>
      </c>
      <c r="E43" s="12" t="e">
        <f ca="1">MIN(DMQ)</f>
        <v>#N/A</v>
      </c>
      <c r="F43" s="12" t="e">
        <f ca="1">+MAX(DMQ)</f>
        <v>#N/A</v>
      </c>
      <c r="G43" s="12" t="e">
        <f t="shared" ca="1" si="12"/>
        <v>#N/A</v>
      </c>
      <c r="H43" s="12" t="e">
        <f ca="1">AVERAGE(DMQ)</f>
        <v>#N/A</v>
      </c>
    </row>
    <row r="44" spans="1:8" x14ac:dyDescent="0.25">
      <c r="A44" s="6" t="s">
        <v>115</v>
      </c>
      <c r="B44" s="6">
        <v>32</v>
      </c>
      <c r="C44" s="52" t="s">
        <v>26</v>
      </c>
      <c r="D44" s="6" t="s">
        <v>55</v>
      </c>
      <c r="E44" s="12" t="e">
        <f ca="1">MIN(PDMQ)</f>
        <v>#N/A</v>
      </c>
      <c r="F44" s="12" t="e">
        <f ca="1">+MAX(PDMQ)</f>
        <v>#N/A</v>
      </c>
      <c r="G44" s="12" t="e">
        <f t="shared" ref="G44:G48" ca="1" si="13">F44-E44</f>
        <v>#N/A</v>
      </c>
      <c r="H44" s="12" t="e">
        <f ca="1">AVERAGE(PDMQ)</f>
        <v>#N/A</v>
      </c>
    </row>
    <row r="45" spans="1:8" x14ac:dyDescent="0.25">
      <c r="A45" s="6" t="s">
        <v>116</v>
      </c>
      <c r="B45" s="6">
        <v>33</v>
      </c>
      <c r="C45" s="52"/>
      <c r="D45" s="6" t="s">
        <v>56</v>
      </c>
      <c r="E45" s="12" t="e">
        <f ca="1">MIN(PDMQ_DT)</f>
        <v>#N/A</v>
      </c>
      <c r="F45" s="12" t="e">
        <f ca="1">+MAX(PDMQ_DT)</f>
        <v>#N/A</v>
      </c>
      <c r="G45" s="12" t="e">
        <f t="shared" ca="1" si="13"/>
        <v>#N/A</v>
      </c>
      <c r="H45" s="12" t="e">
        <f ca="1">AVERAGE(PDMQ_DT)</f>
        <v>#N/A</v>
      </c>
    </row>
    <row r="46" spans="1:8" x14ac:dyDescent="0.25">
      <c r="A46" s="6" t="s">
        <v>117</v>
      </c>
      <c r="B46" s="6">
        <v>34</v>
      </c>
      <c r="C46" s="32" t="s">
        <v>27</v>
      </c>
      <c r="D46" s="6" t="s">
        <v>57</v>
      </c>
      <c r="E46" s="12" t="e">
        <f ca="1">MIN(DMS)</f>
        <v>#N/A</v>
      </c>
      <c r="F46" s="12" t="e">
        <f ca="1">+MAX(DMS)</f>
        <v>#N/A</v>
      </c>
      <c r="G46" s="12" t="e">
        <f t="shared" ca="1" si="13"/>
        <v>#N/A</v>
      </c>
      <c r="H46" s="12" t="e">
        <f ca="1">AVERAGE(DMS)</f>
        <v>#N/A</v>
      </c>
    </row>
    <row r="47" spans="1:8" x14ac:dyDescent="0.25">
      <c r="A47" s="6" t="s">
        <v>118</v>
      </c>
      <c r="B47" s="6">
        <v>35</v>
      </c>
      <c r="C47" s="52" t="s">
        <v>28</v>
      </c>
      <c r="D47" s="6" t="s">
        <v>58</v>
      </c>
      <c r="E47" s="12" t="e">
        <f ca="1">MIN(PDMS)</f>
        <v>#N/A</v>
      </c>
      <c r="F47" s="12" t="e">
        <f ca="1">+MAX(PDMS)</f>
        <v>#N/A</v>
      </c>
      <c r="G47" s="12" t="e">
        <f t="shared" ca="1" si="13"/>
        <v>#N/A</v>
      </c>
      <c r="H47" s="12" t="e">
        <f ca="1">AVERAGE(PDMS)</f>
        <v>#N/A</v>
      </c>
    </row>
    <row r="48" spans="1:8" x14ac:dyDescent="0.25">
      <c r="A48" s="6" t="s">
        <v>119</v>
      </c>
      <c r="B48" s="6">
        <v>36</v>
      </c>
      <c r="C48" s="52"/>
      <c r="D48" s="6" t="s">
        <v>59</v>
      </c>
      <c r="E48" s="12" t="e">
        <f ca="1">MIN(PDMS_DT)</f>
        <v>#N/A</v>
      </c>
      <c r="F48" s="12" t="e">
        <f ca="1">+MAX(PDMS_DT)</f>
        <v>#N/A</v>
      </c>
      <c r="G48" s="12" t="e">
        <f t="shared" ca="1" si="13"/>
        <v>#N/A</v>
      </c>
      <c r="H48" s="12" t="e">
        <f ca="1">AVERAGE(PDMS_DT)</f>
        <v>#N/A</v>
      </c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  <row r="147" spans="4:4" x14ac:dyDescent="0.25">
      <c r="D147"/>
    </row>
    <row r="148" spans="4:4" x14ac:dyDescent="0.25">
      <c r="D148"/>
    </row>
    <row r="149" spans="4:4" x14ac:dyDescent="0.25">
      <c r="D149"/>
    </row>
    <row r="150" spans="4:4" x14ac:dyDescent="0.25">
      <c r="D150"/>
    </row>
    <row r="151" spans="4:4" x14ac:dyDescent="0.25">
      <c r="D151"/>
    </row>
    <row r="152" spans="4:4" x14ac:dyDescent="0.25">
      <c r="D152"/>
    </row>
    <row r="153" spans="4:4" x14ac:dyDescent="0.25">
      <c r="D153"/>
    </row>
    <row r="154" spans="4:4" x14ac:dyDescent="0.25">
      <c r="D154"/>
    </row>
    <row r="155" spans="4:4" x14ac:dyDescent="0.25">
      <c r="D155"/>
    </row>
    <row r="156" spans="4:4" x14ac:dyDescent="0.25">
      <c r="D156"/>
    </row>
    <row r="157" spans="4:4" x14ac:dyDescent="0.25">
      <c r="D157"/>
    </row>
    <row r="158" spans="4:4" x14ac:dyDescent="0.25">
      <c r="D158"/>
    </row>
    <row r="159" spans="4:4" x14ac:dyDescent="0.25">
      <c r="D159"/>
    </row>
    <row r="160" spans="4:4" x14ac:dyDescent="0.25">
      <c r="D160"/>
    </row>
    <row r="161" spans="4:4" x14ac:dyDescent="0.25">
      <c r="D161"/>
    </row>
    <row r="162" spans="4:4" x14ac:dyDescent="0.25">
      <c r="D162"/>
    </row>
    <row r="163" spans="4:4" x14ac:dyDescent="0.25">
      <c r="D163"/>
    </row>
    <row r="164" spans="4:4" x14ac:dyDescent="0.25">
      <c r="D164"/>
    </row>
    <row r="165" spans="4:4" x14ac:dyDescent="0.25">
      <c r="D165"/>
    </row>
    <row r="166" spans="4:4" x14ac:dyDescent="0.25">
      <c r="D166"/>
    </row>
    <row r="167" spans="4:4" x14ac:dyDescent="0.25">
      <c r="D167"/>
    </row>
    <row r="168" spans="4:4" x14ac:dyDescent="0.25">
      <c r="D168"/>
    </row>
    <row r="169" spans="4:4" x14ac:dyDescent="0.25">
      <c r="D169"/>
    </row>
    <row r="170" spans="4:4" x14ac:dyDescent="0.25">
      <c r="D170"/>
    </row>
    <row r="171" spans="4:4" x14ac:dyDescent="0.25">
      <c r="D171"/>
    </row>
    <row r="172" spans="4:4" x14ac:dyDescent="0.25">
      <c r="D172"/>
    </row>
    <row r="173" spans="4:4" x14ac:dyDescent="0.25">
      <c r="D173"/>
    </row>
    <row r="174" spans="4:4" x14ac:dyDescent="0.25">
      <c r="D174"/>
    </row>
    <row r="175" spans="4:4" x14ac:dyDescent="0.25">
      <c r="D175"/>
    </row>
    <row r="176" spans="4:4" x14ac:dyDescent="0.25">
      <c r="D176"/>
    </row>
    <row r="177" spans="4:4" x14ac:dyDescent="0.25">
      <c r="D177"/>
    </row>
    <row r="178" spans="4:4" x14ac:dyDescent="0.25">
      <c r="D178"/>
    </row>
    <row r="179" spans="4:4" x14ac:dyDescent="0.25">
      <c r="D179"/>
    </row>
    <row r="180" spans="4:4" x14ac:dyDescent="0.25">
      <c r="D180"/>
    </row>
    <row r="181" spans="4:4" x14ac:dyDescent="0.25">
      <c r="D181"/>
    </row>
    <row r="182" spans="4:4" x14ac:dyDescent="0.25">
      <c r="D182"/>
    </row>
    <row r="183" spans="4:4" x14ac:dyDescent="0.25">
      <c r="D183"/>
    </row>
    <row r="184" spans="4:4" x14ac:dyDescent="0.25">
      <c r="D184"/>
    </row>
    <row r="185" spans="4:4" x14ac:dyDescent="0.25">
      <c r="D185"/>
    </row>
    <row r="186" spans="4:4" x14ac:dyDescent="0.25">
      <c r="D186"/>
    </row>
    <row r="187" spans="4:4" x14ac:dyDescent="0.25">
      <c r="D187"/>
    </row>
    <row r="188" spans="4:4" x14ac:dyDescent="0.25">
      <c r="D188"/>
    </row>
    <row r="189" spans="4:4" x14ac:dyDescent="0.25">
      <c r="D189"/>
    </row>
    <row r="190" spans="4:4" x14ac:dyDescent="0.25">
      <c r="D190"/>
    </row>
    <row r="191" spans="4:4" x14ac:dyDescent="0.25">
      <c r="D191"/>
    </row>
    <row r="192" spans="4:4" x14ac:dyDescent="0.25">
      <c r="D192"/>
    </row>
    <row r="193" spans="4:4" x14ac:dyDescent="0.25">
      <c r="D193"/>
    </row>
    <row r="194" spans="4:4" x14ac:dyDescent="0.25">
      <c r="D194"/>
    </row>
    <row r="195" spans="4:4" x14ac:dyDescent="0.25">
      <c r="D195"/>
    </row>
    <row r="196" spans="4:4" x14ac:dyDescent="0.25">
      <c r="D196"/>
    </row>
    <row r="197" spans="4:4" x14ac:dyDescent="0.25">
      <c r="D197"/>
    </row>
    <row r="198" spans="4:4" x14ac:dyDescent="0.25">
      <c r="D198"/>
    </row>
    <row r="199" spans="4:4" x14ac:dyDescent="0.25">
      <c r="D199"/>
    </row>
    <row r="200" spans="4:4" x14ac:dyDescent="0.25">
      <c r="D200"/>
    </row>
    <row r="201" spans="4:4" x14ac:dyDescent="0.25">
      <c r="D201"/>
    </row>
    <row r="202" spans="4:4" x14ac:dyDescent="0.25">
      <c r="D202"/>
    </row>
    <row r="203" spans="4:4" x14ac:dyDescent="0.25">
      <c r="D203"/>
    </row>
    <row r="204" spans="4:4" x14ac:dyDescent="0.25">
      <c r="D204"/>
    </row>
    <row r="205" spans="4:4" x14ac:dyDescent="0.25">
      <c r="D205"/>
    </row>
    <row r="206" spans="4:4" x14ac:dyDescent="0.25">
      <c r="D206"/>
    </row>
    <row r="207" spans="4:4" x14ac:dyDescent="0.25">
      <c r="D207"/>
    </row>
    <row r="208" spans="4:4" x14ac:dyDescent="0.25">
      <c r="D208"/>
    </row>
    <row r="209" spans="4:4" x14ac:dyDescent="0.25">
      <c r="D209"/>
    </row>
    <row r="210" spans="4:4" x14ac:dyDescent="0.25">
      <c r="D210"/>
    </row>
    <row r="211" spans="4:4" x14ac:dyDescent="0.25">
      <c r="D211"/>
    </row>
    <row r="212" spans="4:4" x14ac:dyDescent="0.25">
      <c r="D212"/>
    </row>
    <row r="213" spans="4:4" x14ac:dyDescent="0.25">
      <c r="D213"/>
    </row>
    <row r="214" spans="4:4" x14ac:dyDescent="0.25">
      <c r="D214"/>
    </row>
    <row r="215" spans="4:4" x14ac:dyDescent="0.25">
      <c r="D215"/>
    </row>
    <row r="216" spans="4:4" x14ac:dyDescent="0.25">
      <c r="D216"/>
    </row>
    <row r="217" spans="4:4" x14ac:dyDescent="0.25">
      <c r="D217"/>
    </row>
    <row r="218" spans="4:4" x14ac:dyDescent="0.25">
      <c r="D218"/>
    </row>
    <row r="219" spans="4:4" x14ac:dyDescent="0.25">
      <c r="D219"/>
    </row>
    <row r="220" spans="4:4" x14ac:dyDescent="0.25">
      <c r="D220"/>
    </row>
    <row r="221" spans="4:4" x14ac:dyDescent="0.25">
      <c r="D221"/>
    </row>
    <row r="222" spans="4:4" x14ac:dyDescent="0.25">
      <c r="D222"/>
    </row>
    <row r="223" spans="4:4" x14ac:dyDescent="0.25">
      <c r="D223"/>
    </row>
    <row r="224" spans="4:4" x14ac:dyDescent="0.25">
      <c r="D224"/>
    </row>
    <row r="225" spans="4:4" x14ac:dyDescent="0.25">
      <c r="D225"/>
    </row>
    <row r="226" spans="4:4" x14ac:dyDescent="0.25">
      <c r="D226"/>
    </row>
    <row r="227" spans="4:4" x14ac:dyDescent="0.25">
      <c r="D227"/>
    </row>
    <row r="228" spans="4:4" x14ac:dyDescent="0.25">
      <c r="D228"/>
    </row>
    <row r="229" spans="4:4" x14ac:dyDescent="0.25">
      <c r="D229"/>
    </row>
    <row r="230" spans="4:4" x14ac:dyDescent="0.25">
      <c r="D230"/>
    </row>
    <row r="231" spans="4:4" x14ac:dyDescent="0.25">
      <c r="D231"/>
    </row>
    <row r="232" spans="4:4" x14ac:dyDescent="0.25">
      <c r="D232"/>
    </row>
    <row r="233" spans="4:4" x14ac:dyDescent="0.25">
      <c r="D233"/>
    </row>
    <row r="234" spans="4:4" x14ac:dyDescent="0.25">
      <c r="D234"/>
    </row>
    <row r="235" spans="4:4" x14ac:dyDescent="0.25">
      <c r="D235"/>
    </row>
    <row r="236" spans="4:4" x14ac:dyDescent="0.25">
      <c r="D236"/>
    </row>
    <row r="237" spans="4:4" x14ac:dyDescent="0.25">
      <c r="D237"/>
    </row>
    <row r="238" spans="4:4" x14ac:dyDescent="0.25">
      <c r="D238"/>
    </row>
    <row r="239" spans="4:4" x14ac:dyDescent="0.25">
      <c r="D239"/>
    </row>
    <row r="240" spans="4:4" x14ac:dyDescent="0.25">
      <c r="D240"/>
    </row>
    <row r="241" spans="4:4" x14ac:dyDescent="0.25">
      <c r="D241"/>
    </row>
    <row r="242" spans="4:4" x14ac:dyDescent="0.25">
      <c r="D242"/>
    </row>
    <row r="243" spans="4:4" x14ac:dyDescent="0.25">
      <c r="D243"/>
    </row>
    <row r="244" spans="4:4" x14ac:dyDescent="0.25">
      <c r="D244"/>
    </row>
    <row r="245" spans="4:4" x14ac:dyDescent="0.25">
      <c r="D245"/>
    </row>
    <row r="246" spans="4:4" x14ac:dyDescent="0.25">
      <c r="D246"/>
    </row>
    <row r="247" spans="4:4" x14ac:dyDescent="0.25">
      <c r="D247"/>
    </row>
    <row r="248" spans="4:4" x14ac:dyDescent="0.25">
      <c r="D248"/>
    </row>
    <row r="249" spans="4:4" x14ac:dyDescent="0.25">
      <c r="D249"/>
    </row>
    <row r="250" spans="4:4" x14ac:dyDescent="0.25">
      <c r="D250"/>
    </row>
    <row r="251" spans="4:4" x14ac:dyDescent="0.25">
      <c r="D251"/>
    </row>
    <row r="252" spans="4:4" x14ac:dyDescent="0.25">
      <c r="D252"/>
    </row>
    <row r="253" spans="4:4" x14ac:dyDescent="0.25">
      <c r="D253"/>
    </row>
    <row r="254" spans="4:4" x14ac:dyDescent="0.25">
      <c r="D254"/>
    </row>
    <row r="255" spans="4:4" x14ac:dyDescent="0.25">
      <c r="D255"/>
    </row>
    <row r="256" spans="4:4" x14ac:dyDescent="0.25">
      <c r="D256"/>
    </row>
    <row r="257" spans="4:4" x14ac:dyDescent="0.25">
      <c r="D257"/>
    </row>
    <row r="258" spans="4:4" x14ac:dyDescent="0.25">
      <c r="D258"/>
    </row>
    <row r="259" spans="4:4" x14ac:dyDescent="0.25">
      <c r="D259"/>
    </row>
    <row r="260" spans="4:4" x14ac:dyDescent="0.25">
      <c r="D260"/>
    </row>
    <row r="261" spans="4:4" x14ac:dyDescent="0.25">
      <c r="D261"/>
    </row>
    <row r="262" spans="4:4" x14ac:dyDescent="0.25">
      <c r="D262"/>
    </row>
    <row r="263" spans="4:4" x14ac:dyDescent="0.25">
      <c r="D263"/>
    </row>
    <row r="264" spans="4:4" x14ac:dyDescent="0.25">
      <c r="D264"/>
    </row>
    <row r="265" spans="4:4" x14ac:dyDescent="0.25">
      <c r="D265"/>
    </row>
    <row r="266" spans="4:4" x14ac:dyDescent="0.25">
      <c r="D266"/>
    </row>
    <row r="267" spans="4:4" x14ac:dyDescent="0.25">
      <c r="D267"/>
    </row>
    <row r="268" spans="4:4" x14ac:dyDescent="0.25">
      <c r="D268"/>
    </row>
    <row r="269" spans="4:4" x14ac:dyDescent="0.25">
      <c r="D269"/>
    </row>
    <row r="270" spans="4:4" x14ac:dyDescent="0.25">
      <c r="D270"/>
    </row>
    <row r="271" spans="4:4" x14ac:dyDescent="0.25">
      <c r="D271"/>
    </row>
    <row r="272" spans="4:4" x14ac:dyDescent="0.25">
      <c r="D272"/>
    </row>
    <row r="273" spans="4:4" x14ac:dyDescent="0.25">
      <c r="D273"/>
    </row>
    <row r="274" spans="4:4" x14ac:dyDescent="0.25">
      <c r="D274"/>
    </row>
    <row r="275" spans="4:4" x14ac:dyDescent="0.25">
      <c r="D275"/>
    </row>
    <row r="276" spans="4:4" x14ac:dyDescent="0.25">
      <c r="D276"/>
    </row>
    <row r="277" spans="4:4" x14ac:dyDescent="0.25">
      <c r="D277"/>
    </row>
    <row r="278" spans="4:4" x14ac:dyDescent="0.25">
      <c r="D278"/>
    </row>
    <row r="279" spans="4:4" x14ac:dyDescent="0.25">
      <c r="D279"/>
    </row>
    <row r="280" spans="4:4" x14ac:dyDescent="0.25">
      <c r="D280"/>
    </row>
    <row r="281" spans="4:4" x14ac:dyDescent="0.25">
      <c r="D281"/>
    </row>
    <row r="282" spans="4:4" x14ac:dyDescent="0.25">
      <c r="D282"/>
    </row>
    <row r="283" spans="4:4" x14ac:dyDescent="0.25">
      <c r="D283"/>
    </row>
    <row r="284" spans="4:4" x14ac:dyDescent="0.25">
      <c r="D284"/>
    </row>
    <row r="285" spans="4:4" x14ac:dyDescent="0.25">
      <c r="D285"/>
    </row>
    <row r="286" spans="4:4" x14ac:dyDescent="0.25">
      <c r="D286"/>
    </row>
    <row r="287" spans="4:4" x14ac:dyDescent="0.25">
      <c r="D287"/>
    </row>
    <row r="288" spans="4:4" x14ac:dyDescent="0.25">
      <c r="D288"/>
    </row>
    <row r="289" spans="4:4" x14ac:dyDescent="0.25">
      <c r="D289"/>
    </row>
    <row r="290" spans="4:4" x14ac:dyDescent="0.25">
      <c r="D290"/>
    </row>
    <row r="291" spans="4:4" x14ac:dyDescent="0.25">
      <c r="D291"/>
    </row>
    <row r="292" spans="4:4" x14ac:dyDescent="0.25">
      <c r="D292"/>
    </row>
    <row r="293" spans="4:4" x14ac:dyDescent="0.25">
      <c r="D293"/>
    </row>
    <row r="294" spans="4:4" x14ac:dyDescent="0.25">
      <c r="D294"/>
    </row>
    <row r="295" spans="4:4" x14ac:dyDescent="0.25">
      <c r="D295"/>
    </row>
    <row r="296" spans="4:4" x14ac:dyDescent="0.25">
      <c r="D296"/>
    </row>
    <row r="297" spans="4:4" x14ac:dyDescent="0.25">
      <c r="D297"/>
    </row>
    <row r="298" spans="4:4" x14ac:dyDescent="0.25">
      <c r="D298"/>
    </row>
    <row r="299" spans="4:4" x14ac:dyDescent="0.25">
      <c r="D299"/>
    </row>
    <row r="300" spans="4:4" x14ac:dyDescent="0.25">
      <c r="D300"/>
    </row>
    <row r="301" spans="4:4" x14ac:dyDescent="0.25">
      <c r="D301"/>
    </row>
    <row r="302" spans="4:4" x14ac:dyDescent="0.25">
      <c r="D302"/>
    </row>
    <row r="303" spans="4:4" x14ac:dyDescent="0.25">
      <c r="D303"/>
    </row>
    <row r="304" spans="4:4" x14ac:dyDescent="0.25">
      <c r="D304"/>
    </row>
    <row r="305" spans="4:4" x14ac:dyDescent="0.25">
      <c r="D305"/>
    </row>
    <row r="306" spans="4:4" x14ac:dyDescent="0.25">
      <c r="D306"/>
    </row>
    <row r="307" spans="4:4" x14ac:dyDescent="0.25">
      <c r="D307"/>
    </row>
    <row r="308" spans="4:4" x14ac:dyDescent="0.25">
      <c r="D308"/>
    </row>
    <row r="309" spans="4:4" x14ac:dyDescent="0.25">
      <c r="D309"/>
    </row>
    <row r="310" spans="4:4" x14ac:dyDescent="0.25">
      <c r="D310"/>
    </row>
    <row r="311" spans="4:4" x14ac:dyDescent="0.25">
      <c r="D311"/>
    </row>
    <row r="312" spans="4:4" x14ac:dyDescent="0.25">
      <c r="D312"/>
    </row>
    <row r="313" spans="4:4" x14ac:dyDescent="0.25">
      <c r="D313"/>
    </row>
    <row r="314" spans="4:4" x14ac:dyDescent="0.25">
      <c r="D314"/>
    </row>
    <row r="315" spans="4:4" x14ac:dyDescent="0.25">
      <c r="D315"/>
    </row>
    <row r="316" spans="4:4" x14ac:dyDescent="0.25">
      <c r="D316"/>
    </row>
    <row r="317" spans="4:4" x14ac:dyDescent="0.25">
      <c r="D317"/>
    </row>
    <row r="318" spans="4:4" x14ac:dyDescent="0.25">
      <c r="D318"/>
    </row>
    <row r="319" spans="4:4" x14ac:dyDescent="0.25">
      <c r="D319"/>
    </row>
    <row r="320" spans="4:4" x14ac:dyDescent="0.25">
      <c r="D320"/>
    </row>
    <row r="321" spans="4:4" x14ac:dyDescent="0.25">
      <c r="D321"/>
    </row>
    <row r="322" spans="4:4" x14ac:dyDescent="0.25">
      <c r="D322"/>
    </row>
    <row r="323" spans="4:4" x14ac:dyDescent="0.25">
      <c r="D323"/>
    </row>
    <row r="324" spans="4:4" x14ac:dyDescent="0.25">
      <c r="D324"/>
    </row>
    <row r="325" spans="4:4" x14ac:dyDescent="0.25">
      <c r="D325"/>
    </row>
    <row r="326" spans="4:4" x14ac:dyDescent="0.25">
      <c r="D326"/>
    </row>
    <row r="327" spans="4:4" x14ac:dyDescent="0.25">
      <c r="D327"/>
    </row>
    <row r="328" spans="4:4" x14ac:dyDescent="0.25">
      <c r="D328"/>
    </row>
    <row r="329" spans="4:4" x14ac:dyDescent="0.25">
      <c r="D329"/>
    </row>
    <row r="330" spans="4:4" x14ac:dyDescent="0.25">
      <c r="D330"/>
    </row>
    <row r="331" spans="4:4" x14ac:dyDescent="0.25">
      <c r="D331"/>
    </row>
    <row r="332" spans="4:4" x14ac:dyDescent="0.25">
      <c r="D332"/>
    </row>
    <row r="333" spans="4:4" x14ac:dyDescent="0.25">
      <c r="D333"/>
    </row>
    <row r="334" spans="4:4" x14ac:dyDescent="0.25">
      <c r="D334"/>
    </row>
    <row r="335" spans="4:4" x14ac:dyDescent="0.25">
      <c r="D335"/>
    </row>
    <row r="336" spans="4:4" x14ac:dyDescent="0.25">
      <c r="D336"/>
    </row>
    <row r="337" spans="4:4" x14ac:dyDescent="0.25">
      <c r="D337"/>
    </row>
    <row r="338" spans="4:4" x14ac:dyDescent="0.25">
      <c r="D338"/>
    </row>
    <row r="339" spans="4:4" x14ac:dyDescent="0.25">
      <c r="D339"/>
    </row>
    <row r="340" spans="4:4" x14ac:dyDescent="0.25">
      <c r="D340"/>
    </row>
    <row r="341" spans="4:4" x14ac:dyDescent="0.25">
      <c r="D341"/>
    </row>
    <row r="342" spans="4:4" x14ac:dyDescent="0.25">
      <c r="D342"/>
    </row>
    <row r="343" spans="4:4" x14ac:dyDescent="0.25">
      <c r="D343"/>
    </row>
    <row r="344" spans="4:4" x14ac:dyDescent="0.25">
      <c r="D344"/>
    </row>
    <row r="345" spans="4:4" x14ac:dyDescent="0.25">
      <c r="D345"/>
    </row>
    <row r="346" spans="4:4" x14ac:dyDescent="0.25">
      <c r="D346"/>
    </row>
    <row r="347" spans="4:4" x14ac:dyDescent="0.25">
      <c r="D347"/>
    </row>
    <row r="348" spans="4:4" x14ac:dyDescent="0.25">
      <c r="D348"/>
    </row>
    <row r="349" spans="4:4" x14ac:dyDescent="0.25">
      <c r="D349"/>
    </row>
    <row r="350" spans="4:4" x14ac:dyDescent="0.25">
      <c r="D350"/>
    </row>
    <row r="351" spans="4:4" x14ac:dyDescent="0.25">
      <c r="D351"/>
    </row>
    <row r="352" spans="4:4" x14ac:dyDescent="0.25">
      <c r="D352"/>
    </row>
    <row r="353" spans="4:4" x14ac:dyDescent="0.25">
      <c r="D353"/>
    </row>
    <row r="354" spans="4:4" x14ac:dyDescent="0.25">
      <c r="D354"/>
    </row>
    <row r="355" spans="4:4" x14ac:dyDescent="0.25">
      <c r="D355"/>
    </row>
    <row r="356" spans="4:4" x14ac:dyDescent="0.25">
      <c r="D356"/>
    </row>
    <row r="357" spans="4:4" x14ac:dyDescent="0.25">
      <c r="D357"/>
    </row>
    <row r="358" spans="4:4" x14ac:dyDescent="0.25">
      <c r="D358"/>
    </row>
    <row r="359" spans="4:4" x14ac:dyDescent="0.25">
      <c r="D359"/>
    </row>
    <row r="360" spans="4:4" x14ac:dyDescent="0.25">
      <c r="D360"/>
    </row>
    <row r="361" spans="4:4" x14ac:dyDescent="0.25">
      <c r="D361"/>
    </row>
    <row r="362" spans="4:4" x14ac:dyDescent="0.25">
      <c r="D362"/>
    </row>
    <row r="363" spans="4:4" x14ac:dyDescent="0.25">
      <c r="D363"/>
    </row>
    <row r="364" spans="4:4" x14ac:dyDescent="0.25">
      <c r="D364"/>
    </row>
    <row r="365" spans="4:4" x14ac:dyDescent="0.25">
      <c r="D365"/>
    </row>
    <row r="366" spans="4:4" x14ac:dyDescent="0.25">
      <c r="D366"/>
    </row>
    <row r="367" spans="4:4" x14ac:dyDescent="0.25">
      <c r="D367"/>
    </row>
    <row r="368" spans="4:4" x14ac:dyDescent="0.25">
      <c r="D368"/>
    </row>
    <row r="369" spans="4:4" x14ac:dyDescent="0.25">
      <c r="D369"/>
    </row>
    <row r="370" spans="4:4" x14ac:dyDescent="0.25">
      <c r="D370"/>
    </row>
    <row r="371" spans="4:4" x14ac:dyDescent="0.25">
      <c r="D371"/>
    </row>
    <row r="372" spans="4:4" x14ac:dyDescent="0.25">
      <c r="D372"/>
    </row>
    <row r="373" spans="4:4" x14ac:dyDescent="0.25">
      <c r="D373"/>
    </row>
    <row r="374" spans="4:4" x14ac:dyDescent="0.25">
      <c r="D374"/>
    </row>
    <row r="375" spans="4:4" x14ac:dyDescent="0.25">
      <c r="D375"/>
    </row>
    <row r="376" spans="4:4" x14ac:dyDescent="0.25">
      <c r="D376"/>
    </row>
    <row r="377" spans="4:4" x14ac:dyDescent="0.25">
      <c r="D377"/>
    </row>
    <row r="378" spans="4:4" x14ac:dyDescent="0.25">
      <c r="D378"/>
    </row>
    <row r="379" spans="4:4" x14ac:dyDescent="0.25">
      <c r="D379"/>
    </row>
    <row r="380" spans="4:4" x14ac:dyDescent="0.25">
      <c r="D380"/>
    </row>
    <row r="381" spans="4:4" x14ac:dyDescent="0.25">
      <c r="D381"/>
    </row>
    <row r="382" spans="4:4" x14ac:dyDescent="0.25">
      <c r="D382"/>
    </row>
    <row r="383" spans="4:4" x14ac:dyDescent="0.25">
      <c r="D383"/>
    </row>
    <row r="384" spans="4:4" x14ac:dyDescent="0.25">
      <c r="D384"/>
    </row>
    <row r="385" spans="4:4" x14ac:dyDescent="0.25">
      <c r="D385"/>
    </row>
    <row r="386" spans="4:4" x14ac:dyDescent="0.25">
      <c r="D386"/>
    </row>
    <row r="387" spans="4:4" x14ac:dyDescent="0.25">
      <c r="D387"/>
    </row>
    <row r="388" spans="4:4" x14ac:dyDescent="0.25">
      <c r="D388"/>
    </row>
    <row r="389" spans="4:4" x14ac:dyDescent="0.25">
      <c r="D389"/>
    </row>
    <row r="390" spans="4:4" x14ac:dyDescent="0.25">
      <c r="D390"/>
    </row>
    <row r="391" spans="4:4" x14ac:dyDescent="0.25">
      <c r="D391"/>
    </row>
    <row r="392" spans="4:4" x14ac:dyDescent="0.25">
      <c r="D392"/>
    </row>
    <row r="393" spans="4:4" x14ac:dyDescent="0.25">
      <c r="D393"/>
    </row>
    <row r="394" spans="4:4" x14ac:dyDescent="0.25">
      <c r="D394"/>
    </row>
    <row r="395" spans="4:4" x14ac:dyDescent="0.25">
      <c r="D395"/>
    </row>
    <row r="396" spans="4:4" x14ac:dyDescent="0.25">
      <c r="D396"/>
    </row>
    <row r="397" spans="4:4" x14ac:dyDescent="0.25">
      <c r="D397"/>
    </row>
    <row r="398" spans="4:4" x14ac:dyDescent="0.25">
      <c r="D398"/>
    </row>
    <row r="399" spans="4:4" x14ac:dyDescent="0.25">
      <c r="D399"/>
    </row>
    <row r="400" spans="4:4" x14ac:dyDescent="0.25">
      <c r="D400"/>
    </row>
    <row r="401" spans="4:4" x14ac:dyDescent="0.25">
      <c r="D401"/>
    </row>
    <row r="402" spans="4:4" x14ac:dyDescent="0.25">
      <c r="D402"/>
    </row>
    <row r="403" spans="4:4" x14ac:dyDescent="0.25">
      <c r="D403"/>
    </row>
    <row r="404" spans="4:4" x14ac:dyDescent="0.25">
      <c r="D404"/>
    </row>
    <row r="405" spans="4:4" x14ac:dyDescent="0.25">
      <c r="D405"/>
    </row>
    <row r="406" spans="4:4" x14ac:dyDescent="0.25">
      <c r="D406"/>
    </row>
    <row r="407" spans="4:4" x14ac:dyDescent="0.25">
      <c r="D407"/>
    </row>
    <row r="408" spans="4:4" x14ac:dyDescent="0.25">
      <c r="D408"/>
    </row>
    <row r="409" spans="4:4" x14ac:dyDescent="0.25">
      <c r="D409"/>
    </row>
    <row r="410" spans="4:4" x14ac:dyDescent="0.25">
      <c r="D410"/>
    </row>
    <row r="411" spans="4:4" x14ac:dyDescent="0.25">
      <c r="D411"/>
    </row>
    <row r="412" spans="4:4" x14ac:dyDescent="0.25">
      <c r="D412"/>
    </row>
    <row r="413" spans="4:4" x14ac:dyDescent="0.25">
      <c r="D413"/>
    </row>
    <row r="414" spans="4:4" x14ac:dyDescent="0.25">
      <c r="D414"/>
    </row>
    <row r="415" spans="4:4" x14ac:dyDescent="0.25">
      <c r="D415"/>
    </row>
    <row r="416" spans="4:4" x14ac:dyDescent="0.25">
      <c r="D416"/>
    </row>
    <row r="417" spans="4:4" x14ac:dyDescent="0.25">
      <c r="D417"/>
    </row>
    <row r="418" spans="4:4" x14ac:dyDescent="0.25">
      <c r="D418"/>
    </row>
    <row r="419" spans="4:4" x14ac:dyDescent="0.25">
      <c r="D419"/>
    </row>
    <row r="420" spans="4:4" x14ac:dyDescent="0.25">
      <c r="D420"/>
    </row>
    <row r="421" spans="4:4" x14ac:dyDescent="0.25">
      <c r="D421"/>
    </row>
    <row r="422" spans="4:4" x14ac:dyDescent="0.25">
      <c r="D422"/>
    </row>
    <row r="423" spans="4:4" x14ac:dyDescent="0.25">
      <c r="D423"/>
    </row>
    <row r="424" spans="4:4" x14ac:dyDescent="0.25">
      <c r="D424"/>
    </row>
    <row r="425" spans="4:4" x14ac:dyDescent="0.25">
      <c r="D425"/>
    </row>
    <row r="426" spans="4:4" x14ac:dyDescent="0.25">
      <c r="D426"/>
    </row>
    <row r="427" spans="4:4" x14ac:dyDescent="0.25">
      <c r="D427"/>
    </row>
    <row r="428" spans="4:4" x14ac:dyDescent="0.25">
      <c r="D428"/>
    </row>
    <row r="429" spans="4:4" x14ac:dyDescent="0.25">
      <c r="D429"/>
    </row>
    <row r="430" spans="4:4" x14ac:dyDescent="0.25">
      <c r="D430"/>
    </row>
    <row r="431" spans="4:4" x14ac:dyDescent="0.25">
      <c r="D431"/>
    </row>
    <row r="432" spans="4:4" x14ac:dyDescent="0.25">
      <c r="D432"/>
    </row>
    <row r="433" spans="4:4" x14ac:dyDescent="0.25">
      <c r="D433"/>
    </row>
    <row r="434" spans="4:4" x14ac:dyDescent="0.25">
      <c r="D434"/>
    </row>
    <row r="435" spans="4:4" x14ac:dyDescent="0.25">
      <c r="D435"/>
    </row>
    <row r="436" spans="4:4" x14ac:dyDescent="0.25">
      <c r="D436"/>
    </row>
    <row r="437" spans="4:4" x14ac:dyDescent="0.25">
      <c r="D437"/>
    </row>
    <row r="438" spans="4:4" x14ac:dyDescent="0.25">
      <c r="D438"/>
    </row>
    <row r="439" spans="4:4" x14ac:dyDescent="0.25">
      <c r="D439"/>
    </row>
    <row r="440" spans="4:4" x14ac:dyDescent="0.25">
      <c r="D440"/>
    </row>
    <row r="441" spans="4:4" x14ac:dyDescent="0.25">
      <c r="D441"/>
    </row>
    <row r="442" spans="4:4" x14ac:dyDescent="0.25">
      <c r="D442"/>
    </row>
    <row r="443" spans="4:4" x14ac:dyDescent="0.25">
      <c r="D443"/>
    </row>
    <row r="444" spans="4:4" x14ac:dyDescent="0.25">
      <c r="D444"/>
    </row>
    <row r="445" spans="4:4" x14ac:dyDescent="0.25">
      <c r="D445"/>
    </row>
    <row r="446" spans="4:4" x14ac:dyDescent="0.25">
      <c r="D446"/>
    </row>
    <row r="447" spans="4:4" x14ac:dyDescent="0.25">
      <c r="D447"/>
    </row>
    <row r="448" spans="4:4" x14ac:dyDescent="0.25">
      <c r="D448"/>
    </row>
    <row r="449" spans="4:4" x14ac:dyDescent="0.25">
      <c r="D449"/>
    </row>
    <row r="450" spans="4:4" x14ac:dyDescent="0.25">
      <c r="D450"/>
    </row>
    <row r="451" spans="4:4" x14ac:dyDescent="0.25">
      <c r="D451"/>
    </row>
    <row r="452" spans="4:4" x14ac:dyDescent="0.25">
      <c r="D452"/>
    </row>
    <row r="453" spans="4:4" x14ac:dyDescent="0.25">
      <c r="D453"/>
    </row>
    <row r="454" spans="4:4" x14ac:dyDescent="0.25">
      <c r="D454"/>
    </row>
    <row r="455" spans="4:4" x14ac:dyDescent="0.25">
      <c r="D455"/>
    </row>
    <row r="456" spans="4:4" x14ac:dyDescent="0.25">
      <c r="D456"/>
    </row>
    <row r="457" spans="4:4" x14ac:dyDescent="0.25">
      <c r="D457"/>
    </row>
    <row r="458" spans="4:4" x14ac:dyDescent="0.25">
      <c r="D458"/>
    </row>
    <row r="459" spans="4:4" x14ac:dyDescent="0.25">
      <c r="D459"/>
    </row>
    <row r="460" spans="4:4" x14ac:dyDescent="0.25">
      <c r="D460"/>
    </row>
    <row r="461" spans="4:4" x14ac:dyDescent="0.25">
      <c r="D461"/>
    </row>
    <row r="462" spans="4:4" x14ac:dyDescent="0.25">
      <c r="D462"/>
    </row>
    <row r="463" spans="4:4" x14ac:dyDescent="0.25">
      <c r="D463"/>
    </row>
    <row r="464" spans="4:4" x14ac:dyDescent="0.25">
      <c r="D464"/>
    </row>
    <row r="465" spans="4:4" x14ac:dyDescent="0.25">
      <c r="D465"/>
    </row>
    <row r="466" spans="4:4" x14ac:dyDescent="0.25">
      <c r="D466"/>
    </row>
    <row r="467" spans="4:4" x14ac:dyDescent="0.25">
      <c r="D467"/>
    </row>
    <row r="468" spans="4:4" x14ac:dyDescent="0.25">
      <c r="D468"/>
    </row>
    <row r="469" spans="4:4" x14ac:dyDescent="0.25">
      <c r="D469"/>
    </row>
    <row r="470" spans="4:4" x14ac:dyDescent="0.25">
      <c r="D470"/>
    </row>
    <row r="471" spans="4:4" x14ac:dyDescent="0.25">
      <c r="D471"/>
    </row>
    <row r="472" spans="4:4" x14ac:dyDescent="0.25">
      <c r="D472"/>
    </row>
    <row r="473" spans="4:4" x14ac:dyDescent="0.25">
      <c r="D473"/>
    </row>
    <row r="474" spans="4:4" x14ac:dyDescent="0.25">
      <c r="D474"/>
    </row>
    <row r="475" spans="4:4" x14ac:dyDescent="0.25">
      <c r="D475"/>
    </row>
    <row r="476" spans="4:4" x14ac:dyDescent="0.25">
      <c r="D476"/>
    </row>
    <row r="477" spans="4:4" x14ac:dyDescent="0.25">
      <c r="D477"/>
    </row>
    <row r="478" spans="4:4" x14ac:dyDescent="0.25">
      <c r="D478"/>
    </row>
    <row r="479" spans="4:4" x14ac:dyDescent="0.25">
      <c r="D479"/>
    </row>
    <row r="480" spans="4:4" x14ac:dyDescent="0.25">
      <c r="D480"/>
    </row>
    <row r="481" spans="4:4" x14ac:dyDescent="0.25">
      <c r="D481"/>
    </row>
    <row r="482" spans="4:4" x14ac:dyDescent="0.25">
      <c r="D482"/>
    </row>
    <row r="483" spans="4:4" x14ac:dyDescent="0.25">
      <c r="D483"/>
    </row>
    <row r="484" spans="4:4" x14ac:dyDescent="0.25">
      <c r="D484"/>
    </row>
    <row r="485" spans="4:4" x14ac:dyDescent="0.25">
      <c r="D485"/>
    </row>
    <row r="486" spans="4:4" x14ac:dyDescent="0.25">
      <c r="D486"/>
    </row>
    <row r="487" spans="4:4" x14ac:dyDescent="0.25">
      <c r="D487"/>
    </row>
    <row r="488" spans="4:4" x14ac:dyDescent="0.25">
      <c r="D488"/>
    </row>
    <row r="489" spans="4:4" x14ac:dyDescent="0.25">
      <c r="D489"/>
    </row>
    <row r="490" spans="4:4" x14ac:dyDescent="0.25">
      <c r="D490"/>
    </row>
    <row r="491" spans="4:4" x14ac:dyDescent="0.25">
      <c r="D491"/>
    </row>
    <row r="492" spans="4:4" x14ac:dyDescent="0.25">
      <c r="D492"/>
    </row>
    <row r="493" spans="4:4" x14ac:dyDescent="0.25">
      <c r="D493"/>
    </row>
    <row r="494" spans="4:4" x14ac:dyDescent="0.25">
      <c r="D494"/>
    </row>
    <row r="495" spans="4:4" x14ac:dyDescent="0.25">
      <c r="D495"/>
    </row>
    <row r="496" spans="4:4" x14ac:dyDescent="0.25">
      <c r="D496"/>
    </row>
    <row r="497" spans="4:4" x14ac:dyDescent="0.25">
      <c r="D497"/>
    </row>
    <row r="498" spans="4:4" x14ac:dyDescent="0.25">
      <c r="D498"/>
    </row>
    <row r="499" spans="4:4" x14ac:dyDescent="0.25">
      <c r="D499"/>
    </row>
    <row r="500" spans="4:4" x14ac:dyDescent="0.25">
      <c r="D500"/>
    </row>
    <row r="501" spans="4:4" x14ac:dyDescent="0.25">
      <c r="D501"/>
    </row>
    <row r="502" spans="4:4" x14ac:dyDescent="0.25">
      <c r="D502"/>
    </row>
    <row r="503" spans="4:4" x14ac:dyDescent="0.25">
      <c r="D503"/>
    </row>
    <row r="504" spans="4:4" x14ac:dyDescent="0.25">
      <c r="D504"/>
    </row>
    <row r="505" spans="4:4" x14ac:dyDescent="0.25">
      <c r="D505"/>
    </row>
    <row r="506" spans="4:4" x14ac:dyDescent="0.25">
      <c r="D506"/>
    </row>
    <row r="507" spans="4:4" x14ac:dyDescent="0.25">
      <c r="D507"/>
    </row>
    <row r="508" spans="4:4" x14ac:dyDescent="0.25">
      <c r="D508"/>
    </row>
    <row r="509" spans="4:4" x14ac:dyDescent="0.25">
      <c r="D509"/>
    </row>
    <row r="510" spans="4:4" x14ac:dyDescent="0.25">
      <c r="D510"/>
    </row>
    <row r="511" spans="4:4" x14ac:dyDescent="0.25">
      <c r="D511"/>
    </row>
    <row r="512" spans="4:4" x14ac:dyDescent="0.25">
      <c r="D512"/>
    </row>
    <row r="513" spans="4:4" x14ac:dyDescent="0.25">
      <c r="D513"/>
    </row>
    <row r="514" spans="4:4" x14ac:dyDescent="0.25">
      <c r="D514"/>
    </row>
    <row r="515" spans="4:4" x14ac:dyDescent="0.25">
      <c r="D515"/>
    </row>
    <row r="516" spans="4:4" x14ac:dyDescent="0.25">
      <c r="D516"/>
    </row>
    <row r="517" spans="4:4" x14ac:dyDescent="0.25">
      <c r="D517"/>
    </row>
    <row r="518" spans="4:4" x14ac:dyDescent="0.25">
      <c r="D518"/>
    </row>
    <row r="519" spans="4:4" x14ac:dyDescent="0.25">
      <c r="D519"/>
    </row>
    <row r="520" spans="4:4" x14ac:dyDescent="0.25">
      <c r="D520"/>
    </row>
    <row r="521" spans="4:4" x14ac:dyDescent="0.25">
      <c r="D521"/>
    </row>
    <row r="522" spans="4:4" x14ac:dyDescent="0.25">
      <c r="D522"/>
    </row>
    <row r="523" spans="4:4" x14ac:dyDescent="0.25">
      <c r="D523"/>
    </row>
    <row r="524" spans="4:4" x14ac:dyDescent="0.25">
      <c r="D524"/>
    </row>
    <row r="525" spans="4:4" x14ac:dyDescent="0.25">
      <c r="D525"/>
    </row>
    <row r="526" spans="4:4" x14ac:dyDescent="0.25">
      <c r="D526"/>
    </row>
    <row r="527" spans="4:4" x14ac:dyDescent="0.25">
      <c r="D527"/>
    </row>
    <row r="528" spans="4:4" x14ac:dyDescent="0.25">
      <c r="D528"/>
    </row>
    <row r="529" spans="4:4" x14ac:dyDescent="0.25">
      <c r="D529"/>
    </row>
    <row r="530" spans="4:4" x14ac:dyDescent="0.25">
      <c r="D530"/>
    </row>
    <row r="531" spans="4:4" x14ac:dyDescent="0.25">
      <c r="D531"/>
    </row>
    <row r="532" spans="4:4" x14ac:dyDescent="0.25">
      <c r="D532"/>
    </row>
    <row r="533" spans="4:4" x14ac:dyDescent="0.25">
      <c r="D533"/>
    </row>
    <row r="534" spans="4:4" x14ac:dyDescent="0.25">
      <c r="D534"/>
    </row>
    <row r="535" spans="4:4" x14ac:dyDescent="0.25">
      <c r="D535"/>
    </row>
    <row r="536" spans="4:4" x14ac:dyDescent="0.25">
      <c r="D536"/>
    </row>
    <row r="537" spans="4:4" x14ac:dyDescent="0.25">
      <c r="D537"/>
    </row>
    <row r="538" spans="4:4" x14ac:dyDescent="0.25">
      <c r="D538"/>
    </row>
    <row r="539" spans="4:4" x14ac:dyDescent="0.25">
      <c r="D539"/>
    </row>
    <row r="540" spans="4:4" x14ac:dyDescent="0.25">
      <c r="D540"/>
    </row>
    <row r="541" spans="4:4" x14ac:dyDescent="0.25">
      <c r="D541"/>
    </row>
    <row r="542" spans="4:4" x14ac:dyDescent="0.25">
      <c r="D542"/>
    </row>
    <row r="543" spans="4:4" x14ac:dyDescent="0.25">
      <c r="D543"/>
    </row>
    <row r="544" spans="4:4" x14ac:dyDescent="0.25">
      <c r="D544"/>
    </row>
    <row r="545" spans="4:4" x14ac:dyDescent="0.25">
      <c r="D545"/>
    </row>
    <row r="546" spans="4:4" x14ac:dyDescent="0.25">
      <c r="D546"/>
    </row>
    <row r="547" spans="4:4" x14ac:dyDescent="0.25">
      <c r="D547"/>
    </row>
    <row r="548" spans="4:4" x14ac:dyDescent="0.25">
      <c r="D548"/>
    </row>
    <row r="549" spans="4:4" x14ac:dyDescent="0.25">
      <c r="D549"/>
    </row>
    <row r="550" spans="4:4" x14ac:dyDescent="0.25">
      <c r="D550"/>
    </row>
    <row r="551" spans="4:4" x14ac:dyDescent="0.25">
      <c r="D551"/>
    </row>
    <row r="552" spans="4:4" x14ac:dyDescent="0.25">
      <c r="D552"/>
    </row>
    <row r="553" spans="4:4" x14ac:dyDescent="0.25">
      <c r="D553"/>
    </row>
    <row r="554" spans="4:4" x14ac:dyDescent="0.25">
      <c r="D554"/>
    </row>
    <row r="555" spans="4:4" x14ac:dyDescent="0.25">
      <c r="D555"/>
    </row>
    <row r="556" spans="4:4" x14ac:dyDescent="0.25">
      <c r="D556"/>
    </row>
    <row r="557" spans="4:4" x14ac:dyDescent="0.25">
      <c r="D557"/>
    </row>
    <row r="558" spans="4:4" x14ac:dyDescent="0.25">
      <c r="D558"/>
    </row>
    <row r="559" spans="4:4" x14ac:dyDescent="0.25">
      <c r="D559"/>
    </row>
    <row r="560" spans="4:4" x14ac:dyDescent="0.25">
      <c r="D560"/>
    </row>
    <row r="561" spans="4:4" x14ac:dyDescent="0.25">
      <c r="D561"/>
    </row>
    <row r="562" spans="4:4" x14ac:dyDescent="0.25">
      <c r="D562"/>
    </row>
    <row r="563" spans="4:4" x14ac:dyDescent="0.25">
      <c r="D563"/>
    </row>
    <row r="564" spans="4:4" x14ac:dyDescent="0.25">
      <c r="D564"/>
    </row>
    <row r="565" spans="4:4" x14ac:dyDescent="0.25">
      <c r="D565"/>
    </row>
    <row r="566" spans="4:4" x14ac:dyDescent="0.25">
      <c r="D566"/>
    </row>
    <row r="567" spans="4:4" x14ac:dyDescent="0.25">
      <c r="D567"/>
    </row>
    <row r="568" spans="4:4" x14ac:dyDescent="0.25">
      <c r="D568"/>
    </row>
    <row r="569" spans="4:4" x14ac:dyDescent="0.25">
      <c r="D569"/>
    </row>
    <row r="570" spans="4:4" x14ac:dyDescent="0.25">
      <c r="D570"/>
    </row>
    <row r="571" spans="4:4" x14ac:dyDescent="0.25">
      <c r="D571"/>
    </row>
    <row r="572" spans="4:4" x14ac:dyDescent="0.25">
      <c r="D572"/>
    </row>
    <row r="573" spans="4:4" x14ac:dyDescent="0.25">
      <c r="D573"/>
    </row>
    <row r="574" spans="4:4" x14ac:dyDescent="0.25">
      <c r="D574"/>
    </row>
    <row r="575" spans="4:4" x14ac:dyDescent="0.25">
      <c r="D575"/>
    </row>
    <row r="576" spans="4:4" x14ac:dyDescent="0.25">
      <c r="D576"/>
    </row>
    <row r="577" spans="4:4" x14ac:dyDescent="0.25">
      <c r="D577"/>
    </row>
    <row r="578" spans="4:4" x14ac:dyDescent="0.25">
      <c r="D578"/>
    </row>
    <row r="579" spans="4:4" x14ac:dyDescent="0.25">
      <c r="D579"/>
    </row>
    <row r="580" spans="4:4" x14ac:dyDescent="0.25">
      <c r="D580"/>
    </row>
    <row r="581" spans="4:4" x14ac:dyDescent="0.25">
      <c r="D581"/>
    </row>
    <row r="582" spans="4:4" x14ac:dyDescent="0.25">
      <c r="D582"/>
    </row>
    <row r="583" spans="4:4" x14ac:dyDescent="0.25">
      <c r="D583"/>
    </row>
    <row r="584" spans="4:4" x14ac:dyDescent="0.25">
      <c r="D584"/>
    </row>
    <row r="585" spans="4:4" x14ac:dyDescent="0.25">
      <c r="D585"/>
    </row>
    <row r="586" spans="4:4" x14ac:dyDescent="0.25">
      <c r="D586"/>
    </row>
    <row r="587" spans="4:4" x14ac:dyDescent="0.25">
      <c r="D587"/>
    </row>
    <row r="588" spans="4:4" x14ac:dyDescent="0.25">
      <c r="D588"/>
    </row>
    <row r="589" spans="4:4" x14ac:dyDescent="0.25">
      <c r="D589"/>
    </row>
    <row r="590" spans="4:4" x14ac:dyDescent="0.25">
      <c r="D590"/>
    </row>
    <row r="591" spans="4:4" x14ac:dyDescent="0.25">
      <c r="D591"/>
    </row>
    <row r="592" spans="4:4" x14ac:dyDescent="0.25">
      <c r="D592"/>
    </row>
    <row r="593" spans="4:4" x14ac:dyDescent="0.25">
      <c r="D593"/>
    </row>
    <row r="594" spans="4:4" x14ac:dyDescent="0.25">
      <c r="D594"/>
    </row>
    <row r="595" spans="4:4" x14ac:dyDescent="0.25">
      <c r="D595"/>
    </row>
    <row r="596" spans="4:4" x14ac:dyDescent="0.25">
      <c r="D596"/>
    </row>
    <row r="597" spans="4:4" x14ac:dyDescent="0.25">
      <c r="D597"/>
    </row>
    <row r="598" spans="4:4" x14ac:dyDescent="0.25">
      <c r="D598"/>
    </row>
    <row r="599" spans="4:4" x14ac:dyDescent="0.25">
      <c r="D599"/>
    </row>
    <row r="600" spans="4:4" x14ac:dyDescent="0.25">
      <c r="D600"/>
    </row>
    <row r="601" spans="4:4" x14ac:dyDescent="0.25">
      <c r="D601"/>
    </row>
    <row r="602" spans="4:4" x14ac:dyDescent="0.25">
      <c r="D602"/>
    </row>
    <row r="603" spans="4:4" x14ac:dyDescent="0.25">
      <c r="D603"/>
    </row>
    <row r="604" spans="4:4" x14ac:dyDescent="0.25">
      <c r="D604"/>
    </row>
    <row r="605" spans="4:4" x14ac:dyDescent="0.25">
      <c r="D605"/>
    </row>
    <row r="606" spans="4:4" x14ac:dyDescent="0.25">
      <c r="D606"/>
    </row>
    <row r="607" spans="4:4" x14ac:dyDescent="0.25">
      <c r="D607"/>
    </row>
    <row r="608" spans="4:4" x14ac:dyDescent="0.25">
      <c r="D608"/>
    </row>
    <row r="609" spans="4:4" x14ac:dyDescent="0.25">
      <c r="D609"/>
    </row>
    <row r="610" spans="4:4" x14ac:dyDescent="0.25">
      <c r="D610"/>
    </row>
    <row r="611" spans="4:4" x14ac:dyDescent="0.25">
      <c r="D611"/>
    </row>
    <row r="612" spans="4:4" x14ac:dyDescent="0.25">
      <c r="D612"/>
    </row>
    <row r="613" spans="4:4" x14ac:dyDescent="0.25">
      <c r="D613"/>
    </row>
    <row r="614" spans="4:4" x14ac:dyDescent="0.25">
      <c r="D614"/>
    </row>
    <row r="615" spans="4:4" x14ac:dyDescent="0.25">
      <c r="D615"/>
    </row>
    <row r="616" spans="4:4" x14ac:dyDescent="0.25">
      <c r="D616"/>
    </row>
    <row r="617" spans="4:4" x14ac:dyDescent="0.25">
      <c r="D617"/>
    </row>
    <row r="618" spans="4:4" x14ac:dyDescent="0.25">
      <c r="D618"/>
    </row>
    <row r="619" spans="4:4" x14ac:dyDescent="0.25">
      <c r="D619"/>
    </row>
    <row r="620" spans="4:4" x14ac:dyDescent="0.25">
      <c r="D620"/>
    </row>
    <row r="621" spans="4:4" x14ac:dyDescent="0.25">
      <c r="D621"/>
    </row>
    <row r="622" spans="4:4" x14ac:dyDescent="0.25">
      <c r="D622"/>
    </row>
    <row r="623" spans="4:4" x14ac:dyDescent="0.25">
      <c r="D623"/>
    </row>
    <row r="624" spans="4:4" x14ac:dyDescent="0.25">
      <c r="D624"/>
    </row>
    <row r="625" spans="4:4" x14ac:dyDescent="0.25">
      <c r="D625"/>
    </row>
    <row r="626" spans="4:4" x14ac:dyDescent="0.25">
      <c r="D626"/>
    </row>
    <row r="627" spans="4:4" x14ac:dyDescent="0.25">
      <c r="D627"/>
    </row>
    <row r="628" spans="4:4" x14ac:dyDescent="0.25">
      <c r="D628"/>
    </row>
    <row r="629" spans="4:4" x14ac:dyDescent="0.25">
      <c r="D629"/>
    </row>
    <row r="630" spans="4:4" x14ac:dyDescent="0.25">
      <c r="D630"/>
    </row>
    <row r="631" spans="4:4" x14ac:dyDescent="0.25">
      <c r="D631"/>
    </row>
    <row r="632" spans="4:4" x14ac:dyDescent="0.25">
      <c r="D632"/>
    </row>
    <row r="633" spans="4:4" x14ac:dyDescent="0.25">
      <c r="D633"/>
    </row>
    <row r="634" spans="4:4" x14ac:dyDescent="0.25">
      <c r="D634"/>
    </row>
    <row r="635" spans="4:4" x14ac:dyDescent="0.25">
      <c r="D635"/>
    </row>
    <row r="636" spans="4:4" x14ac:dyDescent="0.25">
      <c r="D636"/>
    </row>
    <row r="637" spans="4:4" x14ac:dyDescent="0.25">
      <c r="D637"/>
    </row>
    <row r="638" spans="4:4" x14ac:dyDescent="0.25">
      <c r="D638"/>
    </row>
    <row r="639" spans="4:4" x14ac:dyDescent="0.25">
      <c r="D639"/>
    </row>
    <row r="640" spans="4:4" x14ac:dyDescent="0.25">
      <c r="D640"/>
    </row>
    <row r="641" spans="4:4" x14ac:dyDescent="0.25">
      <c r="D641"/>
    </row>
    <row r="642" spans="4:4" x14ac:dyDescent="0.25">
      <c r="D642"/>
    </row>
    <row r="643" spans="4:4" x14ac:dyDescent="0.25">
      <c r="D643"/>
    </row>
    <row r="644" spans="4:4" x14ac:dyDescent="0.25">
      <c r="D644"/>
    </row>
    <row r="645" spans="4:4" x14ac:dyDescent="0.25">
      <c r="D645"/>
    </row>
    <row r="646" spans="4:4" x14ac:dyDescent="0.25">
      <c r="D646"/>
    </row>
    <row r="647" spans="4:4" x14ac:dyDescent="0.25">
      <c r="D647"/>
    </row>
    <row r="648" spans="4:4" x14ac:dyDescent="0.25">
      <c r="D648"/>
    </row>
    <row r="649" spans="4:4" x14ac:dyDescent="0.25">
      <c r="D649"/>
    </row>
    <row r="650" spans="4:4" x14ac:dyDescent="0.25">
      <c r="D650"/>
    </row>
    <row r="651" spans="4:4" x14ac:dyDescent="0.25">
      <c r="D651"/>
    </row>
    <row r="652" spans="4:4" x14ac:dyDescent="0.25">
      <c r="D652"/>
    </row>
    <row r="653" spans="4:4" x14ac:dyDescent="0.25">
      <c r="D653"/>
    </row>
    <row r="654" spans="4:4" x14ac:dyDescent="0.25">
      <c r="D654"/>
    </row>
    <row r="655" spans="4:4" x14ac:dyDescent="0.25">
      <c r="D655"/>
    </row>
    <row r="656" spans="4:4" x14ac:dyDescent="0.25">
      <c r="D656"/>
    </row>
    <row r="657" spans="4:4" x14ac:dyDescent="0.25">
      <c r="D657"/>
    </row>
    <row r="658" spans="4:4" x14ac:dyDescent="0.25">
      <c r="D658"/>
    </row>
    <row r="659" spans="4:4" x14ac:dyDescent="0.25">
      <c r="D659"/>
    </row>
    <row r="660" spans="4:4" x14ac:dyDescent="0.25">
      <c r="D660"/>
    </row>
    <row r="661" spans="4:4" x14ac:dyDescent="0.25">
      <c r="D661"/>
    </row>
    <row r="662" spans="4:4" x14ac:dyDescent="0.25">
      <c r="D662"/>
    </row>
    <row r="663" spans="4:4" x14ac:dyDescent="0.25">
      <c r="D663"/>
    </row>
    <row r="664" spans="4:4" x14ac:dyDescent="0.25">
      <c r="D664"/>
    </row>
    <row r="665" spans="4:4" x14ac:dyDescent="0.25">
      <c r="D665"/>
    </row>
    <row r="666" spans="4:4" x14ac:dyDescent="0.25">
      <c r="D666"/>
    </row>
    <row r="667" spans="4:4" x14ac:dyDescent="0.25">
      <c r="D667"/>
    </row>
    <row r="668" spans="4:4" x14ac:dyDescent="0.25">
      <c r="D668"/>
    </row>
    <row r="669" spans="4:4" x14ac:dyDescent="0.25">
      <c r="D669"/>
    </row>
    <row r="670" spans="4:4" x14ac:dyDescent="0.25">
      <c r="D670"/>
    </row>
    <row r="671" spans="4:4" x14ac:dyDescent="0.25">
      <c r="D671"/>
    </row>
    <row r="672" spans="4:4" x14ac:dyDescent="0.25">
      <c r="D672"/>
    </row>
    <row r="673" spans="4:4" x14ac:dyDescent="0.25">
      <c r="D673"/>
    </row>
    <row r="674" spans="4:4" x14ac:dyDescent="0.25">
      <c r="D674"/>
    </row>
    <row r="675" spans="4:4" x14ac:dyDescent="0.25">
      <c r="D675"/>
    </row>
    <row r="676" spans="4:4" x14ac:dyDescent="0.25">
      <c r="D676"/>
    </row>
    <row r="677" spans="4:4" x14ac:dyDescent="0.25">
      <c r="D677"/>
    </row>
    <row r="678" spans="4:4" x14ac:dyDescent="0.25">
      <c r="D678"/>
    </row>
    <row r="679" spans="4:4" x14ac:dyDescent="0.25">
      <c r="D679"/>
    </row>
    <row r="680" spans="4:4" x14ac:dyDescent="0.25">
      <c r="D680"/>
    </row>
    <row r="681" spans="4:4" x14ac:dyDescent="0.25">
      <c r="D681"/>
    </row>
    <row r="682" spans="4:4" x14ac:dyDescent="0.25">
      <c r="D682"/>
    </row>
    <row r="683" spans="4:4" x14ac:dyDescent="0.25">
      <c r="D683"/>
    </row>
    <row r="684" spans="4:4" x14ac:dyDescent="0.25">
      <c r="D684"/>
    </row>
    <row r="685" spans="4:4" x14ac:dyDescent="0.25">
      <c r="D685"/>
    </row>
    <row r="686" spans="4:4" x14ac:dyDescent="0.25">
      <c r="D686"/>
    </row>
    <row r="687" spans="4:4" x14ac:dyDescent="0.25">
      <c r="D687"/>
    </row>
    <row r="688" spans="4:4" x14ac:dyDescent="0.25">
      <c r="D688"/>
    </row>
    <row r="689" spans="4:4" x14ac:dyDescent="0.25">
      <c r="D689"/>
    </row>
    <row r="690" spans="4:4" x14ac:dyDescent="0.25">
      <c r="D690"/>
    </row>
    <row r="691" spans="4:4" x14ac:dyDescent="0.25">
      <c r="D691"/>
    </row>
    <row r="692" spans="4:4" x14ac:dyDescent="0.25">
      <c r="D692"/>
    </row>
    <row r="693" spans="4:4" x14ac:dyDescent="0.25">
      <c r="D693"/>
    </row>
    <row r="694" spans="4:4" x14ac:dyDescent="0.25">
      <c r="D694"/>
    </row>
    <row r="695" spans="4:4" x14ac:dyDescent="0.25">
      <c r="D695"/>
    </row>
    <row r="696" spans="4:4" x14ac:dyDescent="0.25">
      <c r="D696"/>
    </row>
    <row r="697" spans="4:4" x14ac:dyDescent="0.25">
      <c r="D697"/>
    </row>
    <row r="698" spans="4:4" x14ac:dyDescent="0.25">
      <c r="D698"/>
    </row>
    <row r="699" spans="4:4" x14ac:dyDescent="0.25">
      <c r="D699"/>
    </row>
    <row r="700" spans="4:4" x14ac:dyDescent="0.25">
      <c r="D700"/>
    </row>
    <row r="701" spans="4:4" x14ac:dyDescent="0.25">
      <c r="D701"/>
    </row>
    <row r="702" spans="4:4" x14ac:dyDescent="0.25">
      <c r="D702"/>
    </row>
    <row r="703" spans="4:4" x14ac:dyDescent="0.25">
      <c r="D703"/>
    </row>
    <row r="704" spans="4:4" x14ac:dyDescent="0.25">
      <c r="D704"/>
    </row>
    <row r="705" spans="4:4" x14ac:dyDescent="0.25">
      <c r="D705"/>
    </row>
    <row r="706" spans="4:4" x14ac:dyDescent="0.25">
      <c r="D706"/>
    </row>
    <row r="707" spans="4:4" x14ac:dyDescent="0.25">
      <c r="D707"/>
    </row>
    <row r="708" spans="4:4" x14ac:dyDescent="0.25">
      <c r="D708"/>
    </row>
    <row r="709" spans="4:4" x14ac:dyDescent="0.25">
      <c r="D709"/>
    </row>
    <row r="710" spans="4:4" x14ac:dyDescent="0.25">
      <c r="D710"/>
    </row>
    <row r="711" spans="4:4" x14ac:dyDescent="0.25">
      <c r="D711"/>
    </row>
    <row r="712" spans="4:4" x14ac:dyDescent="0.25">
      <c r="D712"/>
    </row>
    <row r="713" spans="4:4" x14ac:dyDescent="0.25">
      <c r="D713"/>
    </row>
    <row r="714" spans="4:4" x14ac:dyDescent="0.25">
      <c r="D714"/>
    </row>
    <row r="715" spans="4:4" x14ac:dyDescent="0.25">
      <c r="D715"/>
    </row>
    <row r="716" spans="4:4" x14ac:dyDescent="0.25">
      <c r="D716"/>
    </row>
    <row r="717" spans="4:4" x14ac:dyDescent="0.25">
      <c r="D717"/>
    </row>
    <row r="718" spans="4:4" x14ac:dyDescent="0.25">
      <c r="D718"/>
    </row>
    <row r="719" spans="4:4" x14ac:dyDescent="0.25">
      <c r="D719"/>
    </row>
    <row r="720" spans="4:4" x14ac:dyDescent="0.25">
      <c r="D720"/>
    </row>
    <row r="721" spans="4:4" x14ac:dyDescent="0.25">
      <c r="D721"/>
    </row>
    <row r="722" spans="4:4" x14ac:dyDescent="0.25">
      <c r="D722"/>
    </row>
    <row r="723" spans="4:4" x14ac:dyDescent="0.25">
      <c r="D723"/>
    </row>
    <row r="724" spans="4:4" x14ac:dyDescent="0.25">
      <c r="D724"/>
    </row>
    <row r="725" spans="4:4" x14ac:dyDescent="0.25">
      <c r="D725"/>
    </row>
    <row r="726" spans="4:4" x14ac:dyDescent="0.25">
      <c r="D726"/>
    </row>
    <row r="727" spans="4:4" x14ac:dyDescent="0.25">
      <c r="D727"/>
    </row>
    <row r="728" spans="4:4" x14ac:dyDescent="0.25">
      <c r="D728"/>
    </row>
    <row r="729" spans="4:4" x14ac:dyDescent="0.25">
      <c r="D729"/>
    </row>
    <row r="730" spans="4:4" x14ac:dyDescent="0.25">
      <c r="D730"/>
    </row>
    <row r="731" spans="4:4" x14ac:dyDescent="0.25">
      <c r="D731"/>
    </row>
    <row r="732" spans="4:4" x14ac:dyDescent="0.25">
      <c r="D732"/>
    </row>
    <row r="733" spans="4:4" x14ac:dyDescent="0.25">
      <c r="D733"/>
    </row>
    <row r="734" spans="4:4" x14ac:dyDescent="0.25">
      <c r="D734"/>
    </row>
    <row r="735" spans="4:4" x14ac:dyDescent="0.25">
      <c r="D735"/>
    </row>
    <row r="736" spans="4:4" x14ac:dyDescent="0.25">
      <c r="D736"/>
    </row>
    <row r="737" spans="4:4" x14ac:dyDescent="0.25">
      <c r="D737"/>
    </row>
    <row r="738" spans="4:4" x14ac:dyDescent="0.25">
      <c r="D738"/>
    </row>
    <row r="739" spans="4:4" x14ac:dyDescent="0.25">
      <c r="D739"/>
    </row>
    <row r="740" spans="4:4" x14ac:dyDescent="0.25">
      <c r="D740"/>
    </row>
    <row r="741" spans="4:4" x14ac:dyDescent="0.25">
      <c r="D741"/>
    </row>
    <row r="742" spans="4:4" x14ac:dyDescent="0.25">
      <c r="D742"/>
    </row>
    <row r="743" spans="4:4" x14ac:dyDescent="0.25">
      <c r="D743"/>
    </row>
    <row r="744" spans="4:4" x14ac:dyDescent="0.25">
      <c r="D744"/>
    </row>
    <row r="745" spans="4:4" x14ac:dyDescent="0.25">
      <c r="D745"/>
    </row>
    <row r="746" spans="4:4" x14ac:dyDescent="0.25">
      <c r="D746"/>
    </row>
    <row r="747" spans="4:4" x14ac:dyDescent="0.25">
      <c r="D747"/>
    </row>
    <row r="748" spans="4:4" x14ac:dyDescent="0.25">
      <c r="D748"/>
    </row>
    <row r="749" spans="4:4" x14ac:dyDescent="0.25">
      <c r="D749"/>
    </row>
    <row r="750" spans="4:4" x14ac:dyDescent="0.25">
      <c r="D750"/>
    </row>
    <row r="751" spans="4:4" x14ac:dyDescent="0.25">
      <c r="D751"/>
    </row>
    <row r="752" spans="4:4" x14ac:dyDescent="0.25">
      <c r="D752"/>
    </row>
    <row r="753" spans="4:4" x14ac:dyDescent="0.25">
      <c r="D753"/>
    </row>
    <row r="754" spans="4:4" x14ac:dyDescent="0.25">
      <c r="D754"/>
    </row>
    <row r="755" spans="4:4" x14ac:dyDescent="0.25">
      <c r="D755"/>
    </row>
    <row r="756" spans="4:4" x14ac:dyDescent="0.25">
      <c r="D756"/>
    </row>
    <row r="757" spans="4:4" x14ac:dyDescent="0.25">
      <c r="D757"/>
    </row>
    <row r="758" spans="4:4" x14ac:dyDescent="0.25">
      <c r="D758"/>
    </row>
    <row r="759" spans="4:4" x14ac:dyDescent="0.25">
      <c r="D759"/>
    </row>
    <row r="760" spans="4:4" x14ac:dyDescent="0.25">
      <c r="D760"/>
    </row>
    <row r="761" spans="4:4" x14ac:dyDescent="0.25">
      <c r="D761"/>
    </row>
    <row r="762" spans="4:4" x14ac:dyDescent="0.25">
      <c r="D762"/>
    </row>
    <row r="763" spans="4:4" x14ac:dyDescent="0.25">
      <c r="D763"/>
    </row>
    <row r="764" spans="4:4" x14ac:dyDescent="0.25">
      <c r="D764"/>
    </row>
    <row r="765" spans="4:4" x14ac:dyDescent="0.25">
      <c r="D765"/>
    </row>
    <row r="766" spans="4:4" x14ac:dyDescent="0.25">
      <c r="D766"/>
    </row>
    <row r="767" spans="4:4" x14ac:dyDescent="0.25">
      <c r="D767"/>
    </row>
    <row r="768" spans="4:4" x14ac:dyDescent="0.25">
      <c r="D768"/>
    </row>
    <row r="769" spans="4:4" x14ac:dyDescent="0.25">
      <c r="D769"/>
    </row>
    <row r="770" spans="4:4" x14ac:dyDescent="0.25">
      <c r="D770"/>
    </row>
    <row r="771" spans="4:4" x14ac:dyDescent="0.25">
      <c r="D771"/>
    </row>
    <row r="772" spans="4:4" x14ac:dyDescent="0.25">
      <c r="D772"/>
    </row>
    <row r="773" spans="4:4" x14ac:dyDescent="0.25">
      <c r="D773"/>
    </row>
    <row r="774" spans="4:4" x14ac:dyDescent="0.25">
      <c r="D774"/>
    </row>
    <row r="775" spans="4:4" x14ac:dyDescent="0.25">
      <c r="D775"/>
    </row>
    <row r="776" spans="4:4" x14ac:dyDescent="0.25">
      <c r="D776"/>
    </row>
    <row r="777" spans="4:4" x14ac:dyDescent="0.25">
      <c r="D777"/>
    </row>
    <row r="778" spans="4:4" x14ac:dyDescent="0.25">
      <c r="D778"/>
    </row>
    <row r="779" spans="4:4" x14ac:dyDescent="0.25">
      <c r="D779"/>
    </row>
    <row r="780" spans="4:4" x14ac:dyDescent="0.25">
      <c r="D780"/>
    </row>
    <row r="781" spans="4:4" x14ac:dyDescent="0.25">
      <c r="D781"/>
    </row>
    <row r="782" spans="4:4" x14ac:dyDescent="0.25">
      <c r="D782"/>
    </row>
    <row r="783" spans="4:4" x14ac:dyDescent="0.25">
      <c r="D783"/>
    </row>
    <row r="784" spans="4:4" x14ac:dyDescent="0.25">
      <c r="D784"/>
    </row>
    <row r="785" spans="4:4" x14ac:dyDescent="0.25">
      <c r="D785"/>
    </row>
    <row r="786" spans="4:4" x14ac:dyDescent="0.25">
      <c r="D786"/>
    </row>
    <row r="787" spans="4:4" x14ac:dyDescent="0.25">
      <c r="D787"/>
    </row>
    <row r="788" spans="4:4" x14ac:dyDescent="0.25">
      <c r="D788"/>
    </row>
    <row r="789" spans="4:4" x14ac:dyDescent="0.25">
      <c r="D789"/>
    </row>
    <row r="790" spans="4:4" x14ac:dyDescent="0.25">
      <c r="D790"/>
    </row>
    <row r="791" spans="4:4" x14ac:dyDescent="0.25">
      <c r="D791"/>
    </row>
    <row r="792" spans="4:4" x14ac:dyDescent="0.25">
      <c r="D792"/>
    </row>
    <row r="793" spans="4:4" x14ac:dyDescent="0.25">
      <c r="D793"/>
    </row>
    <row r="794" spans="4:4" x14ac:dyDescent="0.25">
      <c r="D794"/>
    </row>
    <row r="795" spans="4:4" x14ac:dyDescent="0.25">
      <c r="D795"/>
    </row>
    <row r="796" spans="4:4" x14ac:dyDescent="0.25">
      <c r="D796"/>
    </row>
    <row r="797" spans="4:4" x14ac:dyDescent="0.25">
      <c r="D797"/>
    </row>
    <row r="798" spans="4:4" x14ac:dyDescent="0.25">
      <c r="D798"/>
    </row>
    <row r="799" spans="4:4" x14ac:dyDescent="0.25">
      <c r="D799"/>
    </row>
    <row r="800" spans="4:4" x14ac:dyDescent="0.25">
      <c r="D800"/>
    </row>
    <row r="801" spans="4:4" x14ac:dyDescent="0.25">
      <c r="D801"/>
    </row>
    <row r="802" spans="4:4" x14ac:dyDescent="0.25">
      <c r="D802"/>
    </row>
    <row r="803" spans="4:4" x14ac:dyDescent="0.25">
      <c r="D803"/>
    </row>
    <row r="804" spans="4:4" x14ac:dyDescent="0.25">
      <c r="D804"/>
    </row>
    <row r="805" spans="4:4" x14ac:dyDescent="0.25">
      <c r="D805"/>
    </row>
    <row r="806" spans="4:4" x14ac:dyDescent="0.25">
      <c r="D806"/>
    </row>
    <row r="807" spans="4:4" x14ac:dyDescent="0.25">
      <c r="D807"/>
    </row>
    <row r="808" spans="4:4" x14ac:dyDescent="0.25">
      <c r="D808"/>
    </row>
    <row r="809" spans="4:4" x14ac:dyDescent="0.25">
      <c r="D809"/>
    </row>
    <row r="810" spans="4:4" x14ac:dyDescent="0.25">
      <c r="D810"/>
    </row>
    <row r="811" spans="4:4" x14ac:dyDescent="0.25">
      <c r="D811"/>
    </row>
    <row r="812" spans="4:4" x14ac:dyDescent="0.25">
      <c r="D812"/>
    </row>
    <row r="813" spans="4:4" x14ac:dyDescent="0.25">
      <c r="D813"/>
    </row>
    <row r="814" spans="4:4" x14ac:dyDescent="0.25">
      <c r="D814"/>
    </row>
    <row r="815" spans="4:4" x14ac:dyDescent="0.25">
      <c r="D815"/>
    </row>
    <row r="816" spans="4:4" x14ac:dyDescent="0.25">
      <c r="D816"/>
    </row>
    <row r="817" spans="4:4" x14ac:dyDescent="0.25">
      <c r="D817"/>
    </row>
    <row r="818" spans="4:4" x14ac:dyDescent="0.25">
      <c r="D818"/>
    </row>
    <row r="819" spans="4:4" x14ac:dyDescent="0.25">
      <c r="D819"/>
    </row>
    <row r="820" spans="4:4" x14ac:dyDescent="0.25">
      <c r="D820"/>
    </row>
    <row r="821" spans="4:4" x14ac:dyDescent="0.25">
      <c r="D821"/>
    </row>
    <row r="822" spans="4:4" x14ac:dyDescent="0.25">
      <c r="D822"/>
    </row>
    <row r="823" spans="4:4" x14ac:dyDescent="0.25">
      <c r="D823"/>
    </row>
    <row r="824" spans="4:4" x14ac:dyDescent="0.25">
      <c r="D824"/>
    </row>
    <row r="825" spans="4:4" x14ac:dyDescent="0.25">
      <c r="D825"/>
    </row>
    <row r="826" spans="4:4" x14ac:dyDescent="0.25">
      <c r="D826"/>
    </row>
    <row r="827" spans="4:4" x14ac:dyDescent="0.25">
      <c r="D827"/>
    </row>
    <row r="828" spans="4:4" x14ac:dyDescent="0.25">
      <c r="D828"/>
    </row>
    <row r="829" spans="4:4" x14ac:dyDescent="0.25">
      <c r="D829"/>
    </row>
    <row r="830" spans="4:4" x14ac:dyDescent="0.25">
      <c r="D830"/>
    </row>
    <row r="831" spans="4:4" x14ac:dyDescent="0.25">
      <c r="D831"/>
    </row>
    <row r="832" spans="4:4" x14ac:dyDescent="0.25">
      <c r="D832"/>
    </row>
    <row r="833" spans="4:4" x14ac:dyDescent="0.25">
      <c r="D833"/>
    </row>
    <row r="834" spans="4:4" x14ac:dyDescent="0.25">
      <c r="D834"/>
    </row>
    <row r="835" spans="4:4" x14ac:dyDescent="0.25">
      <c r="D835"/>
    </row>
    <row r="836" spans="4:4" x14ac:dyDescent="0.25">
      <c r="D836"/>
    </row>
    <row r="837" spans="4:4" x14ac:dyDescent="0.25">
      <c r="D837"/>
    </row>
    <row r="838" spans="4:4" x14ac:dyDescent="0.25">
      <c r="D838"/>
    </row>
    <row r="839" spans="4:4" x14ac:dyDescent="0.25">
      <c r="D839"/>
    </row>
    <row r="840" spans="4:4" x14ac:dyDescent="0.25">
      <c r="D840"/>
    </row>
    <row r="841" spans="4:4" x14ac:dyDescent="0.25">
      <c r="D841"/>
    </row>
    <row r="842" spans="4:4" x14ac:dyDescent="0.25">
      <c r="D842"/>
    </row>
    <row r="843" spans="4:4" x14ac:dyDescent="0.25">
      <c r="D843"/>
    </row>
    <row r="844" spans="4:4" x14ac:dyDescent="0.25">
      <c r="D844"/>
    </row>
    <row r="845" spans="4:4" x14ac:dyDescent="0.25">
      <c r="D845"/>
    </row>
    <row r="846" spans="4:4" x14ac:dyDescent="0.25">
      <c r="D846"/>
    </row>
    <row r="847" spans="4:4" x14ac:dyDescent="0.25">
      <c r="D847"/>
    </row>
    <row r="848" spans="4:4" x14ac:dyDescent="0.25">
      <c r="D848"/>
    </row>
    <row r="849" spans="4:4" x14ac:dyDescent="0.25">
      <c r="D849"/>
    </row>
    <row r="850" spans="4:4" x14ac:dyDescent="0.25">
      <c r="D850"/>
    </row>
    <row r="851" spans="4:4" x14ac:dyDescent="0.25">
      <c r="D851"/>
    </row>
    <row r="852" spans="4:4" x14ac:dyDescent="0.25">
      <c r="D852"/>
    </row>
    <row r="853" spans="4:4" x14ac:dyDescent="0.25">
      <c r="D853"/>
    </row>
    <row r="854" spans="4:4" x14ac:dyDescent="0.25">
      <c r="D854"/>
    </row>
    <row r="855" spans="4:4" x14ac:dyDescent="0.25">
      <c r="D855"/>
    </row>
    <row r="856" spans="4:4" x14ac:dyDescent="0.25">
      <c r="D856"/>
    </row>
    <row r="857" spans="4:4" x14ac:dyDescent="0.25">
      <c r="D857"/>
    </row>
    <row r="858" spans="4:4" x14ac:dyDescent="0.25">
      <c r="D858"/>
    </row>
    <row r="859" spans="4:4" x14ac:dyDescent="0.25">
      <c r="D859"/>
    </row>
    <row r="860" spans="4:4" x14ac:dyDescent="0.25">
      <c r="D860"/>
    </row>
    <row r="861" spans="4:4" x14ac:dyDescent="0.25">
      <c r="D861"/>
    </row>
    <row r="862" spans="4:4" x14ac:dyDescent="0.25">
      <c r="D862"/>
    </row>
    <row r="863" spans="4:4" x14ac:dyDescent="0.25">
      <c r="D863"/>
    </row>
    <row r="864" spans="4:4" x14ac:dyDescent="0.25">
      <c r="D864"/>
    </row>
    <row r="865" spans="4:4" x14ac:dyDescent="0.25">
      <c r="D865"/>
    </row>
    <row r="866" spans="4:4" x14ac:dyDescent="0.25">
      <c r="D866"/>
    </row>
    <row r="867" spans="4:4" x14ac:dyDescent="0.25">
      <c r="D867"/>
    </row>
    <row r="868" spans="4:4" x14ac:dyDescent="0.25">
      <c r="D868"/>
    </row>
    <row r="869" spans="4:4" x14ac:dyDescent="0.25">
      <c r="D869"/>
    </row>
    <row r="870" spans="4:4" x14ac:dyDescent="0.25">
      <c r="D870"/>
    </row>
    <row r="871" spans="4:4" x14ac:dyDescent="0.25">
      <c r="D871"/>
    </row>
    <row r="872" spans="4:4" x14ac:dyDescent="0.25">
      <c r="D872"/>
    </row>
    <row r="873" spans="4:4" x14ac:dyDescent="0.25">
      <c r="D873"/>
    </row>
    <row r="874" spans="4:4" x14ac:dyDescent="0.25">
      <c r="D874"/>
    </row>
    <row r="875" spans="4:4" x14ac:dyDescent="0.25">
      <c r="D875"/>
    </row>
    <row r="876" spans="4:4" x14ac:dyDescent="0.25">
      <c r="D876"/>
    </row>
    <row r="877" spans="4:4" x14ac:dyDescent="0.25">
      <c r="D877"/>
    </row>
    <row r="878" spans="4:4" x14ac:dyDescent="0.25">
      <c r="D878"/>
    </row>
    <row r="879" spans="4:4" x14ac:dyDescent="0.25">
      <c r="D879"/>
    </row>
    <row r="880" spans="4:4" x14ac:dyDescent="0.25">
      <c r="D880"/>
    </row>
    <row r="881" spans="4:4" x14ac:dyDescent="0.25">
      <c r="D881"/>
    </row>
    <row r="882" spans="4:4" x14ac:dyDescent="0.25">
      <c r="D882"/>
    </row>
    <row r="883" spans="4:4" x14ac:dyDescent="0.25">
      <c r="D883"/>
    </row>
    <row r="884" spans="4:4" x14ac:dyDescent="0.25">
      <c r="D884"/>
    </row>
    <row r="885" spans="4:4" x14ac:dyDescent="0.25">
      <c r="D885"/>
    </row>
    <row r="886" spans="4:4" x14ac:dyDescent="0.25">
      <c r="D886"/>
    </row>
    <row r="887" spans="4:4" x14ac:dyDescent="0.25">
      <c r="D887"/>
    </row>
    <row r="888" spans="4:4" x14ac:dyDescent="0.25">
      <c r="D888"/>
    </row>
    <row r="889" spans="4:4" x14ac:dyDescent="0.25">
      <c r="D889"/>
    </row>
    <row r="890" spans="4:4" x14ac:dyDescent="0.25">
      <c r="D890"/>
    </row>
    <row r="891" spans="4:4" x14ac:dyDescent="0.25">
      <c r="D891"/>
    </row>
    <row r="892" spans="4:4" x14ac:dyDescent="0.25">
      <c r="D892"/>
    </row>
    <row r="893" spans="4:4" x14ac:dyDescent="0.25">
      <c r="D893"/>
    </row>
    <row r="894" spans="4:4" x14ac:dyDescent="0.25">
      <c r="D894"/>
    </row>
    <row r="895" spans="4:4" x14ac:dyDescent="0.25">
      <c r="D895"/>
    </row>
    <row r="896" spans="4:4" x14ac:dyDescent="0.25">
      <c r="D896"/>
    </row>
    <row r="897" spans="4:4" x14ac:dyDescent="0.25">
      <c r="D897"/>
    </row>
    <row r="898" spans="4:4" x14ac:dyDescent="0.25">
      <c r="D898"/>
    </row>
    <row r="899" spans="4:4" x14ac:dyDescent="0.25">
      <c r="D899"/>
    </row>
    <row r="900" spans="4:4" x14ac:dyDescent="0.25">
      <c r="D900"/>
    </row>
    <row r="901" spans="4:4" x14ac:dyDescent="0.25">
      <c r="D901"/>
    </row>
    <row r="902" spans="4:4" x14ac:dyDescent="0.25">
      <c r="D902"/>
    </row>
    <row r="903" spans="4:4" x14ac:dyDescent="0.25">
      <c r="D903"/>
    </row>
    <row r="904" spans="4:4" x14ac:dyDescent="0.25">
      <c r="D904"/>
    </row>
    <row r="905" spans="4:4" x14ac:dyDescent="0.25">
      <c r="D905"/>
    </row>
    <row r="906" spans="4:4" x14ac:dyDescent="0.25">
      <c r="D906"/>
    </row>
    <row r="907" spans="4:4" x14ac:dyDescent="0.25">
      <c r="D907"/>
    </row>
    <row r="908" spans="4:4" x14ac:dyDescent="0.25">
      <c r="D908"/>
    </row>
    <row r="909" spans="4:4" x14ac:dyDescent="0.25">
      <c r="D909"/>
    </row>
    <row r="910" spans="4:4" x14ac:dyDescent="0.25">
      <c r="D910"/>
    </row>
    <row r="911" spans="4:4" x14ac:dyDescent="0.25">
      <c r="D911"/>
    </row>
    <row r="912" spans="4:4" x14ac:dyDescent="0.25">
      <c r="D912"/>
    </row>
    <row r="913" spans="4:4" x14ac:dyDescent="0.25">
      <c r="D913"/>
    </row>
    <row r="914" spans="4:4" x14ac:dyDescent="0.25">
      <c r="D914"/>
    </row>
    <row r="915" spans="4:4" x14ac:dyDescent="0.25">
      <c r="D915"/>
    </row>
    <row r="916" spans="4:4" x14ac:dyDescent="0.25">
      <c r="D916"/>
    </row>
    <row r="917" spans="4:4" x14ac:dyDescent="0.25">
      <c r="D917"/>
    </row>
    <row r="918" spans="4:4" x14ac:dyDescent="0.25">
      <c r="D918"/>
    </row>
    <row r="919" spans="4:4" x14ac:dyDescent="0.25">
      <c r="D919"/>
    </row>
    <row r="920" spans="4:4" x14ac:dyDescent="0.25">
      <c r="D920"/>
    </row>
    <row r="921" spans="4:4" x14ac:dyDescent="0.25">
      <c r="D921"/>
    </row>
    <row r="922" spans="4:4" x14ac:dyDescent="0.25">
      <c r="D922"/>
    </row>
    <row r="923" spans="4:4" x14ac:dyDescent="0.25">
      <c r="D923"/>
    </row>
    <row r="924" spans="4:4" x14ac:dyDescent="0.25">
      <c r="D924"/>
    </row>
    <row r="925" spans="4:4" x14ac:dyDescent="0.25">
      <c r="D925"/>
    </row>
    <row r="926" spans="4:4" x14ac:dyDescent="0.25">
      <c r="D926"/>
    </row>
    <row r="927" spans="4:4" x14ac:dyDescent="0.25">
      <c r="D927"/>
    </row>
    <row r="928" spans="4:4" x14ac:dyDescent="0.25">
      <c r="D928"/>
    </row>
    <row r="929" spans="4:4" x14ac:dyDescent="0.25">
      <c r="D929"/>
    </row>
    <row r="930" spans="4:4" x14ac:dyDescent="0.25">
      <c r="D930"/>
    </row>
    <row r="931" spans="4:4" x14ac:dyDescent="0.25">
      <c r="D931"/>
    </row>
    <row r="932" spans="4:4" x14ac:dyDescent="0.25">
      <c r="D932"/>
    </row>
    <row r="933" spans="4:4" x14ac:dyDescent="0.25">
      <c r="D933"/>
    </row>
    <row r="934" spans="4:4" x14ac:dyDescent="0.25">
      <c r="D934"/>
    </row>
    <row r="935" spans="4:4" x14ac:dyDescent="0.25">
      <c r="D935"/>
    </row>
    <row r="936" spans="4:4" x14ac:dyDescent="0.25">
      <c r="D936"/>
    </row>
    <row r="937" spans="4:4" x14ac:dyDescent="0.25">
      <c r="D937"/>
    </row>
    <row r="938" spans="4:4" x14ac:dyDescent="0.25">
      <c r="D938"/>
    </row>
    <row r="939" spans="4:4" x14ac:dyDescent="0.25">
      <c r="D939"/>
    </row>
    <row r="940" spans="4:4" x14ac:dyDescent="0.25">
      <c r="D940"/>
    </row>
    <row r="941" spans="4:4" x14ac:dyDescent="0.25">
      <c r="D941"/>
    </row>
    <row r="942" spans="4:4" x14ac:dyDescent="0.25">
      <c r="D942"/>
    </row>
    <row r="943" spans="4:4" x14ac:dyDescent="0.25">
      <c r="D943"/>
    </row>
    <row r="944" spans="4:4" x14ac:dyDescent="0.25">
      <c r="D944"/>
    </row>
    <row r="945" spans="4:4" x14ac:dyDescent="0.25">
      <c r="D945"/>
    </row>
    <row r="946" spans="4:4" x14ac:dyDescent="0.25">
      <c r="D946"/>
    </row>
    <row r="947" spans="4:4" x14ac:dyDescent="0.25">
      <c r="D947"/>
    </row>
    <row r="948" spans="4:4" x14ac:dyDescent="0.25">
      <c r="D948"/>
    </row>
    <row r="949" spans="4:4" x14ac:dyDescent="0.25">
      <c r="D949"/>
    </row>
    <row r="950" spans="4:4" x14ac:dyDescent="0.25">
      <c r="D950"/>
    </row>
    <row r="951" spans="4:4" x14ac:dyDescent="0.25">
      <c r="D951"/>
    </row>
    <row r="952" spans="4:4" x14ac:dyDescent="0.25">
      <c r="D952"/>
    </row>
    <row r="953" spans="4:4" x14ac:dyDescent="0.25">
      <c r="D953"/>
    </row>
    <row r="954" spans="4:4" x14ac:dyDescent="0.25">
      <c r="D954"/>
    </row>
    <row r="955" spans="4:4" x14ac:dyDescent="0.25">
      <c r="D955"/>
    </row>
    <row r="956" spans="4:4" x14ac:dyDescent="0.25">
      <c r="D956"/>
    </row>
    <row r="957" spans="4:4" x14ac:dyDescent="0.25">
      <c r="D957"/>
    </row>
    <row r="958" spans="4:4" x14ac:dyDescent="0.25">
      <c r="D958"/>
    </row>
    <row r="959" spans="4:4" x14ac:dyDescent="0.25">
      <c r="D959"/>
    </row>
    <row r="960" spans="4:4" x14ac:dyDescent="0.25">
      <c r="D960"/>
    </row>
    <row r="961" spans="4:4" x14ac:dyDescent="0.25">
      <c r="D961"/>
    </row>
    <row r="962" spans="4:4" x14ac:dyDescent="0.25">
      <c r="D962"/>
    </row>
    <row r="963" spans="4:4" x14ac:dyDescent="0.25">
      <c r="D963"/>
    </row>
    <row r="964" spans="4:4" x14ac:dyDescent="0.25">
      <c r="D964"/>
    </row>
    <row r="965" spans="4:4" x14ac:dyDescent="0.25">
      <c r="D965"/>
    </row>
    <row r="966" spans="4:4" x14ac:dyDescent="0.25">
      <c r="D966"/>
    </row>
    <row r="967" spans="4:4" x14ac:dyDescent="0.25">
      <c r="D967"/>
    </row>
    <row r="968" spans="4:4" x14ac:dyDescent="0.25">
      <c r="D968"/>
    </row>
    <row r="969" spans="4:4" x14ac:dyDescent="0.25">
      <c r="D969"/>
    </row>
    <row r="970" spans="4:4" x14ac:dyDescent="0.25">
      <c r="D970"/>
    </row>
    <row r="971" spans="4:4" x14ac:dyDescent="0.25">
      <c r="D971"/>
    </row>
    <row r="972" spans="4:4" x14ac:dyDescent="0.25">
      <c r="D972"/>
    </row>
    <row r="973" spans="4:4" x14ac:dyDescent="0.25">
      <c r="D973"/>
    </row>
    <row r="974" spans="4:4" x14ac:dyDescent="0.25">
      <c r="D974"/>
    </row>
    <row r="975" spans="4:4" x14ac:dyDescent="0.25">
      <c r="D975"/>
    </row>
    <row r="976" spans="4:4" x14ac:dyDescent="0.25">
      <c r="D976"/>
    </row>
    <row r="977" spans="4:4" x14ac:dyDescent="0.25">
      <c r="D977"/>
    </row>
    <row r="978" spans="4:4" x14ac:dyDescent="0.25">
      <c r="D978"/>
    </row>
    <row r="979" spans="4:4" x14ac:dyDescent="0.25">
      <c r="D979"/>
    </row>
    <row r="980" spans="4:4" x14ac:dyDescent="0.25">
      <c r="D980"/>
    </row>
    <row r="981" spans="4:4" x14ac:dyDescent="0.25">
      <c r="D981"/>
    </row>
    <row r="982" spans="4:4" x14ac:dyDescent="0.25">
      <c r="D982"/>
    </row>
    <row r="983" spans="4:4" x14ac:dyDescent="0.25">
      <c r="D983"/>
    </row>
    <row r="984" spans="4:4" x14ac:dyDescent="0.25">
      <c r="D984"/>
    </row>
    <row r="985" spans="4:4" x14ac:dyDescent="0.25">
      <c r="D985"/>
    </row>
    <row r="986" spans="4:4" x14ac:dyDescent="0.25">
      <c r="D986"/>
    </row>
    <row r="987" spans="4:4" x14ac:dyDescent="0.25">
      <c r="D987"/>
    </row>
    <row r="988" spans="4:4" x14ac:dyDescent="0.25">
      <c r="D988"/>
    </row>
    <row r="989" spans="4:4" x14ac:dyDescent="0.25">
      <c r="D989"/>
    </row>
    <row r="990" spans="4:4" x14ac:dyDescent="0.25">
      <c r="D990"/>
    </row>
    <row r="991" spans="4:4" x14ac:dyDescent="0.25">
      <c r="D991"/>
    </row>
    <row r="992" spans="4:4" x14ac:dyDescent="0.25">
      <c r="D992"/>
    </row>
    <row r="993" spans="4:4" x14ac:dyDescent="0.25">
      <c r="D993"/>
    </row>
    <row r="994" spans="4:4" x14ac:dyDescent="0.25">
      <c r="D994"/>
    </row>
    <row r="995" spans="4:4" x14ac:dyDescent="0.25">
      <c r="D995"/>
    </row>
    <row r="996" spans="4:4" x14ac:dyDescent="0.25">
      <c r="D996"/>
    </row>
    <row r="997" spans="4:4" x14ac:dyDescent="0.25">
      <c r="D997"/>
    </row>
    <row r="998" spans="4:4" x14ac:dyDescent="0.25">
      <c r="D998"/>
    </row>
    <row r="999" spans="4:4" x14ac:dyDescent="0.25">
      <c r="D999"/>
    </row>
    <row r="1000" spans="4:4" x14ac:dyDescent="0.25">
      <c r="D1000"/>
    </row>
    <row r="1001" spans="4:4" x14ac:dyDescent="0.25">
      <c r="D1001"/>
    </row>
    <row r="1002" spans="4:4" x14ac:dyDescent="0.25">
      <c r="D1002"/>
    </row>
    <row r="1003" spans="4:4" x14ac:dyDescent="0.25">
      <c r="D1003"/>
    </row>
    <row r="1004" spans="4:4" x14ac:dyDescent="0.25">
      <c r="D1004"/>
    </row>
    <row r="1005" spans="4:4" x14ac:dyDescent="0.25">
      <c r="D1005"/>
    </row>
    <row r="1006" spans="4:4" x14ac:dyDescent="0.25">
      <c r="D1006"/>
    </row>
    <row r="1007" spans="4:4" x14ac:dyDescent="0.25">
      <c r="D1007"/>
    </row>
    <row r="1008" spans="4:4" x14ac:dyDescent="0.25">
      <c r="D1008"/>
    </row>
    <row r="1009" spans="4:4" x14ac:dyDescent="0.25">
      <c r="D1009"/>
    </row>
    <row r="1010" spans="4:4" x14ac:dyDescent="0.25">
      <c r="D1010"/>
    </row>
    <row r="1011" spans="4:4" x14ac:dyDescent="0.25">
      <c r="D1011"/>
    </row>
    <row r="1012" spans="4:4" x14ac:dyDescent="0.25">
      <c r="D1012"/>
    </row>
    <row r="1013" spans="4:4" x14ac:dyDescent="0.25">
      <c r="D1013"/>
    </row>
    <row r="1014" spans="4:4" x14ac:dyDescent="0.25">
      <c r="D1014"/>
    </row>
    <row r="1015" spans="4:4" x14ac:dyDescent="0.25">
      <c r="D1015"/>
    </row>
    <row r="1016" spans="4:4" x14ac:dyDescent="0.25">
      <c r="D1016"/>
    </row>
    <row r="1017" spans="4:4" x14ac:dyDescent="0.25">
      <c r="D1017"/>
    </row>
    <row r="1018" spans="4:4" x14ac:dyDescent="0.25">
      <c r="D1018"/>
    </row>
    <row r="1019" spans="4:4" x14ac:dyDescent="0.25">
      <c r="D1019"/>
    </row>
    <row r="1020" spans="4:4" x14ac:dyDescent="0.25">
      <c r="D1020"/>
    </row>
    <row r="1021" spans="4:4" x14ac:dyDescent="0.25">
      <c r="D1021"/>
    </row>
    <row r="1022" spans="4:4" x14ac:dyDescent="0.25">
      <c r="D1022"/>
    </row>
    <row r="1023" spans="4:4" x14ac:dyDescent="0.25">
      <c r="D1023"/>
    </row>
    <row r="1024" spans="4:4" x14ac:dyDescent="0.25">
      <c r="D1024"/>
    </row>
    <row r="1025" spans="4:4" x14ac:dyDescent="0.25">
      <c r="D1025"/>
    </row>
    <row r="1026" spans="4:4" x14ac:dyDescent="0.25">
      <c r="D1026"/>
    </row>
    <row r="1027" spans="4:4" x14ac:dyDescent="0.25">
      <c r="D1027"/>
    </row>
    <row r="1028" spans="4:4" x14ac:dyDescent="0.25">
      <c r="D1028"/>
    </row>
    <row r="1029" spans="4:4" x14ac:dyDescent="0.25">
      <c r="D1029"/>
    </row>
    <row r="1030" spans="4:4" x14ac:dyDescent="0.25">
      <c r="D1030"/>
    </row>
    <row r="1031" spans="4:4" x14ac:dyDescent="0.25">
      <c r="D1031"/>
    </row>
    <row r="1032" spans="4:4" x14ac:dyDescent="0.25">
      <c r="D1032"/>
    </row>
    <row r="1033" spans="4:4" x14ac:dyDescent="0.25">
      <c r="D1033"/>
    </row>
    <row r="1034" spans="4:4" x14ac:dyDescent="0.25">
      <c r="D1034"/>
    </row>
    <row r="1035" spans="4:4" x14ac:dyDescent="0.25">
      <c r="D1035"/>
    </row>
    <row r="1036" spans="4:4" x14ac:dyDescent="0.25">
      <c r="D1036"/>
    </row>
    <row r="1037" spans="4:4" x14ac:dyDescent="0.25">
      <c r="D1037"/>
    </row>
    <row r="1038" spans="4:4" x14ac:dyDescent="0.25">
      <c r="D1038"/>
    </row>
    <row r="1039" spans="4:4" x14ac:dyDescent="0.25">
      <c r="D1039"/>
    </row>
    <row r="1040" spans="4:4" x14ac:dyDescent="0.25">
      <c r="D1040"/>
    </row>
    <row r="1041" spans="4:4" x14ac:dyDescent="0.25">
      <c r="D1041"/>
    </row>
    <row r="1042" spans="4:4" x14ac:dyDescent="0.25">
      <c r="D1042"/>
    </row>
    <row r="1043" spans="4:4" x14ac:dyDescent="0.25">
      <c r="D1043"/>
    </row>
    <row r="1044" spans="4:4" x14ac:dyDescent="0.25">
      <c r="D1044"/>
    </row>
    <row r="1045" spans="4:4" x14ac:dyDescent="0.25">
      <c r="D1045"/>
    </row>
    <row r="1046" spans="4:4" x14ac:dyDescent="0.25">
      <c r="D1046"/>
    </row>
    <row r="1047" spans="4:4" x14ac:dyDescent="0.25">
      <c r="D1047"/>
    </row>
    <row r="1048" spans="4:4" x14ac:dyDescent="0.25">
      <c r="D1048"/>
    </row>
    <row r="1049" spans="4:4" x14ac:dyDescent="0.25">
      <c r="D1049"/>
    </row>
    <row r="1050" spans="4:4" x14ac:dyDescent="0.25">
      <c r="D1050"/>
    </row>
    <row r="1051" spans="4:4" x14ac:dyDescent="0.25">
      <c r="D1051"/>
    </row>
    <row r="1052" spans="4:4" x14ac:dyDescent="0.25">
      <c r="D1052"/>
    </row>
    <row r="1053" spans="4:4" x14ac:dyDescent="0.25">
      <c r="D1053"/>
    </row>
    <row r="1054" spans="4:4" x14ac:dyDescent="0.25">
      <c r="D1054"/>
    </row>
    <row r="1055" spans="4:4" x14ac:dyDescent="0.25">
      <c r="D1055"/>
    </row>
    <row r="1056" spans="4:4" x14ac:dyDescent="0.25">
      <c r="D1056"/>
    </row>
    <row r="1057" spans="4:4" x14ac:dyDescent="0.25">
      <c r="D1057"/>
    </row>
    <row r="1058" spans="4:4" x14ac:dyDescent="0.25">
      <c r="D1058"/>
    </row>
    <row r="1059" spans="4:4" x14ac:dyDescent="0.25">
      <c r="D1059"/>
    </row>
    <row r="1060" spans="4:4" x14ac:dyDescent="0.25">
      <c r="D1060"/>
    </row>
    <row r="1061" spans="4:4" x14ac:dyDescent="0.25">
      <c r="D1061"/>
    </row>
    <row r="1062" spans="4:4" x14ac:dyDescent="0.25">
      <c r="D1062"/>
    </row>
    <row r="1063" spans="4:4" x14ac:dyDescent="0.25">
      <c r="D1063"/>
    </row>
    <row r="1064" spans="4:4" x14ac:dyDescent="0.25">
      <c r="D1064"/>
    </row>
    <row r="1065" spans="4:4" x14ac:dyDescent="0.25">
      <c r="D1065"/>
    </row>
    <row r="1066" spans="4:4" x14ac:dyDescent="0.25">
      <c r="D1066"/>
    </row>
    <row r="1067" spans="4:4" x14ac:dyDescent="0.25">
      <c r="D1067"/>
    </row>
    <row r="1068" spans="4:4" x14ac:dyDescent="0.25">
      <c r="D1068"/>
    </row>
    <row r="1069" spans="4:4" x14ac:dyDescent="0.25">
      <c r="D1069"/>
    </row>
    <row r="1070" spans="4:4" x14ac:dyDescent="0.25">
      <c r="D1070"/>
    </row>
    <row r="1071" spans="4:4" x14ac:dyDescent="0.25">
      <c r="D1071"/>
    </row>
    <row r="1072" spans="4:4" x14ac:dyDescent="0.25">
      <c r="D1072"/>
    </row>
    <row r="1073" spans="4:4" x14ac:dyDescent="0.25">
      <c r="D1073"/>
    </row>
    <row r="1074" spans="4:4" x14ac:dyDescent="0.25">
      <c r="D1074"/>
    </row>
    <row r="1075" spans="4:4" x14ac:dyDescent="0.25">
      <c r="D1075"/>
    </row>
    <row r="1076" spans="4:4" x14ac:dyDescent="0.25">
      <c r="D1076"/>
    </row>
    <row r="1077" spans="4:4" x14ac:dyDescent="0.25">
      <c r="D1077"/>
    </row>
    <row r="1078" spans="4:4" x14ac:dyDescent="0.25">
      <c r="D1078"/>
    </row>
    <row r="1079" spans="4:4" x14ac:dyDescent="0.25">
      <c r="D1079"/>
    </row>
    <row r="1080" spans="4:4" x14ac:dyDescent="0.25">
      <c r="D1080"/>
    </row>
    <row r="1081" spans="4:4" x14ac:dyDescent="0.25">
      <c r="D1081"/>
    </row>
    <row r="1082" spans="4:4" x14ac:dyDescent="0.25">
      <c r="D1082"/>
    </row>
    <row r="1083" spans="4:4" x14ac:dyDescent="0.25">
      <c r="D1083"/>
    </row>
    <row r="1084" spans="4:4" x14ac:dyDescent="0.25">
      <c r="D1084"/>
    </row>
    <row r="1085" spans="4:4" x14ac:dyDescent="0.25">
      <c r="D1085"/>
    </row>
    <row r="1086" spans="4:4" x14ac:dyDescent="0.25">
      <c r="D1086"/>
    </row>
    <row r="1087" spans="4:4" x14ac:dyDescent="0.25">
      <c r="D1087"/>
    </row>
    <row r="1088" spans="4:4" x14ac:dyDescent="0.25">
      <c r="D1088"/>
    </row>
    <row r="1089" spans="4:4" x14ac:dyDescent="0.25">
      <c r="D1089"/>
    </row>
    <row r="1090" spans="4:4" x14ac:dyDescent="0.25">
      <c r="D1090"/>
    </row>
    <row r="1091" spans="4:4" x14ac:dyDescent="0.25">
      <c r="D1091"/>
    </row>
    <row r="1092" spans="4:4" x14ac:dyDescent="0.25">
      <c r="D1092"/>
    </row>
    <row r="1093" spans="4:4" x14ac:dyDescent="0.25">
      <c r="D1093"/>
    </row>
    <row r="1094" spans="4:4" x14ac:dyDescent="0.25">
      <c r="D1094"/>
    </row>
    <row r="1095" spans="4:4" x14ac:dyDescent="0.25">
      <c r="D1095"/>
    </row>
    <row r="1096" spans="4:4" x14ac:dyDescent="0.25">
      <c r="D1096"/>
    </row>
    <row r="1097" spans="4:4" x14ac:dyDescent="0.25">
      <c r="D1097"/>
    </row>
    <row r="1098" spans="4:4" x14ac:dyDescent="0.25">
      <c r="D1098"/>
    </row>
    <row r="1099" spans="4:4" x14ac:dyDescent="0.25">
      <c r="D1099"/>
    </row>
    <row r="1100" spans="4:4" x14ac:dyDescent="0.25">
      <c r="D1100"/>
    </row>
    <row r="1101" spans="4:4" x14ac:dyDescent="0.25">
      <c r="D1101"/>
    </row>
    <row r="1102" spans="4:4" x14ac:dyDescent="0.25">
      <c r="D1102"/>
    </row>
    <row r="1103" spans="4:4" x14ac:dyDescent="0.25">
      <c r="D1103"/>
    </row>
    <row r="1104" spans="4:4" x14ac:dyDescent="0.25">
      <c r="D1104"/>
    </row>
    <row r="1105" spans="4:4" x14ac:dyDescent="0.25">
      <c r="D1105"/>
    </row>
    <row r="1106" spans="4:4" x14ac:dyDescent="0.25">
      <c r="D1106"/>
    </row>
    <row r="1107" spans="4:4" x14ac:dyDescent="0.25">
      <c r="D1107"/>
    </row>
    <row r="1108" spans="4:4" x14ac:dyDescent="0.25">
      <c r="D1108"/>
    </row>
    <row r="1109" spans="4:4" x14ac:dyDescent="0.25">
      <c r="D1109"/>
    </row>
    <row r="1110" spans="4:4" x14ac:dyDescent="0.25">
      <c r="D1110"/>
    </row>
    <row r="1111" spans="4:4" x14ac:dyDescent="0.25">
      <c r="D1111"/>
    </row>
    <row r="1112" spans="4:4" x14ac:dyDescent="0.25">
      <c r="D1112"/>
    </row>
    <row r="1113" spans="4:4" x14ac:dyDescent="0.25">
      <c r="D1113"/>
    </row>
    <row r="1114" spans="4:4" x14ac:dyDescent="0.25">
      <c r="D1114"/>
    </row>
    <row r="1115" spans="4:4" x14ac:dyDescent="0.25">
      <c r="D1115"/>
    </row>
    <row r="1116" spans="4:4" x14ac:dyDescent="0.25">
      <c r="D1116"/>
    </row>
    <row r="1117" spans="4:4" x14ac:dyDescent="0.25">
      <c r="D1117"/>
    </row>
    <row r="1118" spans="4:4" x14ac:dyDescent="0.25">
      <c r="D1118"/>
    </row>
    <row r="1119" spans="4:4" x14ac:dyDescent="0.25">
      <c r="D1119"/>
    </row>
    <row r="1120" spans="4:4" x14ac:dyDescent="0.25">
      <c r="D1120"/>
    </row>
    <row r="1121" spans="4:4" x14ac:dyDescent="0.25">
      <c r="D1121"/>
    </row>
    <row r="1122" spans="4:4" x14ac:dyDescent="0.25">
      <c r="D1122"/>
    </row>
    <row r="1123" spans="4:4" x14ac:dyDescent="0.25">
      <c r="D1123"/>
    </row>
    <row r="1124" spans="4:4" x14ac:dyDescent="0.25">
      <c r="D1124"/>
    </row>
    <row r="1125" spans="4:4" x14ac:dyDescent="0.25">
      <c r="D1125"/>
    </row>
    <row r="1126" spans="4:4" x14ac:dyDescent="0.25">
      <c r="D1126"/>
    </row>
    <row r="1127" spans="4:4" x14ac:dyDescent="0.25">
      <c r="D1127"/>
    </row>
    <row r="1128" spans="4:4" x14ac:dyDescent="0.25">
      <c r="D1128"/>
    </row>
    <row r="1129" spans="4:4" x14ac:dyDescent="0.25">
      <c r="D1129"/>
    </row>
    <row r="1130" spans="4:4" x14ac:dyDescent="0.25">
      <c r="D1130"/>
    </row>
    <row r="1131" spans="4:4" x14ac:dyDescent="0.25">
      <c r="D1131"/>
    </row>
    <row r="1132" spans="4:4" x14ac:dyDescent="0.25">
      <c r="D1132"/>
    </row>
    <row r="1133" spans="4:4" x14ac:dyDescent="0.25">
      <c r="D1133"/>
    </row>
    <row r="1134" spans="4:4" x14ac:dyDescent="0.25">
      <c r="D1134"/>
    </row>
    <row r="1135" spans="4:4" x14ac:dyDescent="0.25">
      <c r="D1135"/>
    </row>
    <row r="1136" spans="4:4" x14ac:dyDescent="0.25">
      <c r="D1136"/>
    </row>
    <row r="1137" spans="4:4" x14ac:dyDescent="0.25">
      <c r="D1137"/>
    </row>
    <row r="1138" spans="4:4" x14ac:dyDescent="0.25">
      <c r="D1138"/>
    </row>
    <row r="1139" spans="4:4" x14ac:dyDescent="0.25">
      <c r="D1139"/>
    </row>
    <row r="1140" spans="4:4" x14ac:dyDescent="0.25">
      <c r="D1140"/>
    </row>
    <row r="1141" spans="4:4" x14ac:dyDescent="0.25">
      <c r="D1141"/>
    </row>
    <row r="1142" spans="4:4" x14ac:dyDescent="0.25">
      <c r="D1142"/>
    </row>
    <row r="1143" spans="4:4" x14ac:dyDescent="0.25">
      <c r="D1143"/>
    </row>
    <row r="1144" spans="4:4" x14ac:dyDescent="0.25">
      <c r="D1144"/>
    </row>
    <row r="1145" spans="4:4" x14ac:dyDescent="0.25">
      <c r="D1145"/>
    </row>
    <row r="1146" spans="4:4" x14ac:dyDescent="0.25">
      <c r="D1146"/>
    </row>
    <row r="1147" spans="4:4" x14ac:dyDescent="0.25">
      <c r="D1147"/>
    </row>
    <row r="1148" spans="4:4" x14ac:dyDescent="0.25">
      <c r="D1148"/>
    </row>
    <row r="1149" spans="4:4" x14ac:dyDescent="0.25">
      <c r="D1149"/>
    </row>
    <row r="1150" spans="4:4" x14ac:dyDescent="0.25">
      <c r="D1150"/>
    </row>
    <row r="1151" spans="4:4" x14ac:dyDescent="0.25">
      <c r="D1151"/>
    </row>
    <row r="1152" spans="4:4" x14ac:dyDescent="0.25">
      <c r="D1152"/>
    </row>
    <row r="1153" spans="4:4" x14ac:dyDescent="0.25">
      <c r="D1153"/>
    </row>
    <row r="1154" spans="4:4" x14ac:dyDescent="0.25">
      <c r="D1154"/>
    </row>
    <row r="1155" spans="4:4" x14ac:dyDescent="0.25">
      <c r="D1155"/>
    </row>
    <row r="1156" spans="4:4" x14ac:dyDescent="0.25">
      <c r="D1156"/>
    </row>
    <row r="1157" spans="4:4" x14ac:dyDescent="0.25">
      <c r="D1157"/>
    </row>
    <row r="1158" spans="4:4" x14ac:dyDescent="0.25">
      <c r="D1158"/>
    </row>
    <row r="1159" spans="4:4" x14ac:dyDescent="0.25">
      <c r="D1159"/>
    </row>
    <row r="1160" spans="4:4" x14ac:dyDescent="0.25">
      <c r="D1160"/>
    </row>
    <row r="1161" spans="4:4" x14ac:dyDescent="0.25">
      <c r="D1161"/>
    </row>
    <row r="1162" spans="4:4" x14ac:dyDescent="0.25">
      <c r="D1162"/>
    </row>
    <row r="1163" spans="4:4" x14ac:dyDescent="0.25">
      <c r="D1163"/>
    </row>
    <row r="1164" spans="4:4" x14ac:dyDescent="0.25">
      <c r="D1164"/>
    </row>
    <row r="1165" spans="4:4" x14ac:dyDescent="0.25">
      <c r="D1165"/>
    </row>
    <row r="1166" spans="4:4" x14ac:dyDescent="0.25">
      <c r="D1166"/>
    </row>
    <row r="1167" spans="4:4" x14ac:dyDescent="0.25">
      <c r="D1167"/>
    </row>
    <row r="1168" spans="4:4" x14ac:dyDescent="0.25">
      <c r="D1168"/>
    </row>
    <row r="1169" spans="4:4" x14ac:dyDescent="0.25">
      <c r="D1169"/>
    </row>
    <row r="1170" spans="4:4" x14ac:dyDescent="0.25">
      <c r="D1170"/>
    </row>
    <row r="1171" spans="4:4" x14ac:dyDescent="0.25">
      <c r="D1171"/>
    </row>
    <row r="1172" spans="4:4" x14ac:dyDescent="0.25">
      <c r="D1172"/>
    </row>
    <row r="1173" spans="4:4" x14ac:dyDescent="0.25">
      <c r="D1173"/>
    </row>
    <row r="1174" spans="4:4" x14ac:dyDescent="0.25">
      <c r="D1174"/>
    </row>
    <row r="1175" spans="4:4" x14ac:dyDescent="0.25">
      <c r="D1175"/>
    </row>
    <row r="1176" spans="4:4" x14ac:dyDescent="0.25">
      <c r="D1176"/>
    </row>
    <row r="1177" spans="4:4" x14ac:dyDescent="0.25">
      <c r="D1177"/>
    </row>
    <row r="1178" spans="4:4" x14ac:dyDescent="0.25">
      <c r="D1178"/>
    </row>
    <row r="1179" spans="4:4" x14ac:dyDescent="0.25">
      <c r="D1179"/>
    </row>
    <row r="1180" spans="4:4" x14ac:dyDescent="0.25">
      <c r="D1180"/>
    </row>
    <row r="1181" spans="4:4" x14ac:dyDescent="0.25">
      <c r="D1181"/>
    </row>
    <row r="1182" spans="4:4" x14ac:dyDescent="0.25">
      <c r="D1182"/>
    </row>
    <row r="1183" spans="4:4" x14ac:dyDescent="0.25">
      <c r="D1183"/>
    </row>
    <row r="1184" spans="4:4" x14ac:dyDescent="0.25">
      <c r="D1184"/>
    </row>
    <row r="1185" spans="4:4" x14ac:dyDescent="0.25">
      <c r="D1185"/>
    </row>
    <row r="1186" spans="4:4" x14ac:dyDescent="0.25">
      <c r="D1186"/>
    </row>
    <row r="1187" spans="4:4" x14ac:dyDescent="0.25">
      <c r="D1187"/>
    </row>
    <row r="1188" spans="4:4" x14ac:dyDescent="0.25">
      <c r="D1188"/>
    </row>
    <row r="1189" spans="4:4" x14ac:dyDescent="0.25">
      <c r="D1189"/>
    </row>
    <row r="1190" spans="4:4" x14ac:dyDescent="0.25">
      <c r="D1190"/>
    </row>
    <row r="1191" spans="4:4" x14ac:dyDescent="0.25">
      <c r="D1191"/>
    </row>
    <row r="1192" spans="4:4" x14ac:dyDescent="0.25">
      <c r="D1192"/>
    </row>
    <row r="1193" spans="4:4" x14ac:dyDescent="0.25">
      <c r="D1193"/>
    </row>
    <row r="1194" spans="4:4" x14ac:dyDescent="0.25">
      <c r="D1194"/>
    </row>
    <row r="1195" spans="4:4" x14ac:dyDescent="0.25">
      <c r="D1195"/>
    </row>
    <row r="1196" spans="4:4" x14ac:dyDescent="0.25">
      <c r="D1196"/>
    </row>
    <row r="1197" spans="4:4" x14ac:dyDescent="0.25">
      <c r="D1197"/>
    </row>
    <row r="1198" spans="4:4" x14ac:dyDescent="0.25">
      <c r="D1198"/>
    </row>
    <row r="1199" spans="4:4" x14ac:dyDescent="0.25">
      <c r="D1199"/>
    </row>
    <row r="1200" spans="4:4" x14ac:dyDescent="0.25">
      <c r="D1200"/>
    </row>
    <row r="1201" spans="4:4" x14ac:dyDescent="0.25">
      <c r="D1201"/>
    </row>
    <row r="1202" spans="4:4" x14ac:dyDescent="0.25">
      <c r="D1202"/>
    </row>
    <row r="1203" spans="4:4" x14ac:dyDescent="0.25">
      <c r="D1203"/>
    </row>
    <row r="1204" spans="4:4" x14ac:dyDescent="0.25">
      <c r="D1204"/>
    </row>
    <row r="1205" spans="4:4" x14ac:dyDescent="0.25">
      <c r="D1205"/>
    </row>
    <row r="1206" spans="4:4" x14ac:dyDescent="0.25">
      <c r="D1206"/>
    </row>
    <row r="1207" spans="4:4" x14ac:dyDescent="0.25">
      <c r="D1207"/>
    </row>
    <row r="1208" spans="4:4" x14ac:dyDescent="0.25">
      <c r="D1208"/>
    </row>
    <row r="1209" spans="4:4" x14ac:dyDescent="0.25">
      <c r="D1209"/>
    </row>
    <row r="1210" spans="4:4" x14ac:dyDescent="0.25">
      <c r="D1210"/>
    </row>
    <row r="1211" spans="4:4" x14ac:dyDescent="0.25">
      <c r="D1211"/>
    </row>
    <row r="1212" spans="4:4" x14ac:dyDescent="0.25">
      <c r="D1212"/>
    </row>
    <row r="1213" spans="4:4" x14ac:dyDescent="0.25">
      <c r="D1213"/>
    </row>
    <row r="1214" spans="4:4" x14ac:dyDescent="0.25">
      <c r="D1214"/>
    </row>
    <row r="1215" spans="4:4" x14ac:dyDescent="0.25">
      <c r="D1215"/>
    </row>
    <row r="1216" spans="4:4" x14ac:dyDescent="0.25">
      <c r="D1216"/>
    </row>
    <row r="1217" spans="4:4" x14ac:dyDescent="0.25">
      <c r="D1217"/>
    </row>
    <row r="1218" spans="4:4" x14ac:dyDescent="0.25">
      <c r="D1218"/>
    </row>
    <row r="1219" spans="4:4" x14ac:dyDescent="0.25">
      <c r="D1219"/>
    </row>
    <row r="1220" spans="4:4" x14ac:dyDescent="0.25">
      <c r="D1220"/>
    </row>
    <row r="1221" spans="4:4" x14ac:dyDescent="0.25">
      <c r="D1221"/>
    </row>
    <row r="1222" spans="4:4" x14ac:dyDescent="0.25">
      <c r="D1222"/>
    </row>
    <row r="1223" spans="4:4" x14ac:dyDescent="0.25">
      <c r="D1223"/>
    </row>
    <row r="1224" spans="4:4" x14ac:dyDescent="0.25">
      <c r="D1224"/>
    </row>
    <row r="1225" spans="4:4" x14ac:dyDescent="0.25">
      <c r="D1225"/>
    </row>
    <row r="1226" spans="4:4" x14ac:dyDescent="0.25">
      <c r="D1226"/>
    </row>
    <row r="1227" spans="4:4" x14ac:dyDescent="0.25">
      <c r="D1227"/>
    </row>
    <row r="1228" spans="4:4" x14ac:dyDescent="0.25">
      <c r="D1228"/>
    </row>
    <row r="1229" spans="4:4" x14ac:dyDescent="0.25">
      <c r="D1229"/>
    </row>
    <row r="1230" spans="4:4" x14ac:dyDescent="0.25">
      <c r="D1230"/>
    </row>
    <row r="1231" spans="4:4" x14ac:dyDescent="0.25">
      <c r="D1231"/>
    </row>
    <row r="1232" spans="4:4" x14ac:dyDescent="0.25">
      <c r="D1232"/>
    </row>
    <row r="1233" spans="4:4" x14ac:dyDescent="0.25">
      <c r="D1233"/>
    </row>
    <row r="1234" spans="4:4" x14ac:dyDescent="0.25">
      <c r="D1234"/>
    </row>
    <row r="1235" spans="4:4" x14ac:dyDescent="0.25">
      <c r="D1235"/>
    </row>
    <row r="1236" spans="4:4" x14ac:dyDescent="0.25">
      <c r="D1236"/>
    </row>
    <row r="1237" spans="4:4" x14ac:dyDescent="0.25">
      <c r="D1237"/>
    </row>
    <row r="1238" spans="4:4" x14ac:dyDescent="0.25">
      <c r="D1238"/>
    </row>
    <row r="1239" spans="4:4" x14ac:dyDescent="0.25">
      <c r="D1239"/>
    </row>
    <row r="1240" spans="4:4" x14ac:dyDescent="0.25">
      <c r="D1240"/>
    </row>
    <row r="1241" spans="4:4" x14ac:dyDescent="0.25">
      <c r="D1241"/>
    </row>
    <row r="1242" spans="4:4" x14ac:dyDescent="0.25">
      <c r="D1242"/>
    </row>
    <row r="1243" spans="4:4" x14ac:dyDescent="0.25">
      <c r="D1243"/>
    </row>
    <row r="1244" spans="4:4" x14ac:dyDescent="0.25">
      <c r="D1244"/>
    </row>
    <row r="1245" spans="4:4" x14ac:dyDescent="0.25">
      <c r="D1245"/>
    </row>
    <row r="1246" spans="4:4" x14ac:dyDescent="0.25">
      <c r="D1246"/>
    </row>
    <row r="1247" spans="4:4" x14ac:dyDescent="0.25">
      <c r="D1247"/>
    </row>
    <row r="1248" spans="4:4" x14ac:dyDescent="0.25">
      <c r="D1248"/>
    </row>
    <row r="1249" spans="4:4" x14ac:dyDescent="0.25">
      <c r="D1249"/>
    </row>
    <row r="1250" spans="4:4" x14ac:dyDescent="0.25">
      <c r="D1250"/>
    </row>
    <row r="1251" spans="4:4" x14ac:dyDescent="0.25">
      <c r="D1251"/>
    </row>
    <row r="1252" spans="4:4" x14ac:dyDescent="0.25">
      <c r="D1252"/>
    </row>
    <row r="1253" spans="4:4" x14ac:dyDescent="0.25">
      <c r="D1253"/>
    </row>
    <row r="1254" spans="4:4" x14ac:dyDescent="0.25">
      <c r="D1254"/>
    </row>
    <row r="1255" spans="4:4" x14ac:dyDescent="0.25">
      <c r="D1255"/>
    </row>
    <row r="1256" spans="4:4" x14ac:dyDescent="0.25">
      <c r="D1256"/>
    </row>
    <row r="1257" spans="4:4" x14ac:dyDescent="0.25">
      <c r="D1257"/>
    </row>
    <row r="1258" spans="4:4" x14ac:dyDescent="0.25">
      <c r="D1258"/>
    </row>
    <row r="1259" spans="4:4" x14ac:dyDescent="0.25">
      <c r="D1259"/>
    </row>
    <row r="1260" spans="4:4" x14ac:dyDescent="0.25">
      <c r="D1260"/>
    </row>
    <row r="1261" spans="4:4" x14ac:dyDescent="0.25">
      <c r="D1261"/>
    </row>
    <row r="1262" spans="4:4" x14ac:dyDescent="0.25">
      <c r="D1262"/>
    </row>
    <row r="1263" spans="4:4" x14ac:dyDescent="0.25">
      <c r="D1263"/>
    </row>
    <row r="1264" spans="4:4" x14ac:dyDescent="0.25">
      <c r="D1264"/>
    </row>
    <row r="1265" spans="4:4" x14ac:dyDescent="0.25">
      <c r="D1265"/>
    </row>
    <row r="1266" spans="4:4" x14ac:dyDescent="0.25">
      <c r="D1266"/>
    </row>
    <row r="1267" spans="4:4" x14ac:dyDescent="0.25">
      <c r="D1267"/>
    </row>
    <row r="1268" spans="4:4" x14ac:dyDescent="0.25">
      <c r="D1268"/>
    </row>
    <row r="1269" spans="4:4" x14ac:dyDescent="0.25">
      <c r="D1269"/>
    </row>
    <row r="1270" spans="4:4" x14ac:dyDescent="0.25">
      <c r="D1270"/>
    </row>
    <row r="1271" spans="4:4" x14ac:dyDescent="0.25">
      <c r="D1271"/>
    </row>
    <row r="1272" spans="4:4" x14ac:dyDescent="0.25">
      <c r="D1272"/>
    </row>
    <row r="1273" spans="4:4" x14ac:dyDescent="0.25">
      <c r="D1273"/>
    </row>
    <row r="1274" spans="4:4" x14ac:dyDescent="0.25">
      <c r="D1274"/>
    </row>
    <row r="1275" spans="4:4" x14ac:dyDescent="0.25">
      <c r="D1275"/>
    </row>
    <row r="1276" spans="4:4" x14ac:dyDescent="0.25">
      <c r="D1276"/>
    </row>
    <row r="1277" spans="4:4" x14ac:dyDescent="0.25">
      <c r="D1277"/>
    </row>
    <row r="1278" spans="4:4" x14ac:dyDescent="0.25">
      <c r="D1278"/>
    </row>
    <row r="1279" spans="4:4" x14ac:dyDescent="0.25">
      <c r="D1279"/>
    </row>
    <row r="1280" spans="4:4" x14ac:dyDescent="0.25">
      <c r="D1280"/>
    </row>
    <row r="1281" spans="4:4" x14ac:dyDescent="0.25">
      <c r="D1281"/>
    </row>
    <row r="1282" spans="4:4" x14ac:dyDescent="0.25">
      <c r="D1282"/>
    </row>
    <row r="1283" spans="4:4" x14ac:dyDescent="0.25">
      <c r="D1283"/>
    </row>
    <row r="1284" spans="4:4" x14ac:dyDescent="0.25">
      <c r="D1284"/>
    </row>
    <row r="1285" spans="4:4" x14ac:dyDescent="0.25">
      <c r="D1285"/>
    </row>
    <row r="1286" spans="4:4" x14ac:dyDescent="0.25">
      <c r="D1286"/>
    </row>
    <row r="1287" spans="4:4" x14ac:dyDescent="0.25">
      <c r="D1287"/>
    </row>
    <row r="1288" spans="4:4" x14ac:dyDescent="0.25">
      <c r="D1288"/>
    </row>
    <row r="1289" spans="4:4" x14ac:dyDescent="0.25">
      <c r="D1289"/>
    </row>
    <row r="1290" spans="4:4" x14ac:dyDescent="0.25">
      <c r="D1290"/>
    </row>
    <row r="1291" spans="4:4" x14ac:dyDescent="0.25">
      <c r="D1291"/>
    </row>
    <row r="1292" spans="4:4" x14ac:dyDescent="0.25">
      <c r="D1292"/>
    </row>
    <row r="1293" spans="4:4" x14ac:dyDescent="0.25">
      <c r="D1293"/>
    </row>
    <row r="1294" spans="4:4" x14ac:dyDescent="0.25">
      <c r="D1294"/>
    </row>
    <row r="1295" spans="4:4" x14ac:dyDescent="0.25">
      <c r="D1295"/>
    </row>
    <row r="1296" spans="4:4" x14ac:dyDescent="0.25">
      <c r="D1296"/>
    </row>
    <row r="1297" spans="4:4" x14ac:dyDescent="0.25">
      <c r="D1297"/>
    </row>
    <row r="1298" spans="4:4" x14ac:dyDescent="0.25">
      <c r="D1298"/>
    </row>
    <row r="1299" spans="4:4" x14ac:dyDescent="0.25">
      <c r="D1299"/>
    </row>
    <row r="1300" spans="4:4" x14ac:dyDescent="0.25">
      <c r="D1300"/>
    </row>
    <row r="1301" spans="4:4" x14ac:dyDescent="0.25">
      <c r="D1301"/>
    </row>
    <row r="1302" spans="4:4" x14ac:dyDescent="0.25">
      <c r="D1302"/>
    </row>
    <row r="1303" spans="4:4" x14ac:dyDescent="0.25">
      <c r="D1303"/>
    </row>
    <row r="1304" spans="4:4" x14ac:dyDescent="0.25">
      <c r="D1304"/>
    </row>
    <row r="1305" spans="4:4" x14ac:dyDescent="0.25">
      <c r="D1305"/>
    </row>
    <row r="1306" spans="4:4" x14ac:dyDescent="0.25">
      <c r="D1306"/>
    </row>
    <row r="1307" spans="4:4" x14ac:dyDescent="0.25">
      <c r="D1307"/>
    </row>
    <row r="1308" spans="4:4" x14ac:dyDescent="0.25">
      <c r="D1308"/>
    </row>
    <row r="1309" spans="4:4" x14ac:dyDescent="0.25">
      <c r="D1309"/>
    </row>
    <row r="1310" spans="4:4" x14ac:dyDescent="0.25">
      <c r="D1310"/>
    </row>
    <row r="1311" spans="4:4" x14ac:dyDescent="0.25">
      <c r="D1311"/>
    </row>
    <row r="1312" spans="4:4" x14ac:dyDescent="0.25">
      <c r="D1312"/>
    </row>
    <row r="1313" spans="4:4" x14ac:dyDescent="0.25">
      <c r="D1313"/>
    </row>
    <row r="1314" spans="4:4" x14ac:dyDescent="0.25">
      <c r="D1314"/>
    </row>
    <row r="1315" spans="4:4" x14ac:dyDescent="0.25">
      <c r="D1315"/>
    </row>
    <row r="1316" spans="4:4" x14ac:dyDescent="0.25">
      <c r="D1316"/>
    </row>
    <row r="1317" spans="4:4" x14ac:dyDescent="0.25">
      <c r="D1317"/>
    </row>
    <row r="1318" spans="4:4" x14ac:dyDescent="0.25">
      <c r="D1318"/>
    </row>
    <row r="1319" spans="4:4" x14ac:dyDescent="0.25">
      <c r="D1319"/>
    </row>
    <row r="1320" spans="4:4" x14ac:dyDescent="0.25">
      <c r="D1320"/>
    </row>
    <row r="1321" spans="4:4" x14ac:dyDescent="0.25">
      <c r="D1321"/>
    </row>
    <row r="1322" spans="4:4" x14ac:dyDescent="0.25">
      <c r="D1322"/>
    </row>
    <row r="1323" spans="4:4" x14ac:dyDescent="0.25">
      <c r="D1323"/>
    </row>
    <row r="1324" spans="4:4" x14ac:dyDescent="0.25">
      <c r="D1324"/>
    </row>
    <row r="1325" spans="4:4" x14ac:dyDescent="0.25">
      <c r="D1325"/>
    </row>
    <row r="1326" spans="4:4" x14ac:dyDescent="0.25">
      <c r="D1326"/>
    </row>
    <row r="1327" spans="4:4" x14ac:dyDescent="0.25">
      <c r="D1327"/>
    </row>
    <row r="1328" spans="4:4" x14ac:dyDescent="0.25">
      <c r="D1328"/>
    </row>
    <row r="1329" spans="4:4" x14ac:dyDescent="0.25">
      <c r="D1329"/>
    </row>
    <row r="1330" spans="4:4" x14ac:dyDescent="0.25">
      <c r="D1330"/>
    </row>
    <row r="1331" spans="4:4" x14ac:dyDescent="0.25">
      <c r="D1331"/>
    </row>
    <row r="1332" spans="4:4" x14ac:dyDescent="0.25">
      <c r="D1332"/>
    </row>
    <row r="1333" spans="4:4" x14ac:dyDescent="0.25">
      <c r="D1333"/>
    </row>
    <row r="1334" spans="4:4" x14ac:dyDescent="0.25">
      <c r="D1334"/>
    </row>
    <row r="1335" spans="4:4" x14ac:dyDescent="0.25">
      <c r="D1335"/>
    </row>
    <row r="1336" spans="4:4" x14ac:dyDescent="0.25">
      <c r="D1336"/>
    </row>
    <row r="1337" spans="4:4" x14ac:dyDescent="0.25">
      <c r="D1337"/>
    </row>
    <row r="1338" spans="4:4" x14ac:dyDescent="0.25">
      <c r="D1338"/>
    </row>
    <row r="1339" spans="4:4" x14ac:dyDescent="0.25">
      <c r="D1339"/>
    </row>
    <row r="1340" spans="4:4" x14ac:dyDescent="0.25">
      <c r="D1340"/>
    </row>
    <row r="1341" spans="4:4" x14ac:dyDescent="0.25">
      <c r="D1341"/>
    </row>
    <row r="1342" spans="4:4" x14ac:dyDescent="0.25">
      <c r="D1342"/>
    </row>
    <row r="1343" spans="4:4" x14ac:dyDescent="0.25">
      <c r="D1343"/>
    </row>
    <row r="1344" spans="4:4" x14ac:dyDescent="0.25">
      <c r="D1344"/>
    </row>
    <row r="1345" spans="4:4" x14ac:dyDescent="0.25">
      <c r="D1345"/>
    </row>
    <row r="1346" spans="4:4" x14ac:dyDescent="0.25">
      <c r="D1346"/>
    </row>
    <row r="1347" spans="4:4" x14ac:dyDescent="0.25">
      <c r="D1347"/>
    </row>
    <row r="1348" spans="4:4" x14ac:dyDescent="0.25">
      <c r="D1348"/>
    </row>
    <row r="1349" spans="4:4" x14ac:dyDescent="0.25">
      <c r="D1349"/>
    </row>
    <row r="1350" spans="4:4" x14ac:dyDescent="0.25">
      <c r="D1350"/>
    </row>
    <row r="1351" spans="4:4" x14ac:dyDescent="0.25">
      <c r="D1351"/>
    </row>
    <row r="1352" spans="4:4" x14ac:dyDescent="0.25">
      <c r="D1352"/>
    </row>
    <row r="1353" spans="4:4" x14ac:dyDescent="0.25">
      <c r="D1353"/>
    </row>
    <row r="1354" spans="4:4" x14ac:dyDescent="0.25">
      <c r="D1354"/>
    </row>
    <row r="1355" spans="4:4" x14ac:dyDescent="0.25">
      <c r="D1355"/>
    </row>
    <row r="1356" spans="4:4" x14ac:dyDescent="0.25">
      <c r="D1356"/>
    </row>
    <row r="1357" spans="4:4" x14ac:dyDescent="0.25">
      <c r="D1357"/>
    </row>
    <row r="1358" spans="4:4" x14ac:dyDescent="0.25">
      <c r="D1358"/>
    </row>
    <row r="1359" spans="4:4" x14ac:dyDescent="0.25">
      <c r="D1359"/>
    </row>
    <row r="1360" spans="4:4" x14ac:dyDescent="0.25">
      <c r="D1360"/>
    </row>
    <row r="1361" spans="4:4" x14ac:dyDescent="0.25">
      <c r="D1361"/>
    </row>
    <row r="1362" spans="4:4" x14ac:dyDescent="0.25">
      <c r="D1362"/>
    </row>
    <row r="1363" spans="4:4" x14ac:dyDescent="0.25">
      <c r="D1363"/>
    </row>
    <row r="1364" spans="4:4" x14ac:dyDescent="0.25">
      <c r="D1364"/>
    </row>
    <row r="1365" spans="4:4" x14ac:dyDescent="0.25">
      <c r="D1365"/>
    </row>
    <row r="1366" spans="4:4" x14ac:dyDescent="0.25">
      <c r="D1366"/>
    </row>
    <row r="1367" spans="4:4" x14ac:dyDescent="0.25">
      <c r="D1367"/>
    </row>
    <row r="1368" spans="4:4" x14ac:dyDescent="0.25">
      <c r="D1368"/>
    </row>
    <row r="1369" spans="4:4" x14ac:dyDescent="0.25">
      <c r="D1369"/>
    </row>
    <row r="1370" spans="4:4" x14ac:dyDescent="0.25">
      <c r="D1370"/>
    </row>
    <row r="1371" spans="4:4" x14ac:dyDescent="0.25">
      <c r="D1371"/>
    </row>
    <row r="1372" spans="4:4" x14ac:dyDescent="0.25">
      <c r="D1372"/>
    </row>
    <row r="1373" spans="4:4" x14ac:dyDescent="0.25">
      <c r="D1373"/>
    </row>
    <row r="1374" spans="4:4" x14ac:dyDescent="0.25">
      <c r="D1374"/>
    </row>
    <row r="1375" spans="4:4" x14ac:dyDescent="0.25">
      <c r="D1375"/>
    </row>
    <row r="1376" spans="4:4" x14ac:dyDescent="0.25">
      <c r="D1376"/>
    </row>
    <row r="1377" spans="4:4" x14ac:dyDescent="0.25">
      <c r="D1377"/>
    </row>
    <row r="1378" spans="4:4" x14ac:dyDescent="0.25">
      <c r="D1378"/>
    </row>
    <row r="1379" spans="4:4" x14ac:dyDescent="0.25">
      <c r="D1379"/>
    </row>
    <row r="1380" spans="4:4" x14ac:dyDescent="0.25">
      <c r="D1380"/>
    </row>
    <row r="1381" spans="4:4" x14ac:dyDescent="0.25">
      <c r="D1381"/>
    </row>
    <row r="1382" spans="4:4" x14ac:dyDescent="0.25">
      <c r="D1382"/>
    </row>
    <row r="1383" spans="4:4" x14ac:dyDescent="0.25">
      <c r="D1383"/>
    </row>
    <row r="1384" spans="4:4" x14ac:dyDescent="0.25">
      <c r="D1384"/>
    </row>
    <row r="1385" spans="4:4" x14ac:dyDescent="0.25">
      <c r="D1385"/>
    </row>
    <row r="1386" spans="4:4" x14ac:dyDescent="0.25">
      <c r="D1386"/>
    </row>
    <row r="1387" spans="4:4" x14ac:dyDescent="0.25">
      <c r="D1387"/>
    </row>
    <row r="1388" spans="4:4" x14ac:dyDescent="0.25">
      <c r="D1388"/>
    </row>
    <row r="1389" spans="4:4" x14ac:dyDescent="0.25">
      <c r="D1389"/>
    </row>
    <row r="1390" spans="4:4" x14ac:dyDescent="0.25">
      <c r="D1390"/>
    </row>
    <row r="1391" spans="4:4" x14ac:dyDescent="0.25">
      <c r="D1391"/>
    </row>
    <row r="1392" spans="4:4" x14ac:dyDescent="0.25">
      <c r="D1392"/>
    </row>
    <row r="1393" spans="4:4" x14ac:dyDescent="0.25">
      <c r="D1393"/>
    </row>
    <row r="1394" spans="4:4" x14ac:dyDescent="0.25">
      <c r="D1394"/>
    </row>
    <row r="1395" spans="4:4" x14ac:dyDescent="0.25">
      <c r="D1395"/>
    </row>
    <row r="1396" spans="4:4" x14ac:dyDescent="0.25">
      <c r="D1396"/>
    </row>
    <row r="1397" spans="4:4" x14ac:dyDescent="0.25">
      <c r="D1397"/>
    </row>
    <row r="1398" spans="4:4" x14ac:dyDescent="0.25">
      <c r="D1398"/>
    </row>
    <row r="1399" spans="4:4" x14ac:dyDescent="0.25">
      <c r="D1399"/>
    </row>
    <row r="1400" spans="4:4" x14ac:dyDescent="0.25">
      <c r="D1400"/>
    </row>
    <row r="1401" spans="4:4" x14ac:dyDescent="0.25">
      <c r="D1401"/>
    </row>
    <row r="1402" spans="4:4" x14ac:dyDescent="0.25">
      <c r="D1402"/>
    </row>
    <row r="1403" spans="4:4" x14ac:dyDescent="0.25">
      <c r="D1403"/>
    </row>
    <row r="1404" spans="4:4" x14ac:dyDescent="0.25">
      <c r="D1404"/>
    </row>
    <row r="1405" spans="4:4" x14ac:dyDescent="0.25">
      <c r="D1405"/>
    </row>
    <row r="1406" spans="4:4" x14ac:dyDescent="0.25">
      <c r="D1406"/>
    </row>
    <row r="1407" spans="4:4" x14ac:dyDescent="0.25">
      <c r="D1407"/>
    </row>
    <row r="1408" spans="4:4" x14ac:dyDescent="0.25">
      <c r="D1408"/>
    </row>
    <row r="1409" spans="4:4" x14ac:dyDescent="0.25">
      <c r="D1409"/>
    </row>
    <row r="1410" spans="4:4" x14ac:dyDescent="0.25">
      <c r="D1410"/>
    </row>
    <row r="1411" spans="4:4" x14ac:dyDescent="0.25">
      <c r="D1411"/>
    </row>
    <row r="1412" spans="4:4" x14ac:dyDescent="0.25">
      <c r="D1412"/>
    </row>
    <row r="1413" spans="4:4" x14ac:dyDescent="0.25">
      <c r="D1413"/>
    </row>
    <row r="1414" spans="4:4" x14ac:dyDescent="0.25">
      <c r="D1414"/>
    </row>
    <row r="1415" spans="4:4" x14ac:dyDescent="0.25">
      <c r="D1415"/>
    </row>
    <row r="1416" spans="4:4" x14ac:dyDescent="0.25">
      <c r="D1416"/>
    </row>
    <row r="1417" spans="4:4" x14ac:dyDescent="0.25">
      <c r="D1417"/>
    </row>
    <row r="1418" spans="4:4" x14ac:dyDescent="0.25">
      <c r="D1418"/>
    </row>
    <row r="1419" spans="4:4" x14ac:dyDescent="0.25">
      <c r="D1419"/>
    </row>
    <row r="1420" spans="4:4" x14ac:dyDescent="0.25">
      <c r="D1420"/>
    </row>
    <row r="1421" spans="4:4" x14ac:dyDescent="0.25">
      <c r="D1421"/>
    </row>
    <row r="1422" spans="4:4" x14ac:dyDescent="0.25">
      <c r="D1422"/>
    </row>
    <row r="1423" spans="4:4" x14ac:dyDescent="0.25">
      <c r="D1423"/>
    </row>
    <row r="1424" spans="4:4" x14ac:dyDescent="0.25">
      <c r="D1424"/>
    </row>
    <row r="1425" spans="4:4" x14ac:dyDescent="0.25">
      <c r="D1425"/>
    </row>
    <row r="1426" spans="4:4" x14ac:dyDescent="0.25">
      <c r="D1426"/>
    </row>
    <row r="1427" spans="4:4" x14ac:dyDescent="0.25">
      <c r="D1427"/>
    </row>
    <row r="1428" spans="4:4" x14ac:dyDescent="0.25">
      <c r="D1428"/>
    </row>
    <row r="1429" spans="4:4" x14ac:dyDescent="0.25">
      <c r="D1429"/>
    </row>
    <row r="1430" spans="4:4" x14ac:dyDescent="0.25">
      <c r="D1430"/>
    </row>
    <row r="1431" spans="4:4" x14ac:dyDescent="0.25">
      <c r="D1431"/>
    </row>
    <row r="1432" spans="4:4" x14ac:dyDescent="0.25">
      <c r="D1432"/>
    </row>
    <row r="1433" spans="4:4" x14ac:dyDescent="0.25">
      <c r="D1433"/>
    </row>
    <row r="1434" spans="4:4" x14ac:dyDescent="0.25">
      <c r="D1434"/>
    </row>
    <row r="1435" spans="4:4" x14ac:dyDescent="0.25">
      <c r="D1435"/>
    </row>
    <row r="1436" spans="4:4" x14ac:dyDescent="0.25">
      <c r="D1436"/>
    </row>
    <row r="1437" spans="4:4" x14ac:dyDescent="0.25">
      <c r="D1437"/>
    </row>
    <row r="1438" spans="4:4" x14ac:dyDescent="0.25">
      <c r="D1438"/>
    </row>
    <row r="1439" spans="4:4" x14ac:dyDescent="0.25">
      <c r="D1439"/>
    </row>
    <row r="1440" spans="4:4" x14ac:dyDescent="0.25">
      <c r="D1440"/>
    </row>
    <row r="1441" spans="4:4" x14ac:dyDescent="0.25">
      <c r="D1441"/>
    </row>
    <row r="1442" spans="4:4" x14ac:dyDescent="0.25">
      <c r="D1442"/>
    </row>
    <row r="1443" spans="4:4" x14ac:dyDescent="0.25">
      <c r="D1443"/>
    </row>
    <row r="1444" spans="4:4" x14ac:dyDescent="0.25">
      <c r="D1444"/>
    </row>
    <row r="1445" spans="4:4" x14ac:dyDescent="0.25">
      <c r="D1445"/>
    </row>
    <row r="1446" spans="4:4" x14ac:dyDescent="0.25">
      <c r="D1446"/>
    </row>
    <row r="1447" spans="4:4" x14ac:dyDescent="0.25">
      <c r="D1447"/>
    </row>
    <row r="1448" spans="4:4" x14ac:dyDescent="0.25">
      <c r="D1448"/>
    </row>
    <row r="1449" spans="4:4" x14ac:dyDescent="0.25">
      <c r="D1449"/>
    </row>
    <row r="1450" spans="4:4" x14ac:dyDescent="0.25">
      <c r="D1450"/>
    </row>
    <row r="1451" spans="4:4" x14ac:dyDescent="0.25">
      <c r="D1451"/>
    </row>
    <row r="1452" spans="4:4" x14ac:dyDescent="0.25">
      <c r="D1452"/>
    </row>
    <row r="1453" spans="4:4" x14ac:dyDescent="0.25">
      <c r="D1453"/>
    </row>
    <row r="1454" spans="4:4" x14ac:dyDescent="0.25">
      <c r="D1454"/>
    </row>
    <row r="1455" spans="4:4" x14ac:dyDescent="0.25">
      <c r="D1455"/>
    </row>
    <row r="1456" spans="4:4" x14ac:dyDescent="0.25">
      <c r="D1456"/>
    </row>
    <row r="1457" spans="4:4" x14ac:dyDescent="0.25">
      <c r="D1457"/>
    </row>
    <row r="1458" spans="4:4" x14ac:dyDescent="0.25">
      <c r="D1458"/>
    </row>
    <row r="1459" spans="4:4" x14ac:dyDescent="0.25">
      <c r="D1459"/>
    </row>
    <row r="1460" spans="4:4" x14ac:dyDescent="0.25">
      <c r="D1460"/>
    </row>
    <row r="1461" spans="4:4" x14ac:dyDescent="0.25">
      <c r="D1461"/>
    </row>
    <row r="1462" spans="4:4" x14ac:dyDescent="0.25">
      <c r="D1462"/>
    </row>
    <row r="1463" spans="4:4" x14ac:dyDescent="0.25">
      <c r="D1463"/>
    </row>
    <row r="1464" spans="4:4" x14ac:dyDescent="0.25">
      <c r="D1464"/>
    </row>
    <row r="1465" spans="4:4" x14ac:dyDescent="0.25">
      <c r="D1465"/>
    </row>
    <row r="1466" spans="4:4" x14ac:dyDescent="0.25">
      <c r="D1466"/>
    </row>
    <row r="1467" spans="4:4" x14ac:dyDescent="0.25">
      <c r="D1467"/>
    </row>
    <row r="1468" spans="4:4" x14ac:dyDescent="0.25">
      <c r="D1468"/>
    </row>
    <row r="1469" spans="4:4" x14ac:dyDescent="0.25">
      <c r="D1469"/>
    </row>
    <row r="1470" spans="4:4" x14ac:dyDescent="0.25">
      <c r="D1470"/>
    </row>
    <row r="1471" spans="4:4" x14ac:dyDescent="0.25">
      <c r="D1471"/>
    </row>
    <row r="1472" spans="4:4" x14ac:dyDescent="0.25">
      <c r="D1472"/>
    </row>
    <row r="1473" spans="4:4" x14ac:dyDescent="0.25">
      <c r="D1473"/>
    </row>
    <row r="1474" spans="4:4" x14ac:dyDescent="0.25">
      <c r="D1474"/>
    </row>
    <row r="1475" spans="4:4" x14ac:dyDescent="0.25">
      <c r="D1475"/>
    </row>
    <row r="1476" spans="4:4" x14ac:dyDescent="0.25">
      <c r="D1476"/>
    </row>
    <row r="1477" spans="4:4" x14ac:dyDescent="0.25">
      <c r="D1477"/>
    </row>
    <row r="1478" spans="4:4" x14ac:dyDescent="0.25">
      <c r="D1478"/>
    </row>
    <row r="1479" spans="4:4" x14ac:dyDescent="0.25">
      <c r="D1479"/>
    </row>
    <row r="1480" spans="4:4" x14ac:dyDescent="0.25">
      <c r="D1480"/>
    </row>
    <row r="1481" spans="4:4" x14ac:dyDescent="0.25">
      <c r="D1481"/>
    </row>
    <row r="1482" spans="4:4" x14ac:dyDescent="0.25">
      <c r="D1482"/>
    </row>
    <row r="1483" spans="4:4" x14ac:dyDescent="0.25">
      <c r="D1483"/>
    </row>
    <row r="1484" spans="4:4" x14ac:dyDescent="0.25">
      <c r="D1484"/>
    </row>
    <row r="1485" spans="4:4" x14ac:dyDescent="0.25">
      <c r="D1485"/>
    </row>
    <row r="1486" spans="4:4" x14ac:dyDescent="0.25">
      <c r="D1486"/>
    </row>
    <row r="1487" spans="4:4" x14ac:dyDescent="0.25">
      <c r="D1487"/>
    </row>
    <row r="1488" spans="4:4" x14ac:dyDescent="0.25">
      <c r="D1488"/>
    </row>
    <row r="1489" spans="4:4" x14ac:dyDescent="0.25">
      <c r="D1489"/>
    </row>
    <row r="1490" spans="4:4" x14ac:dyDescent="0.25">
      <c r="D1490"/>
    </row>
    <row r="1491" spans="4:4" x14ac:dyDescent="0.25">
      <c r="D1491"/>
    </row>
    <row r="1492" spans="4:4" x14ac:dyDescent="0.25">
      <c r="D1492"/>
    </row>
    <row r="1493" spans="4:4" x14ac:dyDescent="0.25">
      <c r="D1493"/>
    </row>
    <row r="1494" spans="4:4" x14ac:dyDescent="0.25">
      <c r="D1494"/>
    </row>
    <row r="1495" spans="4:4" x14ac:dyDescent="0.25">
      <c r="D1495"/>
    </row>
    <row r="1496" spans="4:4" x14ac:dyDescent="0.25">
      <c r="D1496"/>
    </row>
    <row r="1497" spans="4:4" x14ac:dyDescent="0.25">
      <c r="D1497"/>
    </row>
    <row r="1498" spans="4:4" x14ac:dyDescent="0.25">
      <c r="D1498"/>
    </row>
    <row r="1499" spans="4:4" x14ac:dyDescent="0.25">
      <c r="D1499"/>
    </row>
    <row r="1500" spans="4:4" x14ac:dyDescent="0.25">
      <c r="D1500"/>
    </row>
    <row r="1501" spans="4:4" x14ac:dyDescent="0.25">
      <c r="D1501"/>
    </row>
    <row r="1502" spans="4:4" x14ac:dyDescent="0.25">
      <c r="D1502"/>
    </row>
    <row r="1503" spans="4:4" x14ac:dyDescent="0.25">
      <c r="D1503"/>
    </row>
    <row r="1504" spans="4:4" x14ac:dyDescent="0.25">
      <c r="D1504"/>
    </row>
    <row r="1505" spans="4:4" x14ac:dyDescent="0.25">
      <c r="D1505"/>
    </row>
    <row r="1506" spans="4:4" x14ac:dyDescent="0.25">
      <c r="D1506"/>
    </row>
    <row r="1507" spans="4:4" x14ac:dyDescent="0.25">
      <c r="D1507"/>
    </row>
    <row r="1508" spans="4:4" x14ac:dyDescent="0.25">
      <c r="D1508"/>
    </row>
    <row r="1509" spans="4:4" x14ac:dyDescent="0.25">
      <c r="D1509"/>
    </row>
    <row r="1510" spans="4:4" x14ac:dyDescent="0.25">
      <c r="D1510"/>
    </row>
    <row r="1511" spans="4:4" x14ac:dyDescent="0.25">
      <c r="D1511"/>
    </row>
    <row r="1512" spans="4:4" x14ac:dyDescent="0.25">
      <c r="D1512"/>
    </row>
    <row r="1513" spans="4:4" x14ac:dyDescent="0.25">
      <c r="D1513"/>
    </row>
    <row r="1514" spans="4:4" x14ac:dyDescent="0.25">
      <c r="D1514"/>
    </row>
    <row r="1515" spans="4:4" x14ac:dyDescent="0.25">
      <c r="D1515"/>
    </row>
    <row r="1516" spans="4:4" x14ac:dyDescent="0.25">
      <c r="D1516"/>
    </row>
    <row r="1517" spans="4:4" x14ac:dyDescent="0.25">
      <c r="D1517"/>
    </row>
    <row r="1518" spans="4:4" x14ac:dyDescent="0.25">
      <c r="D1518"/>
    </row>
    <row r="1519" spans="4:4" x14ac:dyDescent="0.25">
      <c r="D1519"/>
    </row>
    <row r="1520" spans="4:4" x14ac:dyDescent="0.25">
      <c r="D1520"/>
    </row>
    <row r="1521" spans="4:4" x14ac:dyDescent="0.25">
      <c r="D1521"/>
    </row>
    <row r="1522" spans="4:4" x14ac:dyDescent="0.25">
      <c r="D1522"/>
    </row>
    <row r="1523" spans="4:4" x14ac:dyDescent="0.25">
      <c r="D1523"/>
    </row>
    <row r="1524" spans="4:4" x14ac:dyDescent="0.25">
      <c r="D1524"/>
    </row>
    <row r="1525" spans="4:4" x14ac:dyDescent="0.25">
      <c r="D1525"/>
    </row>
    <row r="1526" spans="4:4" x14ac:dyDescent="0.25">
      <c r="D1526"/>
    </row>
    <row r="1527" spans="4:4" x14ac:dyDescent="0.25">
      <c r="D1527"/>
    </row>
    <row r="1528" spans="4:4" x14ac:dyDescent="0.25">
      <c r="D1528"/>
    </row>
    <row r="1529" spans="4:4" x14ac:dyDescent="0.25">
      <c r="D1529"/>
    </row>
    <row r="1530" spans="4:4" x14ac:dyDescent="0.25">
      <c r="D1530"/>
    </row>
    <row r="1531" spans="4:4" x14ac:dyDescent="0.25">
      <c r="D1531"/>
    </row>
    <row r="1532" spans="4:4" x14ac:dyDescent="0.25">
      <c r="D1532"/>
    </row>
    <row r="1533" spans="4:4" x14ac:dyDescent="0.25">
      <c r="D1533"/>
    </row>
    <row r="1534" spans="4:4" x14ac:dyDescent="0.25">
      <c r="D1534"/>
    </row>
    <row r="1535" spans="4:4" x14ac:dyDescent="0.25">
      <c r="D1535"/>
    </row>
    <row r="1536" spans="4:4" x14ac:dyDescent="0.25">
      <c r="D1536"/>
    </row>
    <row r="1537" spans="4:4" x14ac:dyDescent="0.25">
      <c r="D1537"/>
    </row>
    <row r="1538" spans="4:4" x14ac:dyDescent="0.25">
      <c r="D1538"/>
    </row>
    <row r="1539" spans="4:4" x14ac:dyDescent="0.25">
      <c r="D1539"/>
    </row>
    <row r="1540" spans="4:4" x14ac:dyDescent="0.25">
      <c r="D1540"/>
    </row>
    <row r="1541" spans="4:4" x14ac:dyDescent="0.25">
      <c r="D1541"/>
    </row>
    <row r="1542" spans="4:4" x14ac:dyDescent="0.25">
      <c r="D1542"/>
    </row>
    <row r="1543" spans="4:4" x14ac:dyDescent="0.25">
      <c r="D1543"/>
    </row>
    <row r="1544" spans="4:4" x14ac:dyDescent="0.25">
      <c r="D1544"/>
    </row>
    <row r="1545" spans="4:4" x14ac:dyDescent="0.25">
      <c r="D1545"/>
    </row>
    <row r="1546" spans="4:4" x14ac:dyDescent="0.25">
      <c r="D1546"/>
    </row>
    <row r="1547" spans="4:4" x14ac:dyDescent="0.25">
      <c r="D1547"/>
    </row>
    <row r="1548" spans="4:4" x14ac:dyDescent="0.25">
      <c r="D1548"/>
    </row>
    <row r="1549" spans="4:4" x14ac:dyDescent="0.25">
      <c r="D1549"/>
    </row>
    <row r="1550" spans="4:4" x14ac:dyDescent="0.25">
      <c r="D1550"/>
    </row>
    <row r="1551" spans="4:4" x14ac:dyDescent="0.25">
      <c r="D1551"/>
    </row>
    <row r="1552" spans="4:4" x14ac:dyDescent="0.25">
      <c r="D1552"/>
    </row>
    <row r="1553" spans="4:4" x14ac:dyDescent="0.25">
      <c r="D1553"/>
    </row>
    <row r="1554" spans="4:4" x14ac:dyDescent="0.25">
      <c r="D1554"/>
    </row>
    <row r="1555" spans="4:4" x14ac:dyDescent="0.25">
      <c r="D1555"/>
    </row>
    <row r="1556" spans="4:4" x14ac:dyDescent="0.25">
      <c r="D1556"/>
    </row>
    <row r="1557" spans="4:4" x14ac:dyDescent="0.25">
      <c r="D1557"/>
    </row>
    <row r="1558" spans="4:4" x14ac:dyDescent="0.25">
      <c r="D1558"/>
    </row>
    <row r="1559" spans="4:4" x14ac:dyDescent="0.25">
      <c r="D1559"/>
    </row>
    <row r="1560" spans="4:4" x14ac:dyDescent="0.25">
      <c r="D1560"/>
    </row>
    <row r="1561" spans="4:4" x14ac:dyDescent="0.25">
      <c r="D1561"/>
    </row>
    <row r="1562" spans="4:4" x14ac:dyDescent="0.25">
      <c r="D1562"/>
    </row>
    <row r="1563" spans="4:4" x14ac:dyDescent="0.25">
      <c r="D1563"/>
    </row>
    <row r="1564" spans="4:4" x14ac:dyDescent="0.25">
      <c r="D1564"/>
    </row>
    <row r="1565" spans="4:4" x14ac:dyDescent="0.25">
      <c r="D1565"/>
    </row>
    <row r="1566" spans="4:4" x14ac:dyDescent="0.25">
      <c r="D1566"/>
    </row>
    <row r="1567" spans="4:4" x14ac:dyDescent="0.25">
      <c r="D1567"/>
    </row>
    <row r="1568" spans="4:4" x14ac:dyDescent="0.25">
      <c r="D1568"/>
    </row>
    <row r="1569" spans="4:4" x14ac:dyDescent="0.25">
      <c r="D1569"/>
    </row>
    <row r="1570" spans="4:4" x14ac:dyDescent="0.25">
      <c r="D1570"/>
    </row>
    <row r="1571" spans="4:4" x14ac:dyDescent="0.25">
      <c r="D1571"/>
    </row>
    <row r="1572" spans="4:4" x14ac:dyDescent="0.25">
      <c r="D1572"/>
    </row>
    <row r="1573" spans="4:4" x14ac:dyDescent="0.25">
      <c r="D1573"/>
    </row>
    <row r="1574" spans="4:4" x14ac:dyDescent="0.25">
      <c r="D1574"/>
    </row>
    <row r="1575" spans="4:4" x14ac:dyDescent="0.25">
      <c r="D1575"/>
    </row>
    <row r="1576" spans="4:4" x14ac:dyDescent="0.25">
      <c r="D1576"/>
    </row>
    <row r="1577" spans="4:4" x14ac:dyDescent="0.25">
      <c r="D1577"/>
    </row>
    <row r="1578" spans="4:4" x14ac:dyDescent="0.25">
      <c r="D1578"/>
    </row>
    <row r="1579" spans="4:4" x14ac:dyDescent="0.25">
      <c r="D1579"/>
    </row>
    <row r="1580" spans="4:4" x14ac:dyDescent="0.25">
      <c r="D1580"/>
    </row>
    <row r="1581" spans="4:4" x14ac:dyDescent="0.25">
      <c r="D1581"/>
    </row>
    <row r="1582" spans="4:4" x14ac:dyDescent="0.25">
      <c r="D1582"/>
    </row>
    <row r="1583" spans="4:4" x14ac:dyDescent="0.25">
      <c r="D1583"/>
    </row>
    <row r="1584" spans="4:4" x14ac:dyDescent="0.25">
      <c r="D1584"/>
    </row>
    <row r="1585" spans="4:4" x14ac:dyDescent="0.25">
      <c r="D1585"/>
    </row>
    <row r="1586" spans="4:4" x14ac:dyDescent="0.25">
      <c r="D1586"/>
    </row>
    <row r="1587" spans="4:4" x14ac:dyDescent="0.25">
      <c r="D1587"/>
    </row>
    <row r="1588" spans="4:4" x14ac:dyDescent="0.25">
      <c r="D1588"/>
    </row>
    <row r="1589" spans="4:4" x14ac:dyDescent="0.25">
      <c r="D1589"/>
    </row>
    <row r="1590" spans="4:4" x14ac:dyDescent="0.25">
      <c r="D1590"/>
    </row>
    <row r="1591" spans="4:4" x14ac:dyDescent="0.25">
      <c r="D1591"/>
    </row>
    <row r="1592" spans="4:4" x14ac:dyDescent="0.25">
      <c r="D1592"/>
    </row>
    <row r="1593" spans="4:4" x14ac:dyDescent="0.25">
      <c r="D1593"/>
    </row>
    <row r="1594" spans="4:4" x14ac:dyDescent="0.25">
      <c r="D1594"/>
    </row>
    <row r="1595" spans="4:4" x14ac:dyDescent="0.25">
      <c r="D1595"/>
    </row>
    <row r="1596" spans="4:4" x14ac:dyDescent="0.25">
      <c r="D1596"/>
    </row>
    <row r="1597" spans="4:4" x14ac:dyDescent="0.25">
      <c r="D1597"/>
    </row>
    <row r="1598" spans="4:4" x14ac:dyDescent="0.25">
      <c r="D1598"/>
    </row>
    <row r="1599" spans="4:4" x14ac:dyDescent="0.25">
      <c r="D1599"/>
    </row>
    <row r="1600" spans="4:4" x14ac:dyDescent="0.25">
      <c r="D1600"/>
    </row>
    <row r="1601" spans="4:4" x14ac:dyDescent="0.25">
      <c r="D1601"/>
    </row>
    <row r="1602" spans="4:4" x14ac:dyDescent="0.25">
      <c r="D1602"/>
    </row>
    <row r="1603" spans="4:4" x14ac:dyDescent="0.25">
      <c r="D1603"/>
    </row>
    <row r="1604" spans="4:4" x14ac:dyDescent="0.25">
      <c r="D1604"/>
    </row>
    <row r="1605" spans="4:4" x14ac:dyDescent="0.25">
      <c r="D1605"/>
    </row>
    <row r="1606" spans="4:4" x14ac:dyDescent="0.25">
      <c r="D1606"/>
    </row>
    <row r="1607" spans="4:4" x14ac:dyDescent="0.25">
      <c r="D1607"/>
    </row>
    <row r="1608" spans="4:4" x14ac:dyDescent="0.25">
      <c r="D1608"/>
    </row>
    <row r="1609" spans="4:4" x14ac:dyDescent="0.25">
      <c r="D1609"/>
    </row>
    <row r="1610" spans="4:4" x14ac:dyDescent="0.25">
      <c r="D1610"/>
    </row>
    <row r="1611" spans="4:4" x14ac:dyDescent="0.25">
      <c r="D1611"/>
    </row>
    <row r="1612" spans="4:4" x14ac:dyDescent="0.25">
      <c r="D1612"/>
    </row>
    <row r="1613" spans="4:4" x14ac:dyDescent="0.25">
      <c r="D1613"/>
    </row>
    <row r="1614" spans="4:4" x14ac:dyDescent="0.25">
      <c r="D1614"/>
    </row>
    <row r="1615" spans="4:4" x14ac:dyDescent="0.25">
      <c r="D1615"/>
    </row>
    <row r="1616" spans="4:4" x14ac:dyDescent="0.25">
      <c r="D1616"/>
    </row>
    <row r="1617" spans="4:4" x14ac:dyDescent="0.25">
      <c r="D1617"/>
    </row>
    <row r="1618" spans="4:4" x14ac:dyDescent="0.25">
      <c r="D1618"/>
    </row>
    <row r="1619" spans="4:4" x14ac:dyDescent="0.25">
      <c r="D1619"/>
    </row>
    <row r="1620" spans="4:4" x14ac:dyDescent="0.25">
      <c r="D1620"/>
    </row>
    <row r="1621" spans="4:4" x14ac:dyDescent="0.25">
      <c r="D1621"/>
    </row>
    <row r="1622" spans="4:4" x14ac:dyDescent="0.25">
      <c r="D1622"/>
    </row>
    <row r="1623" spans="4:4" x14ac:dyDescent="0.25">
      <c r="D1623"/>
    </row>
    <row r="1624" spans="4:4" x14ac:dyDescent="0.25">
      <c r="D1624"/>
    </row>
    <row r="1625" spans="4:4" x14ac:dyDescent="0.25">
      <c r="D1625"/>
    </row>
    <row r="1626" spans="4:4" x14ac:dyDescent="0.25">
      <c r="D1626"/>
    </row>
    <row r="1627" spans="4:4" x14ac:dyDescent="0.25">
      <c r="D1627"/>
    </row>
    <row r="1628" spans="4:4" x14ac:dyDescent="0.25">
      <c r="D1628"/>
    </row>
    <row r="1629" spans="4:4" x14ac:dyDescent="0.25">
      <c r="D1629"/>
    </row>
    <row r="1630" spans="4:4" x14ac:dyDescent="0.25">
      <c r="D1630"/>
    </row>
    <row r="1631" spans="4:4" x14ac:dyDescent="0.25">
      <c r="D1631"/>
    </row>
    <row r="1632" spans="4:4" x14ac:dyDescent="0.25">
      <c r="D1632"/>
    </row>
    <row r="1633" spans="4:4" x14ac:dyDescent="0.25">
      <c r="D1633"/>
    </row>
    <row r="1634" spans="4:4" x14ac:dyDescent="0.25">
      <c r="D1634"/>
    </row>
    <row r="1635" spans="4:4" x14ac:dyDescent="0.25">
      <c r="D1635"/>
    </row>
    <row r="1636" spans="4:4" x14ac:dyDescent="0.25">
      <c r="D1636"/>
    </row>
    <row r="1637" spans="4:4" x14ac:dyDescent="0.25">
      <c r="D1637"/>
    </row>
    <row r="1638" spans="4:4" x14ac:dyDescent="0.25">
      <c r="D1638"/>
    </row>
    <row r="1639" spans="4:4" x14ac:dyDescent="0.25">
      <c r="D1639"/>
    </row>
    <row r="1640" spans="4:4" x14ac:dyDescent="0.25">
      <c r="D1640"/>
    </row>
    <row r="1641" spans="4:4" x14ac:dyDescent="0.25">
      <c r="D1641"/>
    </row>
    <row r="1642" spans="4:4" x14ac:dyDescent="0.25">
      <c r="D1642"/>
    </row>
    <row r="1643" spans="4:4" x14ac:dyDescent="0.25">
      <c r="D1643"/>
    </row>
    <row r="1644" spans="4:4" x14ac:dyDescent="0.25">
      <c r="D1644"/>
    </row>
    <row r="1645" spans="4:4" x14ac:dyDescent="0.25">
      <c r="D1645"/>
    </row>
    <row r="1646" spans="4:4" x14ac:dyDescent="0.25">
      <c r="D1646"/>
    </row>
    <row r="1647" spans="4:4" x14ac:dyDescent="0.25">
      <c r="D1647"/>
    </row>
    <row r="1648" spans="4:4" x14ac:dyDescent="0.25">
      <c r="D1648"/>
    </row>
    <row r="1649" spans="4:4" x14ac:dyDescent="0.25">
      <c r="D1649"/>
    </row>
    <row r="1650" spans="4:4" x14ac:dyDescent="0.25">
      <c r="D1650"/>
    </row>
    <row r="1651" spans="4:4" x14ac:dyDescent="0.25">
      <c r="D1651"/>
    </row>
    <row r="1652" spans="4:4" x14ac:dyDescent="0.25">
      <c r="D1652"/>
    </row>
    <row r="1653" spans="4:4" x14ac:dyDescent="0.25">
      <c r="D1653"/>
    </row>
    <row r="1654" spans="4:4" x14ac:dyDescent="0.25">
      <c r="D1654"/>
    </row>
    <row r="1655" spans="4:4" x14ac:dyDescent="0.25">
      <c r="D1655"/>
    </row>
    <row r="1656" spans="4:4" x14ac:dyDescent="0.25">
      <c r="D1656"/>
    </row>
    <row r="1657" spans="4:4" x14ac:dyDescent="0.25">
      <c r="D1657"/>
    </row>
    <row r="1658" spans="4:4" x14ac:dyDescent="0.25">
      <c r="D1658"/>
    </row>
    <row r="1659" spans="4:4" x14ac:dyDescent="0.25">
      <c r="D1659"/>
    </row>
    <row r="1660" spans="4:4" x14ac:dyDescent="0.25">
      <c r="D1660"/>
    </row>
    <row r="1661" spans="4:4" x14ac:dyDescent="0.25">
      <c r="D1661"/>
    </row>
    <row r="1662" spans="4:4" x14ac:dyDescent="0.25">
      <c r="D1662"/>
    </row>
    <row r="1663" spans="4:4" x14ac:dyDescent="0.25">
      <c r="D1663"/>
    </row>
    <row r="1664" spans="4:4" x14ac:dyDescent="0.25">
      <c r="D1664"/>
    </row>
    <row r="1665" spans="4:4" x14ac:dyDescent="0.25">
      <c r="D1665"/>
    </row>
    <row r="1666" spans="4:4" x14ac:dyDescent="0.25">
      <c r="D1666"/>
    </row>
    <row r="1667" spans="4:4" x14ac:dyDescent="0.25">
      <c r="D1667"/>
    </row>
    <row r="1668" spans="4:4" x14ac:dyDescent="0.25">
      <c r="D1668"/>
    </row>
    <row r="1669" spans="4:4" x14ac:dyDescent="0.25">
      <c r="D1669"/>
    </row>
    <row r="1670" spans="4:4" x14ac:dyDescent="0.25">
      <c r="D1670"/>
    </row>
    <row r="1671" spans="4:4" x14ac:dyDescent="0.25">
      <c r="D1671"/>
    </row>
    <row r="1672" spans="4:4" x14ac:dyDescent="0.25">
      <c r="D1672"/>
    </row>
    <row r="1673" spans="4:4" x14ac:dyDescent="0.25">
      <c r="D1673"/>
    </row>
    <row r="1674" spans="4:4" x14ac:dyDescent="0.25">
      <c r="D1674"/>
    </row>
    <row r="1675" spans="4:4" x14ac:dyDescent="0.25">
      <c r="D1675"/>
    </row>
    <row r="1676" spans="4:4" x14ac:dyDescent="0.25">
      <c r="D1676"/>
    </row>
    <row r="1677" spans="4:4" x14ac:dyDescent="0.25">
      <c r="D1677"/>
    </row>
    <row r="1678" spans="4:4" x14ac:dyDescent="0.25">
      <c r="D1678"/>
    </row>
    <row r="1679" spans="4:4" x14ac:dyDescent="0.25">
      <c r="D1679"/>
    </row>
    <row r="1680" spans="4:4" x14ac:dyDescent="0.25">
      <c r="D1680"/>
    </row>
    <row r="1681" spans="4:4" x14ac:dyDescent="0.25">
      <c r="D1681"/>
    </row>
    <row r="1682" spans="4:4" x14ac:dyDescent="0.25">
      <c r="D1682"/>
    </row>
    <row r="1683" spans="4:4" x14ac:dyDescent="0.25">
      <c r="D1683"/>
    </row>
    <row r="1684" spans="4:4" x14ac:dyDescent="0.25">
      <c r="D1684"/>
    </row>
    <row r="1685" spans="4:4" x14ac:dyDescent="0.25">
      <c r="D1685"/>
    </row>
    <row r="1686" spans="4:4" x14ac:dyDescent="0.25">
      <c r="D1686"/>
    </row>
    <row r="1687" spans="4:4" x14ac:dyDescent="0.25">
      <c r="D1687"/>
    </row>
    <row r="1688" spans="4:4" x14ac:dyDescent="0.25">
      <c r="D1688"/>
    </row>
    <row r="1689" spans="4:4" x14ac:dyDescent="0.25">
      <c r="D1689"/>
    </row>
    <row r="1690" spans="4:4" x14ac:dyDescent="0.25">
      <c r="D1690"/>
    </row>
    <row r="1691" spans="4:4" x14ac:dyDescent="0.25">
      <c r="D1691"/>
    </row>
    <row r="1692" spans="4:4" x14ac:dyDescent="0.25">
      <c r="D1692"/>
    </row>
    <row r="1693" spans="4:4" x14ac:dyDescent="0.25">
      <c r="D1693"/>
    </row>
    <row r="1694" spans="4:4" x14ac:dyDescent="0.25">
      <c r="D1694"/>
    </row>
    <row r="1695" spans="4:4" x14ac:dyDescent="0.25">
      <c r="D1695"/>
    </row>
    <row r="1696" spans="4:4" x14ac:dyDescent="0.25">
      <c r="D1696"/>
    </row>
    <row r="1697" spans="4:4" x14ac:dyDescent="0.25">
      <c r="D1697"/>
    </row>
    <row r="1698" spans="4:4" x14ac:dyDescent="0.25">
      <c r="D1698"/>
    </row>
    <row r="1699" spans="4:4" x14ac:dyDescent="0.25">
      <c r="D1699"/>
    </row>
    <row r="1700" spans="4:4" x14ac:dyDescent="0.25">
      <c r="D1700"/>
    </row>
    <row r="1701" spans="4:4" x14ac:dyDescent="0.25">
      <c r="D1701"/>
    </row>
    <row r="1702" spans="4:4" x14ac:dyDescent="0.25">
      <c r="D1702"/>
    </row>
    <row r="1703" spans="4:4" x14ac:dyDescent="0.25">
      <c r="D1703"/>
    </row>
    <row r="1704" spans="4:4" x14ac:dyDescent="0.25">
      <c r="D1704"/>
    </row>
    <row r="1705" spans="4:4" x14ac:dyDescent="0.25">
      <c r="D1705"/>
    </row>
    <row r="1706" spans="4:4" x14ac:dyDescent="0.25">
      <c r="D1706"/>
    </row>
    <row r="1707" spans="4:4" x14ac:dyDescent="0.25">
      <c r="D1707"/>
    </row>
    <row r="1708" spans="4:4" x14ac:dyDescent="0.25">
      <c r="D1708"/>
    </row>
    <row r="1709" spans="4:4" x14ac:dyDescent="0.25">
      <c r="D1709"/>
    </row>
    <row r="1710" spans="4:4" x14ac:dyDescent="0.25">
      <c r="D1710"/>
    </row>
    <row r="1711" spans="4:4" x14ac:dyDescent="0.25">
      <c r="D1711"/>
    </row>
    <row r="1712" spans="4:4" x14ac:dyDescent="0.25">
      <c r="D1712"/>
    </row>
    <row r="1713" spans="4:4" x14ac:dyDescent="0.25">
      <c r="D1713"/>
    </row>
    <row r="1714" spans="4:4" x14ac:dyDescent="0.25">
      <c r="D1714"/>
    </row>
    <row r="1715" spans="4:4" x14ac:dyDescent="0.25">
      <c r="D1715"/>
    </row>
    <row r="1716" spans="4:4" x14ac:dyDescent="0.25">
      <c r="D1716"/>
    </row>
    <row r="1717" spans="4:4" x14ac:dyDescent="0.25">
      <c r="D1717"/>
    </row>
    <row r="1718" spans="4:4" x14ac:dyDescent="0.25">
      <c r="D1718"/>
    </row>
    <row r="1719" spans="4:4" x14ac:dyDescent="0.25">
      <c r="D1719"/>
    </row>
    <row r="1720" spans="4:4" x14ac:dyDescent="0.25">
      <c r="D1720"/>
    </row>
    <row r="1721" spans="4:4" x14ac:dyDescent="0.25">
      <c r="D1721"/>
    </row>
    <row r="1722" spans="4:4" x14ac:dyDescent="0.25">
      <c r="D1722"/>
    </row>
    <row r="1723" spans="4:4" x14ac:dyDescent="0.25">
      <c r="D1723"/>
    </row>
    <row r="1724" spans="4:4" x14ac:dyDescent="0.25">
      <c r="D1724"/>
    </row>
    <row r="1725" spans="4:4" x14ac:dyDescent="0.25">
      <c r="D1725"/>
    </row>
    <row r="1726" spans="4:4" x14ac:dyDescent="0.25">
      <c r="D1726"/>
    </row>
    <row r="1727" spans="4:4" x14ac:dyDescent="0.25">
      <c r="D1727"/>
    </row>
    <row r="1728" spans="4:4" x14ac:dyDescent="0.25">
      <c r="D1728"/>
    </row>
    <row r="1729" spans="4:4" x14ac:dyDescent="0.25">
      <c r="D1729"/>
    </row>
    <row r="1730" spans="4:4" x14ac:dyDescent="0.25">
      <c r="D1730"/>
    </row>
    <row r="1731" spans="4:4" x14ac:dyDescent="0.25">
      <c r="D1731"/>
    </row>
    <row r="1732" spans="4:4" x14ac:dyDescent="0.25">
      <c r="D1732"/>
    </row>
    <row r="1733" spans="4:4" x14ac:dyDescent="0.25">
      <c r="D1733"/>
    </row>
    <row r="1734" spans="4:4" x14ac:dyDescent="0.25">
      <c r="D1734"/>
    </row>
    <row r="1735" spans="4:4" x14ac:dyDescent="0.25">
      <c r="D1735"/>
    </row>
    <row r="1736" spans="4:4" x14ac:dyDescent="0.25">
      <c r="D1736"/>
    </row>
    <row r="1737" spans="4:4" x14ac:dyDescent="0.25">
      <c r="D1737"/>
    </row>
    <row r="1738" spans="4:4" x14ac:dyDescent="0.25">
      <c r="D1738"/>
    </row>
    <row r="1739" spans="4:4" x14ac:dyDescent="0.25">
      <c r="D1739"/>
    </row>
    <row r="1740" spans="4:4" x14ac:dyDescent="0.25">
      <c r="D1740"/>
    </row>
    <row r="1741" spans="4:4" x14ac:dyDescent="0.25">
      <c r="D1741"/>
    </row>
    <row r="1742" spans="4:4" x14ac:dyDescent="0.25">
      <c r="D1742"/>
    </row>
    <row r="1743" spans="4:4" x14ac:dyDescent="0.25">
      <c r="D1743"/>
    </row>
    <row r="1744" spans="4:4" x14ac:dyDescent="0.25">
      <c r="D1744"/>
    </row>
    <row r="1745" spans="4:4" x14ac:dyDescent="0.25">
      <c r="D1745"/>
    </row>
    <row r="1746" spans="4:4" x14ac:dyDescent="0.25">
      <c r="D1746"/>
    </row>
    <row r="1747" spans="4:4" x14ac:dyDescent="0.25">
      <c r="D1747"/>
    </row>
    <row r="1748" spans="4:4" x14ac:dyDescent="0.25">
      <c r="D1748"/>
    </row>
    <row r="1749" spans="4:4" x14ac:dyDescent="0.25">
      <c r="D1749"/>
    </row>
    <row r="1750" spans="4:4" x14ac:dyDescent="0.25">
      <c r="D1750"/>
    </row>
    <row r="1751" spans="4:4" x14ac:dyDescent="0.25">
      <c r="D1751"/>
    </row>
    <row r="1752" spans="4:4" x14ac:dyDescent="0.25">
      <c r="D1752"/>
    </row>
    <row r="1753" spans="4:4" x14ac:dyDescent="0.25">
      <c r="D1753"/>
    </row>
    <row r="1754" spans="4:4" x14ac:dyDescent="0.25">
      <c r="D1754"/>
    </row>
    <row r="1755" spans="4:4" x14ac:dyDescent="0.25">
      <c r="D1755"/>
    </row>
    <row r="1756" spans="4:4" x14ac:dyDescent="0.25">
      <c r="D1756"/>
    </row>
    <row r="1757" spans="4:4" x14ac:dyDescent="0.25">
      <c r="D1757"/>
    </row>
    <row r="1758" spans="4:4" x14ac:dyDescent="0.25">
      <c r="D1758"/>
    </row>
    <row r="1759" spans="4:4" x14ac:dyDescent="0.25">
      <c r="D1759"/>
    </row>
    <row r="1760" spans="4:4" x14ac:dyDescent="0.25">
      <c r="D1760"/>
    </row>
    <row r="1761" spans="4:4" x14ac:dyDescent="0.25">
      <c r="D1761"/>
    </row>
    <row r="1762" spans="4:4" x14ac:dyDescent="0.25">
      <c r="D1762"/>
    </row>
    <row r="1763" spans="4:4" x14ac:dyDescent="0.25">
      <c r="D1763"/>
    </row>
    <row r="1764" spans="4:4" x14ac:dyDescent="0.25">
      <c r="D1764"/>
    </row>
    <row r="1765" spans="4:4" x14ac:dyDescent="0.25">
      <c r="D1765"/>
    </row>
    <row r="1766" spans="4:4" x14ac:dyDescent="0.25">
      <c r="D1766"/>
    </row>
    <row r="1767" spans="4:4" x14ac:dyDescent="0.25">
      <c r="D1767"/>
    </row>
    <row r="1768" spans="4:4" x14ac:dyDescent="0.25">
      <c r="D1768"/>
    </row>
    <row r="1769" spans="4:4" x14ac:dyDescent="0.25">
      <c r="D1769"/>
    </row>
    <row r="1770" spans="4:4" x14ac:dyDescent="0.25">
      <c r="D1770"/>
    </row>
    <row r="1771" spans="4:4" x14ac:dyDescent="0.25">
      <c r="D1771"/>
    </row>
    <row r="1772" spans="4:4" x14ac:dyDescent="0.25">
      <c r="D1772"/>
    </row>
    <row r="1773" spans="4:4" x14ac:dyDescent="0.25">
      <c r="D1773"/>
    </row>
    <row r="1774" spans="4:4" x14ac:dyDescent="0.25">
      <c r="D1774"/>
    </row>
    <row r="1775" spans="4:4" x14ac:dyDescent="0.25">
      <c r="D1775"/>
    </row>
    <row r="1776" spans="4:4" x14ac:dyDescent="0.25">
      <c r="D1776"/>
    </row>
    <row r="1777" spans="4:4" x14ac:dyDescent="0.25">
      <c r="D1777"/>
    </row>
    <row r="1778" spans="4:4" x14ac:dyDescent="0.25">
      <c r="D1778"/>
    </row>
    <row r="1779" spans="4:4" x14ac:dyDescent="0.25">
      <c r="D1779"/>
    </row>
    <row r="1780" spans="4:4" x14ac:dyDescent="0.25">
      <c r="D1780"/>
    </row>
    <row r="1781" spans="4:4" x14ac:dyDescent="0.25">
      <c r="D1781"/>
    </row>
    <row r="1782" spans="4:4" x14ac:dyDescent="0.25">
      <c r="D1782"/>
    </row>
    <row r="1783" spans="4:4" x14ac:dyDescent="0.25">
      <c r="D1783"/>
    </row>
    <row r="1784" spans="4:4" x14ac:dyDescent="0.25">
      <c r="D1784"/>
    </row>
    <row r="1785" spans="4:4" x14ac:dyDescent="0.25">
      <c r="D1785"/>
    </row>
    <row r="1786" spans="4:4" x14ac:dyDescent="0.25">
      <c r="D1786"/>
    </row>
    <row r="1787" spans="4:4" x14ac:dyDescent="0.25">
      <c r="D1787"/>
    </row>
    <row r="1788" spans="4:4" x14ac:dyDescent="0.25">
      <c r="D1788"/>
    </row>
    <row r="1789" spans="4:4" x14ac:dyDescent="0.25">
      <c r="D1789"/>
    </row>
    <row r="1790" spans="4:4" x14ac:dyDescent="0.25">
      <c r="D1790"/>
    </row>
    <row r="1791" spans="4:4" x14ac:dyDescent="0.25">
      <c r="D1791"/>
    </row>
    <row r="1792" spans="4:4" x14ac:dyDescent="0.25">
      <c r="D1792"/>
    </row>
    <row r="1793" spans="4:4" x14ac:dyDescent="0.25">
      <c r="D1793"/>
    </row>
    <row r="1794" spans="4:4" x14ac:dyDescent="0.25">
      <c r="D1794"/>
    </row>
    <row r="1795" spans="4:4" x14ac:dyDescent="0.25">
      <c r="D1795"/>
    </row>
    <row r="1796" spans="4:4" x14ac:dyDescent="0.25">
      <c r="D1796"/>
    </row>
    <row r="1797" spans="4:4" x14ac:dyDescent="0.25">
      <c r="D1797"/>
    </row>
    <row r="1798" spans="4:4" x14ac:dyDescent="0.25">
      <c r="D1798"/>
    </row>
    <row r="1799" spans="4:4" x14ac:dyDescent="0.25">
      <c r="D1799"/>
    </row>
    <row r="1800" spans="4:4" x14ac:dyDescent="0.25">
      <c r="D1800"/>
    </row>
    <row r="1801" spans="4:4" x14ac:dyDescent="0.25">
      <c r="D1801"/>
    </row>
    <row r="1802" spans="4:4" x14ac:dyDescent="0.25">
      <c r="D1802"/>
    </row>
    <row r="1803" spans="4:4" x14ac:dyDescent="0.25">
      <c r="D1803"/>
    </row>
    <row r="1804" spans="4:4" x14ac:dyDescent="0.25">
      <c r="D1804"/>
    </row>
    <row r="1805" spans="4:4" x14ac:dyDescent="0.25">
      <c r="D1805"/>
    </row>
    <row r="1806" spans="4:4" x14ac:dyDescent="0.25">
      <c r="D1806"/>
    </row>
    <row r="1807" spans="4:4" x14ac:dyDescent="0.25">
      <c r="D1807"/>
    </row>
    <row r="1808" spans="4:4" x14ac:dyDescent="0.25">
      <c r="D1808"/>
    </row>
    <row r="1809" spans="4:4" x14ac:dyDescent="0.25">
      <c r="D1809"/>
    </row>
    <row r="1810" spans="4:4" x14ac:dyDescent="0.25">
      <c r="D1810"/>
    </row>
    <row r="1811" spans="4:4" x14ac:dyDescent="0.25">
      <c r="D1811"/>
    </row>
    <row r="1812" spans="4:4" x14ac:dyDescent="0.25">
      <c r="D1812"/>
    </row>
    <row r="1813" spans="4:4" x14ac:dyDescent="0.25">
      <c r="D1813"/>
    </row>
    <row r="1814" spans="4:4" x14ac:dyDescent="0.25">
      <c r="D1814"/>
    </row>
    <row r="1815" spans="4:4" x14ac:dyDescent="0.25">
      <c r="D1815"/>
    </row>
    <row r="1816" spans="4:4" x14ac:dyDescent="0.25">
      <c r="D1816"/>
    </row>
    <row r="1817" spans="4:4" x14ac:dyDescent="0.25">
      <c r="D1817"/>
    </row>
    <row r="1818" spans="4:4" x14ac:dyDescent="0.25">
      <c r="D1818"/>
    </row>
    <row r="1819" spans="4:4" x14ac:dyDescent="0.25">
      <c r="D1819"/>
    </row>
    <row r="1820" spans="4:4" x14ac:dyDescent="0.25">
      <c r="D1820"/>
    </row>
    <row r="1821" spans="4:4" x14ac:dyDescent="0.25">
      <c r="D1821"/>
    </row>
    <row r="1822" spans="4:4" x14ac:dyDescent="0.25">
      <c r="D1822"/>
    </row>
    <row r="1823" spans="4:4" x14ac:dyDescent="0.25">
      <c r="D1823"/>
    </row>
    <row r="1824" spans="4:4" x14ac:dyDescent="0.25">
      <c r="D1824"/>
    </row>
    <row r="1825" spans="4:4" x14ac:dyDescent="0.25">
      <c r="D1825"/>
    </row>
    <row r="1826" spans="4:4" x14ac:dyDescent="0.25">
      <c r="D1826"/>
    </row>
    <row r="1827" spans="4:4" x14ac:dyDescent="0.25">
      <c r="D1827"/>
    </row>
    <row r="1828" spans="4:4" x14ac:dyDescent="0.25">
      <c r="D1828"/>
    </row>
    <row r="1829" spans="4:4" x14ac:dyDescent="0.25">
      <c r="D1829"/>
    </row>
    <row r="1830" spans="4:4" x14ac:dyDescent="0.25">
      <c r="D1830"/>
    </row>
    <row r="1831" spans="4:4" x14ac:dyDescent="0.25">
      <c r="D1831"/>
    </row>
    <row r="1832" spans="4:4" x14ac:dyDescent="0.25">
      <c r="D1832"/>
    </row>
    <row r="1833" spans="4:4" x14ac:dyDescent="0.25">
      <c r="D1833"/>
    </row>
    <row r="1834" spans="4:4" x14ac:dyDescent="0.25">
      <c r="D1834"/>
    </row>
    <row r="1835" spans="4:4" x14ac:dyDescent="0.25">
      <c r="D1835"/>
    </row>
    <row r="1836" spans="4:4" x14ac:dyDescent="0.25">
      <c r="D1836"/>
    </row>
    <row r="1837" spans="4:4" x14ac:dyDescent="0.25">
      <c r="D1837"/>
    </row>
    <row r="1838" spans="4:4" x14ac:dyDescent="0.25">
      <c r="D1838"/>
    </row>
    <row r="1839" spans="4:4" x14ac:dyDescent="0.25">
      <c r="D1839"/>
    </row>
    <row r="1840" spans="4:4" x14ac:dyDescent="0.25">
      <c r="D1840"/>
    </row>
    <row r="1841" spans="4:4" x14ac:dyDescent="0.25">
      <c r="D1841"/>
    </row>
    <row r="1842" spans="4:4" x14ac:dyDescent="0.25">
      <c r="D1842"/>
    </row>
    <row r="1843" spans="4:4" x14ac:dyDescent="0.25">
      <c r="D1843"/>
    </row>
    <row r="1844" spans="4:4" x14ac:dyDescent="0.25">
      <c r="D1844"/>
    </row>
    <row r="1845" spans="4:4" x14ac:dyDescent="0.25">
      <c r="D1845"/>
    </row>
    <row r="1846" spans="4:4" x14ac:dyDescent="0.25">
      <c r="D1846"/>
    </row>
    <row r="1847" spans="4:4" x14ac:dyDescent="0.25">
      <c r="D1847"/>
    </row>
    <row r="1848" spans="4:4" x14ac:dyDescent="0.25">
      <c r="D1848"/>
    </row>
    <row r="1849" spans="4:4" x14ac:dyDescent="0.25">
      <c r="D1849"/>
    </row>
    <row r="1850" spans="4:4" x14ac:dyDescent="0.25">
      <c r="D1850"/>
    </row>
    <row r="1851" spans="4:4" x14ac:dyDescent="0.25">
      <c r="D1851"/>
    </row>
    <row r="1852" spans="4:4" x14ac:dyDescent="0.25">
      <c r="D1852"/>
    </row>
    <row r="1853" spans="4:4" x14ac:dyDescent="0.25">
      <c r="D1853"/>
    </row>
    <row r="1854" spans="4:4" x14ac:dyDescent="0.25">
      <c r="D1854"/>
    </row>
    <row r="1855" spans="4:4" x14ac:dyDescent="0.25">
      <c r="D1855"/>
    </row>
    <row r="1856" spans="4:4" x14ac:dyDescent="0.25">
      <c r="D1856"/>
    </row>
    <row r="1857" spans="4:4" x14ac:dyDescent="0.25">
      <c r="D1857"/>
    </row>
    <row r="1858" spans="4:4" x14ac:dyDescent="0.25">
      <c r="D1858"/>
    </row>
    <row r="1859" spans="4:4" x14ac:dyDescent="0.25">
      <c r="D1859"/>
    </row>
    <row r="1860" spans="4:4" x14ac:dyDescent="0.25">
      <c r="D1860"/>
    </row>
    <row r="1861" spans="4:4" x14ac:dyDescent="0.25">
      <c r="D1861"/>
    </row>
    <row r="1862" spans="4:4" x14ac:dyDescent="0.25">
      <c r="D1862"/>
    </row>
    <row r="1863" spans="4:4" x14ac:dyDescent="0.25">
      <c r="D1863"/>
    </row>
    <row r="1864" spans="4:4" x14ac:dyDescent="0.25">
      <c r="D1864"/>
    </row>
    <row r="1865" spans="4:4" x14ac:dyDescent="0.25">
      <c r="D1865"/>
    </row>
    <row r="1866" spans="4:4" x14ac:dyDescent="0.25">
      <c r="D1866"/>
    </row>
    <row r="1867" spans="4:4" x14ac:dyDescent="0.25">
      <c r="D1867"/>
    </row>
    <row r="1868" spans="4:4" x14ac:dyDescent="0.25">
      <c r="D1868"/>
    </row>
    <row r="1869" spans="4:4" x14ac:dyDescent="0.25">
      <c r="D1869"/>
    </row>
    <row r="1870" spans="4:4" x14ac:dyDescent="0.25">
      <c r="D1870"/>
    </row>
    <row r="1871" spans="4:4" x14ac:dyDescent="0.25">
      <c r="D1871"/>
    </row>
    <row r="1872" spans="4:4" x14ac:dyDescent="0.25">
      <c r="D1872"/>
    </row>
    <row r="1873" spans="4:4" x14ac:dyDescent="0.25">
      <c r="D1873"/>
    </row>
    <row r="1874" spans="4:4" x14ac:dyDescent="0.25">
      <c r="D1874"/>
    </row>
    <row r="1875" spans="4:4" x14ac:dyDescent="0.25">
      <c r="D1875"/>
    </row>
    <row r="1876" spans="4:4" x14ac:dyDescent="0.25">
      <c r="D1876"/>
    </row>
    <row r="1877" spans="4:4" x14ac:dyDescent="0.25">
      <c r="D1877"/>
    </row>
    <row r="1878" spans="4:4" x14ac:dyDescent="0.25">
      <c r="D1878"/>
    </row>
    <row r="1879" spans="4:4" x14ac:dyDescent="0.25">
      <c r="D1879"/>
    </row>
    <row r="1880" spans="4:4" x14ac:dyDescent="0.25">
      <c r="D1880"/>
    </row>
    <row r="1881" spans="4:4" x14ac:dyDescent="0.25">
      <c r="D1881"/>
    </row>
    <row r="1882" spans="4:4" x14ac:dyDescent="0.25">
      <c r="D1882"/>
    </row>
    <row r="1883" spans="4:4" x14ac:dyDescent="0.25">
      <c r="D1883"/>
    </row>
    <row r="1884" spans="4:4" x14ac:dyDescent="0.25">
      <c r="D1884"/>
    </row>
    <row r="1885" spans="4:4" x14ac:dyDescent="0.25">
      <c r="D1885"/>
    </row>
    <row r="1886" spans="4:4" x14ac:dyDescent="0.25">
      <c r="D1886"/>
    </row>
    <row r="1887" spans="4:4" x14ac:dyDescent="0.25">
      <c r="D1887"/>
    </row>
    <row r="1888" spans="4:4" x14ac:dyDescent="0.25">
      <c r="D1888"/>
    </row>
    <row r="1889" spans="4:4" x14ac:dyDescent="0.25">
      <c r="D1889"/>
    </row>
    <row r="1890" spans="4:4" x14ac:dyDescent="0.25">
      <c r="D1890"/>
    </row>
    <row r="1891" spans="4:4" x14ac:dyDescent="0.25">
      <c r="D1891"/>
    </row>
    <row r="1892" spans="4:4" x14ac:dyDescent="0.25">
      <c r="D1892"/>
    </row>
    <row r="1893" spans="4:4" x14ac:dyDescent="0.25">
      <c r="D1893"/>
    </row>
    <row r="1894" spans="4:4" x14ac:dyDescent="0.25">
      <c r="D1894"/>
    </row>
    <row r="1895" spans="4:4" x14ac:dyDescent="0.25">
      <c r="D1895"/>
    </row>
    <row r="1896" spans="4:4" x14ac:dyDescent="0.25">
      <c r="D1896"/>
    </row>
    <row r="1897" spans="4:4" x14ac:dyDescent="0.25">
      <c r="D1897"/>
    </row>
    <row r="1898" spans="4:4" x14ac:dyDescent="0.25">
      <c r="D1898"/>
    </row>
    <row r="1899" spans="4:4" x14ac:dyDescent="0.25">
      <c r="D1899"/>
    </row>
    <row r="1900" spans="4:4" x14ac:dyDescent="0.25">
      <c r="D1900"/>
    </row>
    <row r="1901" spans="4:4" x14ac:dyDescent="0.25">
      <c r="D1901"/>
    </row>
    <row r="1902" spans="4:4" x14ac:dyDescent="0.25">
      <c r="D1902"/>
    </row>
    <row r="1903" spans="4:4" x14ac:dyDescent="0.25">
      <c r="D1903"/>
    </row>
    <row r="1904" spans="4:4" x14ac:dyDescent="0.25">
      <c r="D1904"/>
    </row>
    <row r="1905" spans="4:4" x14ac:dyDescent="0.25">
      <c r="D1905"/>
    </row>
    <row r="1906" spans="4:4" x14ac:dyDescent="0.25">
      <c r="D1906"/>
    </row>
    <row r="1907" spans="4:4" x14ac:dyDescent="0.25">
      <c r="D1907"/>
    </row>
    <row r="1908" spans="4:4" x14ac:dyDescent="0.25">
      <c r="D1908"/>
    </row>
    <row r="1909" spans="4:4" x14ac:dyDescent="0.25">
      <c r="D1909"/>
    </row>
    <row r="1910" spans="4:4" x14ac:dyDescent="0.25">
      <c r="D1910"/>
    </row>
    <row r="1911" spans="4:4" x14ac:dyDescent="0.25">
      <c r="D1911"/>
    </row>
    <row r="1912" spans="4:4" x14ac:dyDescent="0.25">
      <c r="D1912"/>
    </row>
    <row r="1913" spans="4:4" x14ac:dyDescent="0.25">
      <c r="D1913"/>
    </row>
    <row r="1914" spans="4:4" x14ac:dyDescent="0.25">
      <c r="D1914"/>
    </row>
    <row r="1915" spans="4:4" x14ac:dyDescent="0.25">
      <c r="D1915"/>
    </row>
    <row r="1916" spans="4:4" x14ac:dyDescent="0.25">
      <c r="D1916"/>
    </row>
    <row r="1917" spans="4:4" x14ac:dyDescent="0.25">
      <c r="D1917"/>
    </row>
    <row r="1918" spans="4:4" x14ac:dyDescent="0.25">
      <c r="D1918"/>
    </row>
    <row r="1919" spans="4:4" x14ac:dyDescent="0.25">
      <c r="D1919"/>
    </row>
    <row r="1920" spans="4:4" x14ac:dyDescent="0.25">
      <c r="D1920"/>
    </row>
    <row r="1921" spans="4:4" x14ac:dyDescent="0.25">
      <c r="D1921"/>
    </row>
    <row r="1922" spans="4:4" x14ac:dyDescent="0.25">
      <c r="D1922"/>
    </row>
    <row r="1923" spans="4:4" x14ac:dyDescent="0.25">
      <c r="D1923"/>
    </row>
    <row r="1924" spans="4:4" x14ac:dyDescent="0.25">
      <c r="D1924"/>
    </row>
    <row r="1925" spans="4:4" x14ac:dyDescent="0.25">
      <c r="D1925"/>
    </row>
    <row r="1926" spans="4:4" x14ac:dyDescent="0.25">
      <c r="D1926"/>
    </row>
    <row r="1927" spans="4:4" x14ac:dyDescent="0.25">
      <c r="D1927"/>
    </row>
    <row r="1928" spans="4:4" x14ac:dyDescent="0.25">
      <c r="D1928"/>
    </row>
    <row r="1929" spans="4:4" x14ac:dyDescent="0.25">
      <c r="D1929"/>
    </row>
    <row r="1930" spans="4:4" x14ac:dyDescent="0.25">
      <c r="D1930"/>
    </row>
    <row r="1931" spans="4:4" x14ac:dyDescent="0.25">
      <c r="D1931"/>
    </row>
    <row r="1932" spans="4:4" x14ac:dyDescent="0.25">
      <c r="D1932"/>
    </row>
    <row r="1933" spans="4:4" x14ac:dyDescent="0.25">
      <c r="D1933"/>
    </row>
    <row r="1934" spans="4:4" x14ac:dyDescent="0.25">
      <c r="D1934"/>
    </row>
    <row r="1935" spans="4:4" x14ac:dyDescent="0.25">
      <c r="D1935"/>
    </row>
    <row r="1936" spans="4:4" x14ac:dyDescent="0.25">
      <c r="D1936"/>
    </row>
    <row r="1937" spans="4:4" x14ac:dyDescent="0.25">
      <c r="D1937"/>
    </row>
    <row r="1938" spans="4:4" x14ac:dyDescent="0.25">
      <c r="D1938"/>
    </row>
    <row r="1939" spans="4:4" x14ac:dyDescent="0.25">
      <c r="D1939"/>
    </row>
    <row r="1940" spans="4:4" x14ac:dyDescent="0.25">
      <c r="D1940"/>
    </row>
    <row r="1941" spans="4:4" x14ac:dyDescent="0.25">
      <c r="D1941"/>
    </row>
    <row r="1942" spans="4:4" x14ac:dyDescent="0.25">
      <c r="D1942"/>
    </row>
    <row r="1943" spans="4:4" x14ac:dyDescent="0.25">
      <c r="D1943"/>
    </row>
    <row r="1944" spans="4:4" x14ac:dyDescent="0.25">
      <c r="D1944"/>
    </row>
    <row r="1945" spans="4:4" x14ac:dyDescent="0.25">
      <c r="D1945"/>
    </row>
    <row r="1946" spans="4:4" x14ac:dyDescent="0.25">
      <c r="D1946"/>
    </row>
    <row r="1947" spans="4:4" x14ac:dyDescent="0.25">
      <c r="D1947"/>
    </row>
    <row r="1948" spans="4:4" x14ac:dyDescent="0.25">
      <c r="D1948"/>
    </row>
    <row r="1949" spans="4:4" x14ac:dyDescent="0.25">
      <c r="D1949"/>
    </row>
    <row r="1950" spans="4:4" x14ac:dyDescent="0.25">
      <c r="D1950"/>
    </row>
    <row r="1951" spans="4:4" x14ac:dyDescent="0.25">
      <c r="D1951"/>
    </row>
    <row r="1952" spans="4:4" x14ac:dyDescent="0.25">
      <c r="D1952"/>
    </row>
    <row r="1953" spans="4:4" x14ac:dyDescent="0.25">
      <c r="D1953"/>
    </row>
    <row r="1954" spans="4:4" x14ac:dyDescent="0.25">
      <c r="D1954"/>
    </row>
    <row r="1955" spans="4:4" x14ac:dyDescent="0.25">
      <c r="D1955"/>
    </row>
    <row r="1956" spans="4:4" x14ac:dyDescent="0.25">
      <c r="D1956"/>
    </row>
    <row r="1957" spans="4:4" x14ac:dyDescent="0.25">
      <c r="D1957"/>
    </row>
    <row r="1958" spans="4:4" x14ac:dyDescent="0.25">
      <c r="D1958"/>
    </row>
    <row r="1959" spans="4:4" x14ac:dyDescent="0.25">
      <c r="D1959"/>
    </row>
    <row r="1960" spans="4:4" x14ac:dyDescent="0.25">
      <c r="D1960"/>
    </row>
    <row r="1961" spans="4:4" x14ac:dyDescent="0.25">
      <c r="D1961"/>
    </row>
    <row r="1962" spans="4:4" x14ac:dyDescent="0.25">
      <c r="D1962"/>
    </row>
    <row r="1963" spans="4:4" x14ac:dyDescent="0.25">
      <c r="D1963"/>
    </row>
    <row r="1964" spans="4:4" x14ac:dyDescent="0.25">
      <c r="D1964"/>
    </row>
    <row r="1965" spans="4:4" x14ac:dyDescent="0.25">
      <c r="D1965"/>
    </row>
    <row r="1966" spans="4:4" x14ac:dyDescent="0.25">
      <c r="D1966"/>
    </row>
    <row r="1967" spans="4:4" x14ac:dyDescent="0.25">
      <c r="D1967"/>
    </row>
    <row r="1968" spans="4:4" x14ac:dyDescent="0.25">
      <c r="D1968"/>
    </row>
    <row r="1969" spans="4:4" x14ac:dyDescent="0.25">
      <c r="D1969"/>
    </row>
    <row r="1970" spans="4:4" x14ac:dyDescent="0.25">
      <c r="D1970"/>
    </row>
    <row r="1971" spans="4:4" x14ac:dyDescent="0.25">
      <c r="D1971"/>
    </row>
    <row r="1972" spans="4:4" x14ac:dyDescent="0.25">
      <c r="D1972"/>
    </row>
    <row r="1973" spans="4:4" x14ac:dyDescent="0.25">
      <c r="D1973"/>
    </row>
    <row r="1974" spans="4:4" x14ac:dyDescent="0.25">
      <c r="D1974"/>
    </row>
    <row r="1975" spans="4:4" x14ac:dyDescent="0.25">
      <c r="D1975"/>
    </row>
    <row r="1976" spans="4:4" x14ac:dyDescent="0.25">
      <c r="D1976"/>
    </row>
    <row r="1977" spans="4:4" x14ac:dyDescent="0.25">
      <c r="D1977"/>
    </row>
    <row r="1978" spans="4:4" x14ac:dyDescent="0.25">
      <c r="D1978"/>
    </row>
    <row r="1979" spans="4:4" x14ac:dyDescent="0.25">
      <c r="D1979"/>
    </row>
    <row r="1980" spans="4:4" x14ac:dyDescent="0.25">
      <c r="D1980"/>
    </row>
    <row r="1981" spans="4:4" x14ac:dyDescent="0.25">
      <c r="D1981"/>
    </row>
    <row r="1982" spans="4:4" x14ac:dyDescent="0.25">
      <c r="D1982"/>
    </row>
    <row r="1983" spans="4:4" x14ac:dyDescent="0.25">
      <c r="D1983"/>
    </row>
    <row r="1984" spans="4:4" x14ac:dyDescent="0.25">
      <c r="D1984"/>
    </row>
    <row r="1985" spans="4:4" x14ac:dyDescent="0.25">
      <c r="D1985"/>
    </row>
    <row r="1986" spans="4:4" x14ac:dyDescent="0.25">
      <c r="D1986"/>
    </row>
    <row r="1987" spans="4:4" x14ac:dyDescent="0.25">
      <c r="D1987"/>
    </row>
    <row r="1988" spans="4:4" x14ac:dyDescent="0.25">
      <c r="D1988"/>
    </row>
    <row r="1989" spans="4:4" x14ac:dyDescent="0.25">
      <c r="D1989"/>
    </row>
    <row r="1990" spans="4:4" x14ac:dyDescent="0.25">
      <c r="D1990"/>
    </row>
    <row r="1991" spans="4:4" x14ac:dyDescent="0.25">
      <c r="D1991"/>
    </row>
    <row r="1992" spans="4:4" x14ac:dyDescent="0.25">
      <c r="D1992"/>
    </row>
    <row r="1993" spans="4:4" x14ac:dyDescent="0.25">
      <c r="D1993"/>
    </row>
    <row r="1994" spans="4:4" x14ac:dyDescent="0.25">
      <c r="D1994"/>
    </row>
    <row r="1995" spans="4:4" x14ac:dyDescent="0.25">
      <c r="D1995"/>
    </row>
    <row r="1996" spans="4:4" x14ac:dyDescent="0.25">
      <c r="D1996"/>
    </row>
    <row r="1997" spans="4:4" x14ac:dyDescent="0.25">
      <c r="D1997"/>
    </row>
    <row r="1998" spans="4:4" x14ac:dyDescent="0.25">
      <c r="D1998"/>
    </row>
    <row r="1999" spans="4:4" x14ac:dyDescent="0.25">
      <c r="D1999"/>
    </row>
    <row r="2000" spans="4:4" x14ac:dyDescent="0.25">
      <c r="D2000"/>
    </row>
    <row r="2001" spans="4:4" x14ac:dyDescent="0.25">
      <c r="D2001"/>
    </row>
    <row r="2002" spans="4:4" x14ac:dyDescent="0.25">
      <c r="D2002"/>
    </row>
    <row r="2003" spans="4:4" x14ac:dyDescent="0.25">
      <c r="D2003"/>
    </row>
    <row r="2004" spans="4:4" x14ac:dyDescent="0.25">
      <c r="D2004"/>
    </row>
    <row r="2005" spans="4:4" x14ac:dyDescent="0.25">
      <c r="D2005"/>
    </row>
    <row r="2006" spans="4:4" x14ac:dyDescent="0.25">
      <c r="D2006"/>
    </row>
    <row r="2007" spans="4:4" x14ac:dyDescent="0.25">
      <c r="D2007"/>
    </row>
    <row r="2008" spans="4:4" x14ac:dyDescent="0.25">
      <c r="D2008"/>
    </row>
    <row r="2009" spans="4:4" x14ac:dyDescent="0.25">
      <c r="D2009"/>
    </row>
    <row r="2010" spans="4:4" x14ac:dyDescent="0.25">
      <c r="D2010"/>
    </row>
    <row r="2011" spans="4:4" x14ac:dyDescent="0.25">
      <c r="D2011"/>
    </row>
    <row r="2012" spans="4:4" x14ac:dyDescent="0.25">
      <c r="D2012"/>
    </row>
    <row r="2013" spans="4:4" x14ac:dyDescent="0.25">
      <c r="D2013"/>
    </row>
    <row r="2014" spans="4:4" x14ac:dyDescent="0.25">
      <c r="D2014"/>
    </row>
    <row r="2015" spans="4:4" x14ac:dyDescent="0.25">
      <c r="D2015"/>
    </row>
    <row r="2016" spans="4:4" x14ac:dyDescent="0.25">
      <c r="D2016"/>
    </row>
    <row r="2017" spans="4:4" x14ac:dyDescent="0.25">
      <c r="D2017"/>
    </row>
    <row r="2018" spans="4:4" x14ac:dyDescent="0.25">
      <c r="D2018"/>
    </row>
    <row r="2019" spans="4:4" x14ac:dyDescent="0.25">
      <c r="D2019"/>
    </row>
    <row r="2020" spans="4:4" x14ac:dyDescent="0.25">
      <c r="D2020"/>
    </row>
    <row r="2021" spans="4:4" x14ac:dyDescent="0.25">
      <c r="D2021"/>
    </row>
    <row r="2022" spans="4:4" x14ac:dyDescent="0.25">
      <c r="D2022"/>
    </row>
    <row r="2023" spans="4:4" x14ac:dyDescent="0.25">
      <c r="D2023"/>
    </row>
    <row r="2024" spans="4:4" x14ac:dyDescent="0.25">
      <c r="D2024"/>
    </row>
    <row r="2025" spans="4:4" x14ac:dyDescent="0.25">
      <c r="D2025"/>
    </row>
    <row r="2026" spans="4:4" x14ac:dyDescent="0.25">
      <c r="D2026"/>
    </row>
    <row r="2027" spans="4:4" x14ac:dyDescent="0.25">
      <c r="D2027"/>
    </row>
    <row r="2028" spans="4:4" x14ac:dyDescent="0.25">
      <c r="D2028"/>
    </row>
    <row r="2029" spans="4:4" x14ac:dyDescent="0.25">
      <c r="D2029"/>
    </row>
    <row r="2030" spans="4:4" x14ac:dyDescent="0.25">
      <c r="D2030"/>
    </row>
    <row r="2031" spans="4:4" x14ac:dyDescent="0.25">
      <c r="D2031"/>
    </row>
    <row r="2032" spans="4:4" x14ac:dyDescent="0.25">
      <c r="D2032"/>
    </row>
    <row r="2033" spans="4:4" x14ac:dyDescent="0.25">
      <c r="D2033"/>
    </row>
    <row r="2034" spans="4:4" x14ac:dyDescent="0.25">
      <c r="D2034"/>
    </row>
    <row r="2035" spans="4:4" x14ac:dyDescent="0.25">
      <c r="D2035"/>
    </row>
    <row r="2036" spans="4:4" x14ac:dyDescent="0.25">
      <c r="D2036"/>
    </row>
    <row r="2037" spans="4:4" x14ac:dyDescent="0.25">
      <c r="D2037"/>
    </row>
    <row r="2038" spans="4:4" x14ac:dyDescent="0.25">
      <c r="D2038"/>
    </row>
    <row r="2039" spans="4:4" x14ac:dyDescent="0.25">
      <c r="D2039"/>
    </row>
    <row r="2040" spans="4:4" x14ac:dyDescent="0.25">
      <c r="D2040"/>
    </row>
    <row r="2041" spans="4:4" x14ac:dyDescent="0.25">
      <c r="D2041"/>
    </row>
    <row r="2042" spans="4:4" x14ac:dyDescent="0.25">
      <c r="D2042"/>
    </row>
    <row r="2043" spans="4:4" x14ac:dyDescent="0.25">
      <c r="D2043"/>
    </row>
    <row r="2044" spans="4:4" x14ac:dyDescent="0.25">
      <c r="D2044"/>
    </row>
    <row r="2045" spans="4:4" x14ac:dyDescent="0.25">
      <c r="D2045"/>
    </row>
    <row r="2046" spans="4:4" x14ac:dyDescent="0.25">
      <c r="D2046"/>
    </row>
    <row r="2047" spans="4:4" x14ac:dyDescent="0.25">
      <c r="D2047"/>
    </row>
    <row r="2048" spans="4:4" x14ac:dyDescent="0.25">
      <c r="D2048"/>
    </row>
    <row r="2049" spans="4:4" x14ac:dyDescent="0.25">
      <c r="D2049"/>
    </row>
    <row r="2050" spans="4:4" x14ac:dyDescent="0.25">
      <c r="D2050"/>
    </row>
    <row r="2051" spans="4:4" x14ac:dyDescent="0.25">
      <c r="D2051"/>
    </row>
    <row r="2052" spans="4:4" x14ac:dyDescent="0.25">
      <c r="D2052"/>
    </row>
    <row r="2053" spans="4:4" x14ac:dyDescent="0.25">
      <c r="D2053"/>
    </row>
    <row r="2054" spans="4:4" x14ac:dyDescent="0.25">
      <c r="D2054"/>
    </row>
    <row r="2055" spans="4:4" x14ac:dyDescent="0.25">
      <c r="D2055"/>
    </row>
    <row r="2056" spans="4:4" x14ac:dyDescent="0.25">
      <c r="D2056"/>
    </row>
    <row r="2057" spans="4:4" x14ac:dyDescent="0.25">
      <c r="D2057"/>
    </row>
    <row r="2058" spans="4:4" x14ac:dyDescent="0.25">
      <c r="D2058"/>
    </row>
    <row r="2059" spans="4:4" x14ac:dyDescent="0.25">
      <c r="D2059"/>
    </row>
    <row r="2060" spans="4:4" x14ac:dyDescent="0.25">
      <c r="D2060"/>
    </row>
    <row r="2061" spans="4:4" x14ac:dyDescent="0.25">
      <c r="D2061"/>
    </row>
    <row r="2062" spans="4:4" x14ac:dyDescent="0.25">
      <c r="D2062"/>
    </row>
    <row r="2063" spans="4:4" x14ac:dyDescent="0.25">
      <c r="D2063"/>
    </row>
    <row r="2064" spans="4:4" x14ac:dyDescent="0.25">
      <c r="D2064"/>
    </row>
    <row r="2065" spans="4:4" x14ac:dyDescent="0.25">
      <c r="D2065"/>
    </row>
    <row r="2066" spans="4:4" x14ac:dyDescent="0.25">
      <c r="D2066"/>
    </row>
    <row r="2067" spans="4:4" x14ac:dyDescent="0.25">
      <c r="D2067"/>
    </row>
    <row r="2068" spans="4:4" x14ac:dyDescent="0.25">
      <c r="D2068"/>
    </row>
    <row r="2069" spans="4:4" x14ac:dyDescent="0.25">
      <c r="D2069"/>
    </row>
    <row r="2070" spans="4:4" x14ac:dyDescent="0.25">
      <c r="D2070"/>
    </row>
    <row r="2071" spans="4:4" x14ac:dyDescent="0.25">
      <c r="D2071"/>
    </row>
    <row r="2072" spans="4:4" x14ac:dyDescent="0.25">
      <c r="D2072"/>
    </row>
    <row r="2073" spans="4:4" x14ac:dyDescent="0.25">
      <c r="D2073"/>
    </row>
    <row r="2074" spans="4:4" x14ac:dyDescent="0.25">
      <c r="D2074"/>
    </row>
    <row r="2075" spans="4:4" x14ac:dyDescent="0.25">
      <c r="D2075"/>
    </row>
    <row r="2076" spans="4:4" x14ac:dyDescent="0.25">
      <c r="D2076"/>
    </row>
    <row r="2077" spans="4:4" x14ac:dyDescent="0.25">
      <c r="D2077"/>
    </row>
    <row r="2078" spans="4:4" x14ac:dyDescent="0.25">
      <c r="D2078"/>
    </row>
    <row r="2079" spans="4:4" x14ac:dyDescent="0.25">
      <c r="D2079"/>
    </row>
    <row r="2080" spans="4:4" x14ac:dyDescent="0.25">
      <c r="D2080"/>
    </row>
    <row r="2081" spans="4:4" x14ac:dyDescent="0.25">
      <c r="D2081"/>
    </row>
    <row r="2082" spans="4:4" x14ac:dyDescent="0.25">
      <c r="D2082"/>
    </row>
    <row r="2083" spans="4:4" x14ac:dyDescent="0.25">
      <c r="D2083"/>
    </row>
    <row r="2084" spans="4:4" x14ac:dyDescent="0.25">
      <c r="D2084"/>
    </row>
    <row r="2085" spans="4:4" x14ac:dyDescent="0.25">
      <c r="D2085"/>
    </row>
    <row r="2086" spans="4:4" x14ac:dyDescent="0.25">
      <c r="D2086"/>
    </row>
    <row r="2087" spans="4:4" x14ac:dyDescent="0.25">
      <c r="D2087"/>
    </row>
    <row r="2088" spans="4:4" x14ac:dyDescent="0.25">
      <c r="D2088"/>
    </row>
    <row r="2089" spans="4:4" x14ac:dyDescent="0.25">
      <c r="D2089"/>
    </row>
    <row r="2090" spans="4:4" x14ac:dyDescent="0.25">
      <c r="D2090"/>
    </row>
    <row r="2091" spans="4:4" x14ac:dyDescent="0.25">
      <c r="D2091"/>
    </row>
    <row r="2092" spans="4:4" x14ac:dyDescent="0.25">
      <c r="D2092"/>
    </row>
    <row r="2093" spans="4:4" x14ac:dyDescent="0.25">
      <c r="D2093"/>
    </row>
    <row r="2094" spans="4:4" x14ac:dyDescent="0.25">
      <c r="D2094"/>
    </row>
    <row r="2095" spans="4:4" x14ac:dyDescent="0.25">
      <c r="D2095"/>
    </row>
    <row r="2096" spans="4:4" x14ac:dyDescent="0.25">
      <c r="D2096"/>
    </row>
    <row r="2097" spans="4:4" x14ac:dyDescent="0.25">
      <c r="D2097"/>
    </row>
    <row r="2098" spans="4:4" x14ac:dyDescent="0.25">
      <c r="D2098"/>
    </row>
    <row r="2099" spans="4:4" x14ac:dyDescent="0.25">
      <c r="D2099"/>
    </row>
    <row r="2100" spans="4:4" x14ac:dyDescent="0.25">
      <c r="D2100"/>
    </row>
    <row r="2101" spans="4:4" x14ac:dyDescent="0.25">
      <c r="D2101"/>
    </row>
    <row r="2102" spans="4:4" x14ac:dyDescent="0.25">
      <c r="D2102"/>
    </row>
    <row r="2103" spans="4:4" x14ac:dyDescent="0.25">
      <c r="D2103"/>
    </row>
    <row r="2104" spans="4:4" x14ac:dyDescent="0.25">
      <c r="D2104"/>
    </row>
    <row r="2105" spans="4:4" x14ac:dyDescent="0.25">
      <c r="D2105"/>
    </row>
    <row r="2106" spans="4:4" x14ac:dyDescent="0.25">
      <c r="D2106"/>
    </row>
    <row r="2107" spans="4:4" x14ac:dyDescent="0.25">
      <c r="D2107"/>
    </row>
    <row r="2108" spans="4:4" x14ac:dyDescent="0.25">
      <c r="D2108"/>
    </row>
    <row r="2109" spans="4:4" x14ac:dyDescent="0.25">
      <c r="D2109"/>
    </row>
    <row r="2110" spans="4:4" x14ac:dyDescent="0.25">
      <c r="D2110"/>
    </row>
    <row r="2111" spans="4:4" x14ac:dyDescent="0.25">
      <c r="D2111"/>
    </row>
    <row r="2112" spans="4:4" x14ac:dyDescent="0.25">
      <c r="D2112"/>
    </row>
    <row r="2113" spans="4:4" x14ac:dyDescent="0.25">
      <c r="D2113"/>
    </row>
    <row r="2114" spans="4:4" x14ac:dyDescent="0.25">
      <c r="D2114"/>
    </row>
    <row r="2115" spans="4:4" x14ac:dyDescent="0.25">
      <c r="D2115"/>
    </row>
    <row r="2116" spans="4:4" x14ac:dyDescent="0.25">
      <c r="D2116"/>
    </row>
    <row r="2117" spans="4:4" x14ac:dyDescent="0.25">
      <c r="D2117"/>
    </row>
    <row r="2118" spans="4:4" x14ac:dyDescent="0.25">
      <c r="D2118"/>
    </row>
    <row r="2119" spans="4:4" x14ac:dyDescent="0.25">
      <c r="D2119"/>
    </row>
    <row r="2120" spans="4:4" x14ac:dyDescent="0.25">
      <c r="D2120"/>
    </row>
    <row r="2121" spans="4:4" x14ac:dyDescent="0.25">
      <c r="D2121"/>
    </row>
    <row r="2122" spans="4:4" x14ac:dyDescent="0.25">
      <c r="D2122"/>
    </row>
    <row r="2123" spans="4:4" x14ac:dyDescent="0.25">
      <c r="D2123"/>
    </row>
    <row r="2124" spans="4:4" x14ac:dyDescent="0.25">
      <c r="D2124"/>
    </row>
    <row r="2125" spans="4:4" x14ac:dyDescent="0.25">
      <c r="D2125"/>
    </row>
    <row r="2126" spans="4:4" x14ac:dyDescent="0.25">
      <c r="D2126"/>
    </row>
    <row r="2127" spans="4:4" x14ac:dyDescent="0.25">
      <c r="D2127"/>
    </row>
    <row r="2128" spans="4:4" x14ac:dyDescent="0.25">
      <c r="D2128"/>
    </row>
    <row r="2129" spans="4:4" x14ac:dyDescent="0.25">
      <c r="D2129"/>
    </row>
    <row r="2130" spans="4:4" x14ac:dyDescent="0.25">
      <c r="D2130"/>
    </row>
    <row r="2131" spans="4:4" x14ac:dyDescent="0.25">
      <c r="D2131"/>
    </row>
    <row r="2132" spans="4:4" x14ac:dyDescent="0.25">
      <c r="D2132"/>
    </row>
    <row r="2133" spans="4:4" x14ac:dyDescent="0.25">
      <c r="D2133"/>
    </row>
    <row r="2134" spans="4:4" x14ac:dyDescent="0.25">
      <c r="D2134"/>
    </row>
    <row r="2135" spans="4:4" x14ac:dyDescent="0.25">
      <c r="D2135"/>
    </row>
    <row r="2136" spans="4:4" x14ac:dyDescent="0.25">
      <c r="D2136"/>
    </row>
    <row r="2137" spans="4:4" x14ac:dyDescent="0.25">
      <c r="D2137"/>
    </row>
    <row r="2138" spans="4:4" x14ac:dyDescent="0.25">
      <c r="D2138"/>
    </row>
    <row r="2139" spans="4:4" x14ac:dyDescent="0.25">
      <c r="D2139"/>
    </row>
    <row r="2140" spans="4:4" x14ac:dyDescent="0.25">
      <c r="D2140"/>
    </row>
    <row r="2141" spans="4:4" x14ac:dyDescent="0.25">
      <c r="D2141"/>
    </row>
    <row r="2142" spans="4:4" x14ac:dyDescent="0.25">
      <c r="D2142"/>
    </row>
    <row r="2143" spans="4:4" x14ac:dyDescent="0.25">
      <c r="D2143"/>
    </row>
    <row r="2144" spans="4:4" x14ac:dyDescent="0.25">
      <c r="D2144"/>
    </row>
    <row r="2145" spans="4:4" x14ac:dyDescent="0.25">
      <c r="D2145"/>
    </row>
    <row r="2146" spans="4:4" x14ac:dyDescent="0.25">
      <c r="D2146"/>
    </row>
    <row r="2147" spans="4:4" x14ac:dyDescent="0.25">
      <c r="D2147"/>
    </row>
    <row r="2148" spans="4:4" x14ac:dyDescent="0.25">
      <c r="D2148"/>
    </row>
    <row r="2149" spans="4:4" x14ac:dyDescent="0.25">
      <c r="D2149"/>
    </row>
    <row r="2150" spans="4:4" x14ac:dyDescent="0.25">
      <c r="D2150"/>
    </row>
    <row r="2151" spans="4:4" x14ac:dyDescent="0.25">
      <c r="D2151"/>
    </row>
    <row r="2152" spans="4:4" x14ac:dyDescent="0.25">
      <c r="D2152"/>
    </row>
    <row r="2153" spans="4:4" x14ac:dyDescent="0.25">
      <c r="D2153"/>
    </row>
    <row r="2154" spans="4:4" x14ac:dyDescent="0.25">
      <c r="D2154"/>
    </row>
    <row r="2155" spans="4:4" x14ac:dyDescent="0.25">
      <c r="D2155"/>
    </row>
    <row r="2156" spans="4:4" x14ac:dyDescent="0.25">
      <c r="D2156"/>
    </row>
    <row r="2157" spans="4:4" x14ac:dyDescent="0.25">
      <c r="D2157"/>
    </row>
    <row r="2158" spans="4:4" x14ac:dyDescent="0.25">
      <c r="D2158"/>
    </row>
    <row r="2159" spans="4:4" x14ac:dyDescent="0.25">
      <c r="D2159"/>
    </row>
    <row r="2160" spans="4:4" x14ac:dyDescent="0.25">
      <c r="D2160"/>
    </row>
    <row r="2161" spans="4:4" x14ac:dyDescent="0.25">
      <c r="D2161"/>
    </row>
    <row r="2162" spans="4:4" x14ac:dyDescent="0.25">
      <c r="D2162"/>
    </row>
    <row r="2163" spans="4:4" x14ac:dyDescent="0.25">
      <c r="D2163"/>
    </row>
    <row r="2164" spans="4:4" x14ac:dyDescent="0.25">
      <c r="D2164"/>
    </row>
    <row r="2165" spans="4:4" x14ac:dyDescent="0.25">
      <c r="D2165"/>
    </row>
    <row r="2166" spans="4:4" x14ac:dyDescent="0.25">
      <c r="D2166"/>
    </row>
    <row r="2167" spans="4:4" x14ac:dyDescent="0.25">
      <c r="D2167"/>
    </row>
    <row r="2168" spans="4:4" x14ac:dyDescent="0.25">
      <c r="D2168"/>
    </row>
    <row r="2169" spans="4:4" x14ac:dyDescent="0.25">
      <c r="D2169"/>
    </row>
    <row r="2170" spans="4:4" x14ac:dyDescent="0.25">
      <c r="D2170"/>
    </row>
    <row r="2171" spans="4:4" x14ac:dyDescent="0.25">
      <c r="D2171"/>
    </row>
    <row r="2172" spans="4:4" x14ac:dyDescent="0.25">
      <c r="D2172"/>
    </row>
    <row r="2173" spans="4:4" x14ac:dyDescent="0.25">
      <c r="D2173"/>
    </row>
    <row r="2174" spans="4:4" x14ac:dyDescent="0.25">
      <c r="D2174"/>
    </row>
    <row r="2175" spans="4:4" x14ac:dyDescent="0.25">
      <c r="D2175"/>
    </row>
    <row r="2176" spans="4:4" x14ac:dyDescent="0.25">
      <c r="D2176"/>
    </row>
    <row r="2177" spans="4:4" x14ac:dyDescent="0.25">
      <c r="D2177"/>
    </row>
    <row r="2178" spans="4:4" x14ac:dyDescent="0.25">
      <c r="D2178"/>
    </row>
    <row r="2179" spans="4:4" x14ac:dyDescent="0.25">
      <c r="D2179"/>
    </row>
    <row r="2180" spans="4:4" x14ac:dyDescent="0.25">
      <c r="D2180"/>
    </row>
    <row r="2181" spans="4:4" x14ac:dyDescent="0.25">
      <c r="D2181"/>
    </row>
    <row r="2182" spans="4:4" x14ac:dyDescent="0.25">
      <c r="D2182"/>
    </row>
    <row r="2183" spans="4:4" x14ac:dyDescent="0.25">
      <c r="D2183"/>
    </row>
    <row r="2184" spans="4:4" x14ac:dyDescent="0.25">
      <c r="D2184"/>
    </row>
    <row r="2185" spans="4:4" x14ac:dyDescent="0.25">
      <c r="D2185"/>
    </row>
    <row r="2186" spans="4:4" x14ac:dyDescent="0.25">
      <c r="D2186"/>
    </row>
    <row r="2187" spans="4:4" x14ac:dyDescent="0.25">
      <c r="D2187"/>
    </row>
    <row r="2188" spans="4:4" x14ac:dyDescent="0.25">
      <c r="D2188"/>
    </row>
    <row r="2189" spans="4:4" x14ac:dyDescent="0.25">
      <c r="D2189"/>
    </row>
    <row r="2190" spans="4:4" x14ac:dyDescent="0.25">
      <c r="D2190"/>
    </row>
    <row r="2191" spans="4:4" x14ac:dyDescent="0.25">
      <c r="D2191"/>
    </row>
    <row r="2192" spans="4:4" x14ac:dyDescent="0.25">
      <c r="D2192"/>
    </row>
    <row r="2193" spans="4:4" x14ac:dyDescent="0.25">
      <c r="D2193"/>
    </row>
    <row r="2194" spans="4:4" x14ac:dyDescent="0.25">
      <c r="D2194"/>
    </row>
    <row r="2195" spans="4:4" x14ac:dyDescent="0.25">
      <c r="D2195"/>
    </row>
    <row r="2196" spans="4:4" x14ac:dyDescent="0.25">
      <c r="D2196"/>
    </row>
    <row r="2197" spans="4:4" x14ac:dyDescent="0.25">
      <c r="D2197"/>
    </row>
    <row r="2198" spans="4:4" x14ac:dyDescent="0.25">
      <c r="D2198"/>
    </row>
    <row r="2199" spans="4:4" x14ac:dyDescent="0.25">
      <c r="D2199"/>
    </row>
    <row r="2200" spans="4:4" x14ac:dyDescent="0.25">
      <c r="D2200"/>
    </row>
    <row r="2201" spans="4:4" x14ac:dyDescent="0.25">
      <c r="D2201"/>
    </row>
    <row r="2202" spans="4:4" x14ac:dyDescent="0.25">
      <c r="D2202"/>
    </row>
    <row r="2203" spans="4:4" x14ac:dyDescent="0.25">
      <c r="D2203"/>
    </row>
    <row r="2204" spans="4:4" x14ac:dyDescent="0.25">
      <c r="D2204"/>
    </row>
    <row r="2205" spans="4:4" x14ac:dyDescent="0.25">
      <c r="D2205"/>
    </row>
    <row r="2206" spans="4:4" x14ac:dyDescent="0.25">
      <c r="D2206"/>
    </row>
    <row r="2207" spans="4:4" x14ac:dyDescent="0.25">
      <c r="D2207"/>
    </row>
    <row r="2208" spans="4:4" x14ac:dyDescent="0.25">
      <c r="D2208"/>
    </row>
    <row r="2209" spans="4:4" x14ac:dyDescent="0.25">
      <c r="D2209"/>
    </row>
    <row r="2210" spans="4:4" x14ac:dyDescent="0.25">
      <c r="D2210"/>
    </row>
    <row r="2211" spans="4:4" x14ac:dyDescent="0.25">
      <c r="D2211"/>
    </row>
    <row r="2212" spans="4:4" x14ac:dyDescent="0.25">
      <c r="D2212"/>
    </row>
    <row r="2213" spans="4:4" x14ac:dyDescent="0.25">
      <c r="D2213"/>
    </row>
    <row r="2214" spans="4:4" x14ac:dyDescent="0.25">
      <c r="D2214"/>
    </row>
    <row r="2215" spans="4:4" x14ac:dyDescent="0.25">
      <c r="D2215"/>
    </row>
    <row r="2216" spans="4:4" x14ac:dyDescent="0.25">
      <c r="D2216"/>
    </row>
    <row r="2217" spans="4:4" x14ac:dyDescent="0.25">
      <c r="D2217"/>
    </row>
    <row r="2218" spans="4:4" x14ac:dyDescent="0.25">
      <c r="D2218"/>
    </row>
    <row r="2219" spans="4:4" x14ac:dyDescent="0.25">
      <c r="D2219"/>
    </row>
    <row r="2220" spans="4:4" x14ac:dyDescent="0.25">
      <c r="D2220"/>
    </row>
    <row r="2221" spans="4:4" x14ac:dyDescent="0.25">
      <c r="D2221"/>
    </row>
    <row r="2222" spans="4:4" x14ac:dyDescent="0.25">
      <c r="D2222"/>
    </row>
    <row r="2223" spans="4:4" x14ac:dyDescent="0.25">
      <c r="D2223"/>
    </row>
    <row r="2224" spans="4:4" x14ac:dyDescent="0.25">
      <c r="D2224"/>
    </row>
    <row r="2225" spans="4:4" x14ac:dyDescent="0.25">
      <c r="D2225"/>
    </row>
    <row r="2226" spans="4:4" x14ac:dyDescent="0.25">
      <c r="D2226"/>
    </row>
    <row r="2227" spans="4:4" x14ac:dyDescent="0.25">
      <c r="D2227"/>
    </row>
    <row r="2228" spans="4:4" x14ac:dyDescent="0.25">
      <c r="D2228"/>
    </row>
    <row r="2229" spans="4:4" x14ac:dyDescent="0.25">
      <c r="D2229"/>
    </row>
    <row r="2230" spans="4:4" x14ac:dyDescent="0.25">
      <c r="D2230"/>
    </row>
    <row r="2231" spans="4:4" x14ac:dyDescent="0.25">
      <c r="D2231"/>
    </row>
    <row r="2232" spans="4:4" x14ac:dyDescent="0.25">
      <c r="D2232"/>
    </row>
    <row r="2233" spans="4:4" x14ac:dyDescent="0.25">
      <c r="D2233"/>
    </row>
    <row r="2234" spans="4:4" x14ac:dyDescent="0.25">
      <c r="D2234"/>
    </row>
    <row r="2235" spans="4:4" x14ac:dyDescent="0.25">
      <c r="D2235"/>
    </row>
    <row r="2236" spans="4:4" x14ac:dyDescent="0.25">
      <c r="D2236"/>
    </row>
    <row r="2237" spans="4:4" x14ac:dyDescent="0.25">
      <c r="D2237"/>
    </row>
    <row r="2238" spans="4:4" x14ac:dyDescent="0.25">
      <c r="D2238"/>
    </row>
    <row r="2239" spans="4:4" x14ac:dyDescent="0.25">
      <c r="D2239"/>
    </row>
    <row r="2240" spans="4:4" x14ac:dyDescent="0.25">
      <c r="D2240"/>
    </row>
    <row r="2241" spans="4:4" x14ac:dyDescent="0.25">
      <c r="D2241"/>
    </row>
    <row r="2242" spans="4:4" x14ac:dyDescent="0.25">
      <c r="D2242"/>
    </row>
    <row r="2243" spans="4:4" x14ac:dyDescent="0.25">
      <c r="D2243"/>
    </row>
    <row r="2244" spans="4:4" x14ac:dyDescent="0.25">
      <c r="D2244"/>
    </row>
    <row r="2245" spans="4:4" x14ac:dyDescent="0.25">
      <c r="D2245"/>
    </row>
    <row r="2246" spans="4:4" x14ac:dyDescent="0.25">
      <c r="D2246"/>
    </row>
    <row r="2247" spans="4:4" x14ac:dyDescent="0.25">
      <c r="D2247"/>
    </row>
    <row r="2248" spans="4:4" x14ac:dyDescent="0.25">
      <c r="D2248"/>
    </row>
    <row r="2249" spans="4:4" x14ac:dyDescent="0.25">
      <c r="D2249"/>
    </row>
    <row r="2250" spans="4:4" x14ac:dyDescent="0.25">
      <c r="D2250"/>
    </row>
    <row r="2251" spans="4:4" x14ac:dyDescent="0.25">
      <c r="D2251"/>
    </row>
    <row r="2252" spans="4:4" x14ac:dyDescent="0.25">
      <c r="D2252"/>
    </row>
    <row r="2253" spans="4:4" x14ac:dyDescent="0.25">
      <c r="D2253"/>
    </row>
    <row r="2254" spans="4:4" x14ac:dyDescent="0.25">
      <c r="D2254"/>
    </row>
    <row r="2255" spans="4:4" x14ac:dyDescent="0.25">
      <c r="D2255"/>
    </row>
    <row r="2256" spans="4:4" x14ac:dyDescent="0.25">
      <c r="D2256"/>
    </row>
    <row r="2257" spans="4:4" x14ac:dyDescent="0.25">
      <c r="D2257"/>
    </row>
    <row r="2258" spans="4:4" x14ac:dyDescent="0.25">
      <c r="D2258"/>
    </row>
    <row r="2259" spans="4:4" x14ac:dyDescent="0.25">
      <c r="D2259"/>
    </row>
    <row r="2260" spans="4:4" x14ac:dyDescent="0.25">
      <c r="D2260"/>
    </row>
    <row r="2261" spans="4:4" x14ac:dyDescent="0.25">
      <c r="D2261"/>
    </row>
    <row r="2262" spans="4:4" x14ac:dyDescent="0.25">
      <c r="D2262"/>
    </row>
    <row r="2263" spans="4:4" x14ac:dyDescent="0.25">
      <c r="D2263"/>
    </row>
    <row r="2264" spans="4:4" x14ac:dyDescent="0.25">
      <c r="D2264"/>
    </row>
    <row r="2265" spans="4:4" x14ac:dyDescent="0.25">
      <c r="D2265"/>
    </row>
    <row r="2266" spans="4:4" x14ac:dyDescent="0.25">
      <c r="D2266"/>
    </row>
    <row r="2267" spans="4:4" x14ac:dyDescent="0.25">
      <c r="D2267"/>
    </row>
    <row r="2268" spans="4:4" x14ac:dyDescent="0.25">
      <c r="D2268"/>
    </row>
    <row r="2269" spans="4:4" x14ac:dyDescent="0.25">
      <c r="D2269"/>
    </row>
    <row r="2270" spans="4:4" x14ac:dyDescent="0.25">
      <c r="D2270"/>
    </row>
    <row r="2271" spans="4:4" x14ac:dyDescent="0.25">
      <c r="D2271"/>
    </row>
    <row r="2272" spans="4:4" x14ac:dyDescent="0.25">
      <c r="D2272"/>
    </row>
    <row r="2273" spans="4:4" x14ac:dyDescent="0.25">
      <c r="D2273"/>
    </row>
    <row r="2274" spans="4:4" x14ac:dyDescent="0.25">
      <c r="D2274"/>
    </row>
    <row r="2275" spans="4:4" x14ac:dyDescent="0.25">
      <c r="D2275"/>
    </row>
    <row r="2276" spans="4:4" x14ac:dyDescent="0.25">
      <c r="D2276"/>
    </row>
    <row r="2277" spans="4:4" x14ac:dyDescent="0.25">
      <c r="D2277"/>
    </row>
    <row r="2278" spans="4:4" x14ac:dyDescent="0.25">
      <c r="D2278"/>
    </row>
    <row r="2279" spans="4:4" x14ac:dyDescent="0.25">
      <c r="D2279"/>
    </row>
    <row r="2280" spans="4:4" x14ac:dyDescent="0.25">
      <c r="D2280"/>
    </row>
    <row r="2281" spans="4:4" x14ac:dyDescent="0.25">
      <c r="D2281"/>
    </row>
    <row r="2282" spans="4:4" x14ac:dyDescent="0.25">
      <c r="D2282"/>
    </row>
    <row r="2283" spans="4:4" x14ac:dyDescent="0.25">
      <c r="D2283"/>
    </row>
    <row r="2284" spans="4:4" x14ac:dyDescent="0.25">
      <c r="D2284"/>
    </row>
    <row r="2285" spans="4:4" x14ac:dyDescent="0.25">
      <c r="D2285"/>
    </row>
    <row r="2286" spans="4:4" x14ac:dyDescent="0.25">
      <c r="D2286"/>
    </row>
    <row r="2287" spans="4:4" x14ac:dyDescent="0.25">
      <c r="D2287"/>
    </row>
    <row r="2288" spans="4:4" x14ac:dyDescent="0.25">
      <c r="D2288"/>
    </row>
    <row r="2289" spans="4:4" x14ac:dyDescent="0.25">
      <c r="D2289"/>
    </row>
    <row r="2290" spans="4:4" x14ac:dyDescent="0.25">
      <c r="D2290"/>
    </row>
    <row r="2291" spans="4:4" x14ac:dyDescent="0.25">
      <c r="D2291"/>
    </row>
    <row r="2292" spans="4:4" x14ac:dyDescent="0.25">
      <c r="D2292"/>
    </row>
    <row r="2293" spans="4:4" x14ac:dyDescent="0.25">
      <c r="D2293"/>
    </row>
    <row r="2294" spans="4:4" x14ac:dyDescent="0.25">
      <c r="D2294"/>
    </row>
    <row r="2295" spans="4:4" x14ac:dyDescent="0.25">
      <c r="D2295"/>
    </row>
    <row r="2296" spans="4:4" x14ac:dyDescent="0.25">
      <c r="D2296"/>
    </row>
    <row r="2297" spans="4:4" x14ac:dyDescent="0.25">
      <c r="D2297"/>
    </row>
    <row r="2298" spans="4:4" x14ac:dyDescent="0.25">
      <c r="D2298"/>
    </row>
    <row r="2299" spans="4:4" x14ac:dyDescent="0.25">
      <c r="D2299"/>
    </row>
    <row r="2300" spans="4:4" x14ac:dyDescent="0.25">
      <c r="D2300"/>
    </row>
    <row r="2301" spans="4:4" x14ac:dyDescent="0.25">
      <c r="D2301"/>
    </row>
    <row r="2302" spans="4:4" x14ac:dyDescent="0.25">
      <c r="D2302"/>
    </row>
    <row r="2303" spans="4:4" x14ac:dyDescent="0.25">
      <c r="D2303"/>
    </row>
    <row r="2304" spans="4:4" x14ac:dyDescent="0.25">
      <c r="D2304"/>
    </row>
    <row r="2305" spans="4:4" x14ac:dyDescent="0.25">
      <c r="D2305"/>
    </row>
    <row r="2306" spans="4:4" x14ac:dyDescent="0.25">
      <c r="D2306"/>
    </row>
    <row r="2307" spans="4:4" x14ac:dyDescent="0.25">
      <c r="D2307"/>
    </row>
    <row r="2308" spans="4:4" x14ac:dyDescent="0.25">
      <c r="D2308"/>
    </row>
    <row r="2309" spans="4:4" x14ac:dyDescent="0.25">
      <c r="D2309"/>
    </row>
    <row r="2310" spans="4:4" x14ac:dyDescent="0.25">
      <c r="D2310"/>
    </row>
    <row r="2311" spans="4:4" x14ac:dyDescent="0.25">
      <c r="D2311"/>
    </row>
    <row r="2312" spans="4:4" x14ac:dyDescent="0.25">
      <c r="D2312"/>
    </row>
    <row r="2313" spans="4:4" x14ac:dyDescent="0.25">
      <c r="D2313"/>
    </row>
    <row r="2314" spans="4:4" x14ac:dyDescent="0.25">
      <c r="D2314"/>
    </row>
    <row r="2315" spans="4:4" x14ac:dyDescent="0.25">
      <c r="D2315"/>
    </row>
    <row r="2316" spans="4:4" x14ac:dyDescent="0.25">
      <c r="D2316"/>
    </row>
    <row r="2317" spans="4:4" x14ac:dyDescent="0.25">
      <c r="D2317"/>
    </row>
    <row r="2318" spans="4:4" x14ac:dyDescent="0.25">
      <c r="D2318"/>
    </row>
    <row r="2319" spans="4:4" x14ac:dyDescent="0.25">
      <c r="D2319"/>
    </row>
    <row r="2320" spans="4:4" x14ac:dyDescent="0.25">
      <c r="D2320"/>
    </row>
    <row r="2321" spans="4:4" x14ac:dyDescent="0.25">
      <c r="D2321"/>
    </row>
    <row r="2322" spans="4:4" x14ac:dyDescent="0.25">
      <c r="D2322"/>
    </row>
    <row r="2323" spans="4:4" x14ac:dyDescent="0.25">
      <c r="D2323"/>
    </row>
    <row r="2324" spans="4:4" x14ac:dyDescent="0.25">
      <c r="D2324"/>
    </row>
    <row r="2325" spans="4:4" x14ac:dyDescent="0.25">
      <c r="D2325"/>
    </row>
    <row r="2326" spans="4:4" x14ac:dyDescent="0.25">
      <c r="D2326"/>
    </row>
    <row r="2327" spans="4:4" x14ac:dyDescent="0.25">
      <c r="D2327"/>
    </row>
    <row r="2328" spans="4:4" x14ac:dyDescent="0.25">
      <c r="D2328"/>
    </row>
    <row r="2329" spans="4:4" x14ac:dyDescent="0.25">
      <c r="D2329"/>
    </row>
    <row r="2330" spans="4:4" x14ac:dyDescent="0.25">
      <c r="D2330"/>
    </row>
    <row r="2331" spans="4:4" x14ac:dyDescent="0.25">
      <c r="D2331"/>
    </row>
    <row r="2332" spans="4:4" x14ac:dyDescent="0.25">
      <c r="D2332"/>
    </row>
    <row r="2333" spans="4:4" x14ac:dyDescent="0.25">
      <c r="D2333"/>
    </row>
    <row r="2334" spans="4:4" x14ac:dyDescent="0.25">
      <c r="D2334"/>
    </row>
    <row r="2335" spans="4:4" x14ac:dyDescent="0.25">
      <c r="D2335"/>
    </row>
    <row r="2336" spans="4:4" x14ac:dyDescent="0.25">
      <c r="D2336"/>
    </row>
    <row r="2337" spans="4:4" x14ac:dyDescent="0.25">
      <c r="D2337"/>
    </row>
    <row r="2338" spans="4:4" x14ac:dyDescent="0.25">
      <c r="D2338"/>
    </row>
    <row r="2339" spans="4:4" x14ac:dyDescent="0.25">
      <c r="D2339"/>
    </row>
    <row r="2340" spans="4:4" x14ac:dyDescent="0.25">
      <c r="D2340"/>
    </row>
    <row r="2341" spans="4:4" x14ac:dyDescent="0.25">
      <c r="D2341"/>
    </row>
    <row r="2342" spans="4:4" x14ac:dyDescent="0.25">
      <c r="D2342"/>
    </row>
    <row r="2343" spans="4:4" x14ac:dyDescent="0.25">
      <c r="D2343"/>
    </row>
    <row r="2344" spans="4:4" x14ac:dyDescent="0.25">
      <c r="D2344"/>
    </row>
    <row r="2345" spans="4:4" x14ac:dyDescent="0.25">
      <c r="D2345"/>
    </row>
    <row r="2346" spans="4:4" x14ac:dyDescent="0.25">
      <c r="D2346"/>
    </row>
    <row r="2347" spans="4:4" x14ac:dyDescent="0.25">
      <c r="D2347"/>
    </row>
    <row r="2348" spans="4:4" x14ac:dyDescent="0.25">
      <c r="D2348"/>
    </row>
    <row r="2349" spans="4:4" x14ac:dyDescent="0.25">
      <c r="D2349"/>
    </row>
    <row r="2350" spans="4:4" x14ac:dyDescent="0.25">
      <c r="D2350"/>
    </row>
    <row r="2351" spans="4:4" x14ac:dyDescent="0.25">
      <c r="D2351"/>
    </row>
    <row r="2352" spans="4:4" x14ac:dyDescent="0.25">
      <c r="D2352"/>
    </row>
    <row r="2353" spans="4:4" x14ac:dyDescent="0.25">
      <c r="D2353"/>
    </row>
    <row r="2354" spans="4:4" x14ac:dyDescent="0.25">
      <c r="D2354"/>
    </row>
    <row r="2355" spans="4:4" x14ac:dyDescent="0.25">
      <c r="D2355"/>
    </row>
    <row r="2356" spans="4:4" x14ac:dyDescent="0.25">
      <c r="D2356"/>
    </row>
    <row r="2357" spans="4:4" x14ac:dyDescent="0.25">
      <c r="D2357"/>
    </row>
    <row r="2358" spans="4:4" x14ac:dyDescent="0.25">
      <c r="D2358"/>
    </row>
    <row r="2359" spans="4:4" x14ac:dyDescent="0.25">
      <c r="D2359"/>
    </row>
    <row r="2360" spans="4:4" x14ac:dyDescent="0.25">
      <c r="D2360"/>
    </row>
    <row r="2361" spans="4:4" x14ac:dyDescent="0.25">
      <c r="D2361"/>
    </row>
    <row r="2362" spans="4:4" x14ac:dyDescent="0.25">
      <c r="D2362"/>
    </row>
    <row r="2363" spans="4:4" x14ac:dyDescent="0.25">
      <c r="D2363"/>
    </row>
    <row r="2364" spans="4:4" x14ac:dyDescent="0.25">
      <c r="D2364"/>
    </row>
    <row r="2365" spans="4:4" x14ac:dyDescent="0.25">
      <c r="D2365"/>
    </row>
    <row r="2366" spans="4:4" x14ac:dyDescent="0.25">
      <c r="D2366"/>
    </row>
    <row r="2367" spans="4:4" x14ac:dyDescent="0.25">
      <c r="D2367"/>
    </row>
    <row r="2368" spans="4:4" x14ac:dyDescent="0.25">
      <c r="D2368"/>
    </row>
    <row r="2369" spans="4:4" x14ac:dyDescent="0.25">
      <c r="D2369"/>
    </row>
    <row r="2370" spans="4:4" x14ac:dyDescent="0.25">
      <c r="D2370"/>
    </row>
    <row r="2371" spans="4:4" x14ac:dyDescent="0.25">
      <c r="D2371"/>
    </row>
    <row r="2372" spans="4:4" x14ac:dyDescent="0.25">
      <c r="D2372"/>
    </row>
    <row r="2373" spans="4:4" x14ac:dyDescent="0.25">
      <c r="D2373"/>
    </row>
    <row r="2374" spans="4:4" x14ac:dyDescent="0.25">
      <c r="D2374"/>
    </row>
    <row r="2375" spans="4:4" x14ac:dyDescent="0.25">
      <c r="D2375"/>
    </row>
    <row r="2376" spans="4:4" x14ac:dyDescent="0.25">
      <c r="D2376"/>
    </row>
    <row r="2377" spans="4:4" x14ac:dyDescent="0.25">
      <c r="D2377"/>
    </row>
    <row r="2378" spans="4:4" x14ac:dyDescent="0.25">
      <c r="D2378"/>
    </row>
    <row r="2379" spans="4:4" x14ac:dyDescent="0.25">
      <c r="D2379"/>
    </row>
    <row r="2380" spans="4:4" x14ac:dyDescent="0.25">
      <c r="D2380"/>
    </row>
    <row r="2381" spans="4:4" x14ac:dyDescent="0.25">
      <c r="D2381"/>
    </row>
    <row r="2382" spans="4:4" x14ac:dyDescent="0.25">
      <c r="D2382"/>
    </row>
    <row r="2383" spans="4:4" x14ac:dyDescent="0.25">
      <c r="D2383"/>
    </row>
    <row r="2384" spans="4:4" x14ac:dyDescent="0.25">
      <c r="D2384"/>
    </row>
    <row r="2385" spans="4:4" x14ac:dyDescent="0.25">
      <c r="D2385"/>
    </row>
    <row r="2386" spans="4:4" x14ac:dyDescent="0.25">
      <c r="D2386"/>
    </row>
    <row r="2387" spans="4:4" x14ac:dyDescent="0.25">
      <c r="D2387"/>
    </row>
    <row r="2388" spans="4:4" x14ac:dyDescent="0.25">
      <c r="D2388"/>
    </row>
    <row r="2389" spans="4:4" x14ac:dyDescent="0.25">
      <c r="D2389"/>
    </row>
    <row r="2390" spans="4:4" x14ac:dyDescent="0.25">
      <c r="D2390"/>
    </row>
    <row r="2391" spans="4:4" x14ac:dyDescent="0.25">
      <c r="D2391"/>
    </row>
    <row r="2392" spans="4:4" x14ac:dyDescent="0.25">
      <c r="D2392"/>
    </row>
    <row r="2393" spans="4:4" x14ac:dyDescent="0.25">
      <c r="D2393"/>
    </row>
    <row r="2394" spans="4:4" x14ac:dyDescent="0.25">
      <c r="D2394"/>
    </row>
    <row r="2395" spans="4:4" x14ac:dyDescent="0.25">
      <c r="D2395"/>
    </row>
    <row r="2396" spans="4:4" x14ac:dyDescent="0.25">
      <c r="D2396"/>
    </row>
    <row r="2397" spans="4:4" x14ac:dyDescent="0.25">
      <c r="D2397"/>
    </row>
    <row r="2398" spans="4:4" x14ac:dyDescent="0.25">
      <c r="D2398"/>
    </row>
    <row r="2399" spans="4:4" x14ac:dyDescent="0.25">
      <c r="D2399"/>
    </row>
    <row r="2400" spans="4:4" x14ac:dyDescent="0.25">
      <c r="D2400"/>
    </row>
    <row r="2401" spans="4:4" x14ac:dyDescent="0.25">
      <c r="D2401"/>
    </row>
    <row r="2402" spans="4:4" x14ac:dyDescent="0.25">
      <c r="D2402"/>
    </row>
    <row r="2403" spans="4:4" x14ac:dyDescent="0.25">
      <c r="D2403"/>
    </row>
    <row r="2404" spans="4:4" x14ac:dyDescent="0.25">
      <c r="D2404"/>
    </row>
    <row r="2405" spans="4:4" x14ac:dyDescent="0.25">
      <c r="D2405"/>
    </row>
    <row r="2406" spans="4:4" x14ac:dyDescent="0.25">
      <c r="D2406"/>
    </row>
    <row r="2407" spans="4:4" x14ac:dyDescent="0.25">
      <c r="D2407"/>
    </row>
    <row r="2408" spans="4:4" x14ac:dyDescent="0.25">
      <c r="D2408"/>
    </row>
    <row r="2409" spans="4:4" x14ac:dyDescent="0.25">
      <c r="D2409"/>
    </row>
    <row r="2410" spans="4:4" x14ac:dyDescent="0.25">
      <c r="D2410"/>
    </row>
    <row r="2411" spans="4:4" x14ac:dyDescent="0.25">
      <c r="D2411"/>
    </row>
    <row r="2412" spans="4:4" x14ac:dyDescent="0.25">
      <c r="D2412"/>
    </row>
    <row r="2413" spans="4:4" x14ac:dyDescent="0.25">
      <c r="D2413"/>
    </row>
    <row r="2414" spans="4:4" x14ac:dyDescent="0.25">
      <c r="D2414"/>
    </row>
    <row r="2415" spans="4:4" x14ac:dyDescent="0.25">
      <c r="D2415"/>
    </row>
    <row r="2416" spans="4:4" x14ac:dyDescent="0.25">
      <c r="D2416"/>
    </row>
    <row r="2417" spans="4:4" x14ac:dyDescent="0.25">
      <c r="D2417"/>
    </row>
    <row r="2418" spans="4:4" x14ac:dyDescent="0.25">
      <c r="D2418"/>
    </row>
    <row r="2419" spans="4:4" x14ac:dyDescent="0.25">
      <c r="D2419"/>
    </row>
    <row r="2420" spans="4:4" x14ac:dyDescent="0.25">
      <c r="D2420"/>
    </row>
    <row r="2421" spans="4:4" x14ac:dyDescent="0.25">
      <c r="D2421"/>
    </row>
    <row r="2422" spans="4:4" x14ac:dyDescent="0.25">
      <c r="D2422"/>
    </row>
    <row r="2423" spans="4:4" x14ac:dyDescent="0.25">
      <c r="D2423"/>
    </row>
    <row r="2424" spans="4:4" x14ac:dyDescent="0.25">
      <c r="D2424"/>
    </row>
    <row r="2425" spans="4:4" x14ac:dyDescent="0.25">
      <c r="D2425"/>
    </row>
    <row r="2426" spans="4:4" x14ac:dyDescent="0.25">
      <c r="D2426"/>
    </row>
    <row r="2427" spans="4:4" x14ac:dyDescent="0.25">
      <c r="D2427"/>
    </row>
    <row r="2428" spans="4:4" x14ac:dyDescent="0.25">
      <c r="D2428"/>
    </row>
    <row r="2429" spans="4:4" x14ac:dyDescent="0.25">
      <c r="D2429"/>
    </row>
    <row r="2430" spans="4:4" x14ac:dyDescent="0.25">
      <c r="D2430"/>
    </row>
    <row r="2431" spans="4:4" x14ac:dyDescent="0.25">
      <c r="D2431"/>
    </row>
    <row r="2432" spans="4:4" x14ac:dyDescent="0.25">
      <c r="D2432"/>
    </row>
    <row r="2433" spans="4:4" x14ac:dyDescent="0.25">
      <c r="D2433"/>
    </row>
    <row r="2434" spans="4:4" x14ac:dyDescent="0.25">
      <c r="D2434"/>
    </row>
    <row r="2435" spans="4:4" x14ac:dyDescent="0.25">
      <c r="D2435"/>
    </row>
    <row r="2436" spans="4:4" x14ac:dyDescent="0.25">
      <c r="D2436"/>
    </row>
    <row r="2437" spans="4:4" x14ac:dyDescent="0.25">
      <c r="D2437"/>
    </row>
    <row r="2438" spans="4:4" x14ac:dyDescent="0.25">
      <c r="D2438"/>
    </row>
    <row r="2439" spans="4:4" x14ac:dyDescent="0.25">
      <c r="D2439"/>
    </row>
    <row r="2440" spans="4:4" x14ac:dyDescent="0.25">
      <c r="D2440"/>
    </row>
    <row r="2441" spans="4:4" x14ac:dyDescent="0.25">
      <c r="D2441"/>
    </row>
    <row r="2442" spans="4:4" x14ac:dyDescent="0.25">
      <c r="D2442"/>
    </row>
    <row r="2443" spans="4:4" x14ac:dyDescent="0.25">
      <c r="D2443"/>
    </row>
    <row r="2444" spans="4:4" x14ac:dyDescent="0.25">
      <c r="D2444"/>
    </row>
    <row r="2445" spans="4:4" x14ac:dyDescent="0.25">
      <c r="D2445"/>
    </row>
    <row r="2446" spans="4:4" x14ac:dyDescent="0.25">
      <c r="D2446"/>
    </row>
    <row r="2447" spans="4:4" x14ac:dyDescent="0.25">
      <c r="D2447"/>
    </row>
    <row r="2448" spans="4:4" x14ac:dyDescent="0.25">
      <c r="D2448"/>
    </row>
    <row r="2449" spans="4:4" x14ac:dyDescent="0.25">
      <c r="D2449"/>
    </row>
    <row r="2450" spans="4:4" x14ac:dyDescent="0.25">
      <c r="D2450"/>
    </row>
    <row r="2451" spans="4:4" x14ac:dyDescent="0.25">
      <c r="D2451"/>
    </row>
    <row r="2452" spans="4:4" x14ac:dyDescent="0.25">
      <c r="D2452"/>
    </row>
    <row r="2453" spans="4:4" x14ac:dyDescent="0.25">
      <c r="D2453"/>
    </row>
    <row r="2454" spans="4:4" x14ac:dyDescent="0.25">
      <c r="D2454"/>
    </row>
    <row r="2455" spans="4:4" x14ac:dyDescent="0.25">
      <c r="D2455"/>
    </row>
    <row r="2456" spans="4:4" x14ac:dyDescent="0.25">
      <c r="D2456"/>
    </row>
    <row r="2457" spans="4:4" x14ac:dyDescent="0.25">
      <c r="D2457"/>
    </row>
    <row r="2458" spans="4:4" x14ac:dyDescent="0.25">
      <c r="D2458"/>
    </row>
    <row r="2459" spans="4:4" x14ac:dyDescent="0.25">
      <c r="D2459"/>
    </row>
    <row r="2460" spans="4:4" x14ac:dyDescent="0.25">
      <c r="D2460"/>
    </row>
    <row r="2461" spans="4:4" x14ac:dyDescent="0.25">
      <c r="D2461"/>
    </row>
    <row r="2462" spans="4:4" x14ac:dyDescent="0.25">
      <c r="D2462"/>
    </row>
    <row r="2463" spans="4:4" x14ac:dyDescent="0.25">
      <c r="D2463"/>
    </row>
    <row r="2464" spans="4:4" x14ac:dyDescent="0.25">
      <c r="D2464"/>
    </row>
    <row r="2465" spans="4:4" x14ac:dyDescent="0.25">
      <c r="D2465"/>
    </row>
    <row r="2466" spans="4:4" x14ac:dyDescent="0.25">
      <c r="D2466"/>
    </row>
    <row r="2467" spans="4:4" x14ac:dyDescent="0.25">
      <c r="D2467"/>
    </row>
    <row r="2468" spans="4:4" x14ac:dyDescent="0.25">
      <c r="D2468"/>
    </row>
    <row r="2469" spans="4:4" x14ac:dyDescent="0.25">
      <c r="D2469"/>
    </row>
    <row r="2470" spans="4:4" x14ac:dyDescent="0.25">
      <c r="D2470"/>
    </row>
    <row r="2471" spans="4:4" x14ac:dyDescent="0.25">
      <c r="D2471"/>
    </row>
    <row r="2472" spans="4:4" x14ac:dyDescent="0.25">
      <c r="D2472"/>
    </row>
    <row r="2473" spans="4:4" x14ac:dyDescent="0.25">
      <c r="D2473"/>
    </row>
    <row r="2474" spans="4:4" x14ac:dyDescent="0.25">
      <c r="D2474"/>
    </row>
    <row r="2475" spans="4:4" x14ac:dyDescent="0.25">
      <c r="D2475"/>
    </row>
    <row r="2476" spans="4:4" x14ac:dyDescent="0.25">
      <c r="D2476"/>
    </row>
    <row r="2477" spans="4:4" x14ac:dyDescent="0.25">
      <c r="D2477"/>
    </row>
    <row r="2478" spans="4:4" x14ac:dyDescent="0.25">
      <c r="D2478"/>
    </row>
    <row r="2479" spans="4:4" x14ac:dyDescent="0.25">
      <c r="D2479"/>
    </row>
    <row r="2480" spans="4:4" x14ac:dyDescent="0.25">
      <c r="D2480"/>
    </row>
    <row r="2481" spans="4:4" x14ac:dyDescent="0.25">
      <c r="D2481"/>
    </row>
    <row r="2482" spans="4:4" x14ac:dyDescent="0.25">
      <c r="D2482"/>
    </row>
    <row r="2483" spans="4:4" x14ac:dyDescent="0.25">
      <c r="D2483"/>
    </row>
    <row r="2484" spans="4:4" x14ac:dyDescent="0.25">
      <c r="D2484"/>
    </row>
    <row r="2485" spans="4:4" x14ac:dyDescent="0.25">
      <c r="D2485"/>
    </row>
    <row r="2486" spans="4:4" x14ac:dyDescent="0.25">
      <c r="D2486"/>
    </row>
    <row r="2487" spans="4:4" x14ac:dyDescent="0.25">
      <c r="D2487"/>
    </row>
    <row r="2488" spans="4:4" x14ac:dyDescent="0.25">
      <c r="D2488"/>
    </row>
    <row r="2489" spans="4:4" x14ac:dyDescent="0.25">
      <c r="D2489"/>
    </row>
    <row r="2490" spans="4:4" x14ac:dyDescent="0.25">
      <c r="D2490"/>
    </row>
    <row r="2491" spans="4:4" x14ac:dyDescent="0.25">
      <c r="D2491"/>
    </row>
    <row r="2492" spans="4:4" x14ac:dyDescent="0.25">
      <c r="D2492"/>
    </row>
    <row r="2493" spans="4:4" x14ac:dyDescent="0.25">
      <c r="D2493"/>
    </row>
    <row r="2494" spans="4:4" x14ac:dyDescent="0.25">
      <c r="D2494"/>
    </row>
    <row r="2495" spans="4:4" x14ac:dyDescent="0.25">
      <c r="D2495"/>
    </row>
    <row r="2496" spans="4:4" x14ac:dyDescent="0.25">
      <c r="D2496"/>
    </row>
    <row r="2497" spans="4:4" x14ac:dyDescent="0.25">
      <c r="D2497"/>
    </row>
    <row r="2498" spans="4:4" x14ac:dyDescent="0.25">
      <c r="D2498"/>
    </row>
    <row r="2499" spans="4:4" x14ac:dyDescent="0.25">
      <c r="D2499"/>
    </row>
    <row r="2500" spans="4:4" x14ac:dyDescent="0.25">
      <c r="D2500"/>
    </row>
    <row r="2501" spans="4:4" x14ac:dyDescent="0.25">
      <c r="D2501"/>
    </row>
    <row r="2502" spans="4:4" x14ac:dyDescent="0.25">
      <c r="D2502"/>
    </row>
    <row r="2503" spans="4:4" x14ac:dyDescent="0.25">
      <c r="D2503"/>
    </row>
    <row r="2504" spans="4:4" x14ac:dyDescent="0.25">
      <c r="D2504"/>
    </row>
    <row r="2505" spans="4:4" x14ac:dyDescent="0.25">
      <c r="D2505"/>
    </row>
    <row r="2506" spans="4:4" x14ac:dyDescent="0.25">
      <c r="D2506"/>
    </row>
    <row r="2507" spans="4:4" x14ac:dyDescent="0.25">
      <c r="D2507"/>
    </row>
    <row r="2508" spans="4:4" x14ac:dyDescent="0.25">
      <c r="D2508"/>
    </row>
    <row r="2509" spans="4:4" x14ac:dyDescent="0.25">
      <c r="D2509"/>
    </row>
    <row r="2510" spans="4:4" x14ac:dyDescent="0.25">
      <c r="D2510"/>
    </row>
    <row r="2511" spans="4:4" x14ac:dyDescent="0.25">
      <c r="D2511"/>
    </row>
    <row r="2512" spans="4:4" x14ac:dyDescent="0.25">
      <c r="D2512"/>
    </row>
    <row r="2513" spans="4:4" x14ac:dyDescent="0.25">
      <c r="D2513"/>
    </row>
    <row r="2514" spans="4:4" x14ac:dyDescent="0.25">
      <c r="D2514"/>
    </row>
    <row r="2515" spans="4:4" x14ac:dyDescent="0.25">
      <c r="D2515"/>
    </row>
    <row r="2516" spans="4:4" x14ac:dyDescent="0.25">
      <c r="D2516"/>
    </row>
    <row r="2517" spans="4:4" x14ac:dyDescent="0.25">
      <c r="D2517"/>
    </row>
    <row r="2518" spans="4:4" x14ac:dyDescent="0.25">
      <c r="D2518"/>
    </row>
    <row r="2519" spans="4:4" x14ac:dyDescent="0.25">
      <c r="D2519"/>
    </row>
    <row r="2520" spans="4:4" x14ac:dyDescent="0.25">
      <c r="D2520"/>
    </row>
    <row r="2521" spans="4:4" x14ac:dyDescent="0.25">
      <c r="D2521"/>
    </row>
    <row r="2522" spans="4:4" x14ac:dyDescent="0.25">
      <c r="D2522"/>
    </row>
    <row r="2523" spans="4:4" x14ac:dyDescent="0.25">
      <c r="D2523"/>
    </row>
    <row r="2524" spans="4:4" x14ac:dyDescent="0.25">
      <c r="D2524"/>
    </row>
    <row r="2525" spans="4:4" x14ac:dyDescent="0.25">
      <c r="D2525"/>
    </row>
    <row r="2526" spans="4:4" x14ac:dyDescent="0.25">
      <c r="D2526"/>
    </row>
    <row r="2527" spans="4:4" x14ac:dyDescent="0.25">
      <c r="D2527"/>
    </row>
    <row r="2528" spans="4:4" x14ac:dyDescent="0.25">
      <c r="D2528"/>
    </row>
    <row r="2529" spans="4:4" x14ac:dyDescent="0.25">
      <c r="D2529"/>
    </row>
    <row r="2530" spans="4:4" x14ac:dyDescent="0.25">
      <c r="D2530"/>
    </row>
    <row r="2531" spans="4:4" x14ac:dyDescent="0.25">
      <c r="D2531"/>
    </row>
    <row r="2532" spans="4:4" x14ac:dyDescent="0.25">
      <c r="D2532"/>
    </row>
    <row r="2533" spans="4:4" x14ac:dyDescent="0.25">
      <c r="D2533"/>
    </row>
    <row r="2534" spans="4:4" x14ac:dyDescent="0.25">
      <c r="D2534"/>
    </row>
    <row r="2535" spans="4:4" x14ac:dyDescent="0.25">
      <c r="D2535"/>
    </row>
    <row r="2536" spans="4:4" x14ac:dyDescent="0.25">
      <c r="D2536"/>
    </row>
    <row r="2537" spans="4:4" x14ac:dyDescent="0.25">
      <c r="D2537"/>
    </row>
    <row r="2538" spans="4:4" x14ac:dyDescent="0.25">
      <c r="D2538"/>
    </row>
    <row r="2539" spans="4:4" x14ac:dyDescent="0.25">
      <c r="D2539"/>
    </row>
    <row r="2540" spans="4:4" x14ac:dyDescent="0.25">
      <c r="D2540"/>
    </row>
    <row r="2541" spans="4:4" x14ac:dyDescent="0.25">
      <c r="D2541"/>
    </row>
    <row r="2542" spans="4:4" x14ac:dyDescent="0.25">
      <c r="D2542"/>
    </row>
    <row r="2543" spans="4:4" x14ac:dyDescent="0.25">
      <c r="D2543"/>
    </row>
    <row r="2544" spans="4:4" x14ac:dyDescent="0.25">
      <c r="D2544"/>
    </row>
    <row r="2545" spans="4:4" x14ac:dyDescent="0.25">
      <c r="D2545"/>
    </row>
    <row r="2546" spans="4:4" x14ac:dyDescent="0.25">
      <c r="D2546"/>
    </row>
    <row r="2547" spans="4:4" x14ac:dyDescent="0.25">
      <c r="D2547"/>
    </row>
    <row r="2548" spans="4:4" x14ac:dyDescent="0.25">
      <c r="D2548"/>
    </row>
    <row r="2549" spans="4:4" x14ac:dyDescent="0.25">
      <c r="D2549"/>
    </row>
    <row r="2550" spans="4:4" x14ac:dyDescent="0.25">
      <c r="D2550"/>
    </row>
    <row r="2551" spans="4:4" x14ac:dyDescent="0.25">
      <c r="D2551"/>
    </row>
    <row r="2552" spans="4:4" x14ac:dyDescent="0.25">
      <c r="D2552"/>
    </row>
    <row r="2553" spans="4:4" x14ac:dyDescent="0.25">
      <c r="D2553"/>
    </row>
    <row r="2554" spans="4:4" x14ac:dyDescent="0.25">
      <c r="D2554"/>
    </row>
    <row r="2555" spans="4:4" x14ac:dyDescent="0.25">
      <c r="D2555"/>
    </row>
    <row r="2556" spans="4:4" x14ac:dyDescent="0.25">
      <c r="D2556"/>
    </row>
    <row r="2557" spans="4:4" x14ac:dyDescent="0.25">
      <c r="D2557"/>
    </row>
    <row r="2558" spans="4:4" x14ac:dyDescent="0.25">
      <c r="D2558"/>
    </row>
    <row r="2559" spans="4:4" x14ac:dyDescent="0.25">
      <c r="D2559"/>
    </row>
    <row r="2560" spans="4:4" x14ac:dyDescent="0.25">
      <c r="D2560"/>
    </row>
    <row r="2561" spans="4:4" x14ac:dyDescent="0.25">
      <c r="D2561"/>
    </row>
    <row r="2562" spans="4:4" x14ac:dyDescent="0.25">
      <c r="D2562"/>
    </row>
    <row r="2563" spans="4:4" x14ac:dyDescent="0.25">
      <c r="D2563"/>
    </row>
    <row r="2564" spans="4:4" x14ac:dyDescent="0.25">
      <c r="D2564"/>
    </row>
    <row r="2565" spans="4:4" x14ac:dyDescent="0.25">
      <c r="D2565"/>
    </row>
    <row r="2566" spans="4:4" x14ac:dyDescent="0.25">
      <c r="D2566"/>
    </row>
    <row r="2567" spans="4:4" x14ac:dyDescent="0.25">
      <c r="D2567"/>
    </row>
    <row r="2568" spans="4:4" x14ac:dyDescent="0.25">
      <c r="D2568"/>
    </row>
    <row r="2569" spans="4:4" x14ac:dyDescent="0.25">
      <c r="D2569"/>
    </row>
    <row r="2570" spans="4:4" x14ac:dyDescent="0.25">
      <c r="D2570"/>
    </row>
    <row r="2571" spans="4:4" x14ac:dyDescent="0.25">
      <c r="D2571"/>
    </row>
    <row r="2572" spans="4:4" x14ac:dyDescent="0.25">
      <c r="D2572"/>
    </row>
    <row r="2573" spans="4:4" x14ac:dyDescent="0.25">
      <c r="D2573"/>
    </row>
    <row r="2574" spans="4:4" x14ac:dyDescent="0.25">
      <c r="D2574"/>
    </row>
    <row r="2575" spans="4:4" x14ac:dyDescent="0.25">
      <c r="D2575"/>
    </row>
    <row r="2576" spans="4:4" x14ac:dyDescent="0.25">
      <c r="D2576"/>
    </row>
    <row r="2577" spans="4:4" x14ac:dyDescent="0.25">
      <c r="D2577"/>
    </row>
    <row r="2578" spans="4:4" x14ac:dyDescent="0.25">
      <c r="D2578"/>
    </row>
    <row r="2579" spans="4:4" x14ac:dyDescent="0.25">
      <c r="D2579"/>
    </row>
    <row r="2580" spans="4:4" x14ac:dyDescent="0.25">
      <c r="D2580"/>
    </row>
    <row r="2581" spans="4:4" x14ac:dyDescent="0.25">
      <c r="D2581"/>
    </row>
    <row r="2582" spans="4:4" x14ac:dyDescent="0.25">
      <c r="D2582"/>
    </row>
    <row r="2583" spans="4:4" x14ac:dyDescent="0.25">
      <c r="D2583"/>
    </row>
    <row r="2584" spans="4:4" x14ac:dyDescent="0.25">
      <c r="D2584"/>
    </row>
    <row r="2585" spans="4:4" x14ac:dyDescent="0.25">
      <c r="D2585"/>
    </row>
    <row r="2586" spans="4:4" x14ac:dyDescent="0.25">
      <c r="D2586"/>
    </row>
    <row r="2587" spans="4:4" x14ac:dyDescent="0.25">
      <c r="D2587"/>
    </row>
    <row r="2588" spans="4:4" x14ac:dyDescent="0.25">
      <c r="D2588"/>
    </row>
    <row r="2589" spans="4:4" x14ac:dyDescent="0.25">
      <c r="D2589"/>
    </row>
    <row r="2590" spans="4:4" x14ac:dyDescent="0.25">
      <c r="D2590"/>
    </row>
    <row r="2591" spans="4:4" x14ac:dyDescent="0.25">
      <c r="D2591"/>
    </row>
    <row r="2592" spans="4:4" x14ac:dyDescent="0.25">
      <c r="D2592"/>
    </row>
    <row r="2593" spans="4:4" x14ac:dyDescent="0.25">
      <c r="D2593"/>
    </row>
    <row r="2594" spans="4:4" x14ac:dyDescent="0.25">
      <c r="D2594"/>
    </row>
    <row r="2595" spans="4:4" x14ac:dyDescent="0.25">
      <c r="D2595"/>
    </row>
    <row r="2596" spans="4:4" x14ac:dyDescent="0.25">
      <c r="D2596"/>
    </row>
    <row r="2597" spans="4:4" x14ac:dyDescent="0.25">
      <c r="D2597"/>
    </row>
    <row r="2598" spans="4:4" x14ac:dyDescent="0.25">
      <c r="D2598"/>
    </row>
    <row r="2599" spans="4:4" x14ac:dyDescent="0.25">
      <c r="D2599"/>
    </row>
    <row r="2600" spans="4:4" x14ac:dyDescent="0.25">
      <c r="D2600"/>
    </row>
    <row r="2601" spans="4:4" x14ac:dyDescent="0.25">
      <c r="D2601"/>
    </row>
    <row r="2602" spans="4:4" x14ac:dyDescent="0.25">
      <c r="D2602"/>
    </row>
    <row r="2603" spans="4:4" x14ac:dyDescent="0.25">
      <c r="D2603"/>
    </row>
    <row r="2604" spans="4:4" x14ac:dyDescent="0.25">
      <c r="D2604"/>
    </row>
    <row r="2605" spans="4:4" x14ac:dyDescent="0.25">
      <c r="D2605"/>
    </row>
    <row r="2606" spans="4:4" x14ac:dyDescent="0.25">
      <c r="D2606"/>
    </row>
    <row r="2607" spans="4:4" x14ac:dyDescent="0.25">
      <c r="D2607"/>
    </row>
    <row r="2608" spans="4:4" x14ac:dyDescent="0.25">
      <c r="D2608"/>
    </row>
    <row r="2609" spans="4:4" x14ac:dyDescent="0.25">
      <c r="D2609"/>
    </row>
    <row r="2610" spans="4:4" x14ac:dyDescent="0.25">
      <c r="D2610"/>
    </row>
    <row r="2611" spans="4:4" x14ac:dyDescent="0.25">
      <c r="D2611"/>
    </row>
    <row r="2612" spans="4:4" x14ac:dyDescent="0.25">
      <c r="D2612"/>
    </row>
    <row r="2613" spans="4:4" x14ac:dyDescent="0.25">
      <c r="D2613"/>
    </row>
    <row r="2614" spans="4:4" x14ac:dyDescent="0.25">
      <c r="D2614"/>
    </row>
    <row r="2615" spans="4:4" x14ac:dyDescent="0.25">
      <c r="D2615"/>
    </row>
    <row r="2616" spans="4:4" x14ac:dyDescent="0.25">
      <c r="D2616"/>
    </row>
    <row r="2617" spans="4:4" x14ac:dyDescent="0.25">
      <c r="D2617"/>
    </row>
    <row r="2618" spans="4:4" x14ac:dyDescent="0.25">
      <c r="D2618"/>
    </row>
    <row r="2619" spans="4:4" x14ac:dyDescent="0.25">
      <c r="D2619"/>
    </row>
    <row r="2620" spans="4:4" x14ac:dyDescent="0.25">
      <c r="D2620"/>
    </row>
    <row r="2621" spans="4:4" x14ac:dyDescent="0.25">
      <c r="D2621"/>
    </row>
    <row r="2622" spans="4:4" x14ac:dyDescent="0.25">
      <c r="D2622"/>
    </row>
    <row r="2623" spans="4:4" x14ac:dyDescent="0.25">
      <c r="D2623"/>
    </row>
    <row r="2624" spans="4:4" x14ac:dyDescent="0.25">
      <c r="D2624"/>
    </row>
    <row r="2625" spans="4:4" x14ac:dyDescent="0.25">
      <c r="D2625"/>
    </row>
    <row r="2626" spans="4:4" x14ac:dyDescent="0.25">
      <c r="D2626"/>
    </row>
    <row r="2627" spans="4:4" x14ac:dyDescent="0.25">
      <c r="D2627"/>
    </row>
    <row r="2628" spans="4:4" x14ac:dyDescent="0.25">
      <c r="D2628"/>
    </row>
    <row r="2629" spans="4:4" x14ac:dyDescent="0.25">
      <c r="D2629"/>
    </row>
    <row r="2630" spans="4:4" x14ac:dyDescent="0.25">
      <c r="D2630"/>
    </row>
    <row r="2631" spans="4:4" x14ac:dyDescent="0.25">
      <c r="D2631"/>
    </row>
    <row r="2632" spans="4:4" x14ac:dyDescent="0.25">
      <c r="D2632"/>
    </row>
    <row r="2633" spans="4:4" x14ac:dyDescent="0.25">
      <c r="D2633"/>
    </row>
    <row r="2634" spans="4:4" x14ac:dyDescent="0.25">
      <c r="D2634"/>
    </row>
    <row r="2635" spans="4:4" x14ac:dyDescent="0.25">
      <c r="D2635"/>
    </row>
    <row r="2636" spans="4:4" x14ac:dyDescent="0.25">
      <c r="D2636"/>
    </row>
    <row r="2637" spans="4:4" x14ac:dyDescent="0.25">
      <c r="D2637"/>
    </row>
    <row r="2638" spans="4:4" x14ac:dyDescent="0.25">
      <c r="D2638"/>
    </row>
    <row r="2639" spans="4:4" x14ac:dyDescent="0.25">
      <c r="D2639"/>
    </row>
    <row r="2640" spans="4:4" x14ac:dyDescent="0.25">
      <c r="D2640"/>
    </row>
    <row r="2641" spans="4:4" x14ac:dyDescent="0.25">
      <c r="D2641"/>
    </row>
    <row r="2642" spans="4:4" x14ac:dyDescent="0.25">
      <c r="D2642"/>
    </row>
    <row r="2643" spans="4:4" x14ac:dyDescent="0.25">
      <c r="D2643"/>
    </row>
    <row r="2644" spans="4:4" x14ac:dyDescent="0.25">
      <c r="D2644"/>
    </row>
    <row r="2645" spans="4:4" x14ac:dyDescent="0.25">
      <c r="D2645"/>
    </row>
    <row r="2646" spans="4:4" x14ac:dyDescent="0.25">
      <c r="D2646"/>
    </row>
    <row r="2647" spans="4:4" x14ac:dyDescent="0.25">
      <c r="D2647"/>
    </row>
    <row r="2648" spans="4:4" x14ac:dyDescent="0.25">
      <c r="D2648"/>
    </row>
    <row r="2649" spans="4:4" x14ac:dyDescent="0.25">
      <c r="D2649"/>
    </row>
    <row r="2650" spans="4:4" x14ac:dyDescent="0.25">
      <c r="D2650"/>
    </row>
    <row r="2651" spans="4:4" x14ac:dyDescent="0.25">
      <c r="D2651"/>
    </row>
    <row r="2652" spans="4:4" x14ac:dyDescent="0.25">
      <c r="D2652"/>
    </row>
    <row r="2653" spans="4:4" x14ac:dyDescent="0.25">
      <c r="D2653"/>
    </row>
    <row r="2654" spans="4:4" x14ac:dyDescent="0.25">
      <c r="D2654"/>
    </row>
    <row r="2655" spans="4:4" x14ac:dyDescent="0.25">
      <c r="D2655"/>
    </row>
    <row r="2656" spans="4:4" x14ac:dyDescent="0.25">
      <c r="D2656"/>
    </row>
    <row r="2657" spans="4:4" x14ac:dyDescent="0.25">
      <c r="D2657"/>
    </row>
    <row r="2658" spans="4:4" x14ac:dyDescent="0.25">
      <c r="D2658"/>
    </row>
    <row r="2659" spans="4:4" x14ac:dyDescent="0.25">
      <c r="D2659"/>
    </row>
    <row r="2660" spans="4:4" x14ac:dyDescent="0.25">
      <c r="D2660"/>
    </row>
    <row r="2661" spans="4:4" x14ac:dyDescent="0.25">
      <c r="D2661"/>
    </row>
    <row r="2662" spans="4:4" x14ac:dyDescent="0.25">
      <c r="D2662"/>
    </row>
    <row r="2663" spans="4:4" x14ac:dyDescent="0.25">
      <c r="D2663"/>
    </row>
    <row r="2664" spans="4:4" x14ac:dyDescent="0.25">
      <c r="D2664"/>
    </row>
    <row r="2665" spans="4:4" x14ac:dyDescent="0.25">
      <c r="D2665"/>
    </row>
    <row r="2666" spans="4:4" x14ac:dyDescent="0.25">
      <c r="D2666"/>
    </row>
    <row r="2667" spans="4:4" x14ac:dyDescent="0.25">
      <c r="D2667"/>
    </row>
    <row r="2668" spans="4:4" x14ac:dyDescent="0.25">
      <c r="D2668"/>
    </row>
    <row r="2669" spans="4:4" x14ac:dyDescent="0.25">
      <c r="D2669"/>
    </row>
    <row r="2670" spans="4:4" x14ac:dyDescent="0.25">
      <c r="D2670"/>
    </row>
    <row r="2671" spans="4:4" x14ac:dyDescent="0.25">
      <c r="D2671"/>
    </row>
    <row r="2672" spans="4:4" x14ac:dyDescent="0.25">
      <c r="D2672"/>
    </row>
    <row r="2673" spans="4:4" x14ac:dyDescent="0.25">
      <c r="D2673"/>
    </row>
    <row r="2674" spans="4:4" x14ac:dyDescent="0.25">
      <c r="D2674"/>
    </row>
    <row r="2675" spans="4:4" x14ac:dyDescent="0.25">
      <c r="D2675"/>
    </row>
    <row r="2676" spans="4:4" x14ac:dyDescent="0.25">
      <c r="D2676"/>
    </row>
    <row r="2677" spans="4:4" x14ac:dyDescent="0.25">
      <c r="D2677"/>
    </row>
    <row r="2678" spans="4:4" x14ac:dyDescent="0.25">
      <c r="D2678"/>
    </row>
    <row r="2679" spans="4:4" x14ac:dyDescent="0.25">
      <c r="D2679"/>
    </row>
    <row r="2680" spans="4:4" x14ac:dyDescent="0.25">
      <c r="D2680"/>
    </row>
    <row r="2681" spans="4:4" x14ac:dyDescent="0.25">
      <c r="D2681"/>
    </row>
    <row r="2682" spans="4:4" x14ac:dyDescent="0.25">
      <c r="D2682"/>
    </row>
    <row r="2683" spans="4:4" x14ac:dyDescent="0.25">
      <c r="D2683"/>
    </row>
    <row r="2684" spans="4:4" x14ac:dyDescent="0.25">
      <c r="D2684"/>
    </row>
    <row r="2685" spans="4:4" x14ac:dyDescent="0.25">
      <c r="D2685"/>
    </row>
    <row r="2686" spans="4:4" x14ac:dyDescent="0.25">
      <c r="D2686"/>
    </row>
    <row r="2687" spans="4:4" x14ac:dyDescent="0.25">
      <c r="D2687"/>
    </row>
    <row r="2688" spans="4:4" x14ac:dyDescent="0.25">
      <c r="D2688"/>
    </row>
    <row r="2689" spans="4:4" x14ac:dyDescent="0.25">
      <c r="D2689"/>
    </row>
    <row r="2690" spans="4:4" x14ac:dyDescent="0.25">
      <c r="D2690"/>
    </row>
    <row r="2691" spans="4:4" x14ac:dyDescent="0.25">
      <c r="D2691"/>
    </row>
    <row r="2692" spans="4:4" x14ac:dyDescent="0.25">
      <c r="D2692"/>
    </row>
    <row r="2693" spans="4:4" x14ac:dyDescent="0.25">
      <c r="D2693"/>
    </row>
    <row r="2694" spans="4:4" x14ac:dyDescent="0.25">
      <c r="D2694"/>
    </row>
    <row r="2695" spans="4:4" x14ac:dyDescent="0.25">
      <c r="D2695"/>
    </row>
    <row r="2696" spans="4:4" x14ac:dyDescent="0.25">
      <c r="D2696"/>
    </row>
    <row r="2697" spans="4:4" x14ac:dyDescent="0.25">
      <c r="D2697"/>
    </row>
    <row r="2698" spans="4:4" x14ac:dyDescent="0.25">
      <c r="D2698"/>
    </row>
    <row r="2699" spans="4:4" x14ac:dyDescent="0.25">
      <c r="D2699"/>
    </row>
    <row r="2700" spans="4:4" x14ac:dyDescent="0.25">
      <c r="D2700"/>
    </row>
    <row r="2701" spans="4:4" x14ac:dyDescent="0.25">
      <c r="D2701"/>
    </row>
    <row r="2702" spans="4:4" x14ac:dyDescent="0.25">
      <c r="D2702"/>
    </row>
    <row r="2703" spans="4:4" x14ac:dyDescent="0.25">
      <c r="D2703"/>
    </row>
    <row r="2704" spans="4:4" x14ac:dyDescent="0.25">
      <c r="D2704"/>
    </row>
    <row r="2705" spans="4:4" x14ac:dyDescent="0.25">
      <c r="D2705"/>
    </row>
    <row r="2706" spans="4:4" x14ac:dyDescent="0.25">
      <c r="D2706"/>
    </row>
    <row r="2707" spans="4:4" x14ac:dyDescent="0.25">
      <c r="D2707"/>
    </row>
    <row r="2708" spans="4:4" x14ac:dyDescent="0.25">
      <c r="D2708"/>
    </row>
    <row r="2709" spans="4:4" x14ac:dyDescent="0.25">
      <c r="D2709"/>
    </row>
    <row r="2710" spans="4:4" x14ac:dyDescent="0.25">
      <c r="D2710"/>
    </row>
    <row r="2711" spans="4:4" x14ac:dyDescent="0.25">
      <c r="D2711"/>
    </row>
    <row r="2712" spans="4:4" x14ac:dyDescent="0.25">
      <c r="D2712"/>
    </row>
    <row r="2713" spans="4:4" x14ac:dyDescent="0.25">
      <c r="D2713"/>
    </row>
    <row r="2714" spans="4:4" x14ac:dyDescent="0.25">
      <c r="D2714"/>
    </row>
    <row r="2715" spans="4:4" x14ac:dyDescent="0.25">
      <c r="D2715"/>
    </row>
    <row r="2716" spans="4:4" x14ac:dyDescent="0.25">
      <c r="D2716"/>
    </row>
    <row r="2717" spans="4:4" x14ac:dyDescent="0.25">
      <c r="D2717"/>
    </row>
    <row r="2718" spans="4:4" x14ac:dyDescent="0.25">
      <c r="D2718"/>
    </row>
    <row r="2719" spans="4:4" x14ac:dyDescent="0.25">
      <c r="D2719"/>
    </row>
    <row r="2720" spans="4:4" x14ac:dyDescent="0.25">
      <c r="D2720"/>
    </row>
    <row r="2721" spans="4:4" x14ac:dyDescent="0.25">
      <c r="D2721"/>
    </row>
    <row r="2722" spans="4:4" x14ac:dyDescent="0.25">
      <c r="D2722"/>
    </row>
    <row r="2723" spans="4:4" x14ac:dyDescent="0.25">
      <c r="D2723"/>
    </row>
    <row r="2724" spans="4:4" x14ac:dyDescent="0.25">
      <c r="D2724"/>
    </row>
    <row r="2725" spans="4:4" x14ac:dyDescent="0.25">
      <c r="D2725"/>
    </row>
    <row r="2726" spans="4:4" x14ac:dyDescent="0.25">
      <c r="D2726"/>
    </row>
    <row r="2727" spans="4:4" x14ac:dyDescent="0.25">
      <c r="D2727"/>
    </row>
    <row r="2728" spans="4:4" x14ac:dyDescent="0.25">
      <c r="D2728"/>
    </row>
    <row r="2729" spans="4:4" x14ac:dyDescent="0.25">
      <c r="D2729"/>
    </row>
    <row r="2730" spans="4:4" x14ac:dyDescent="0.25">
      <c r="D2730"/>
    </row>
    <row r="2731" spans="4:4" x14ac:dyDescent="0.25">
      <c r="D2731"/>
    </row>
    <row r="2732" spans="4:4" x14ac:dyDescent="0.25">
      <c r="D2732"/>
    </row>
    <row r="2733" spans="4:4" x14ac:dyDescent="0.25">
      <c r="D2733"/>
    </row>
    <row r="2734" spans="4:4" x14ac:dyDescent="0.25">
      <c r="D2734"/>
    </row>
    <row r="2735" spans="4:4" x14ac:dyDescent="0.25">
      <c r="D2735"/>
    </row>
    <row r="2736" spans="4:4" x14ac:dyDescent="0.25">
      <c r="D2736"/>
    </row>
    <row r="2737" spans="4:4" x14ac:dyDescent="0.25">
      <c r="D2737"/>
    </row>
    <row r="2738" spans="4:4" x14ac:dyDescent="0.25">
      <c r="D2738"/>
    </row>
    <row r="2739" spans="4:4" x14ac:dyDescent="0.25">
      <c r="D2739"/>
    </row>
    <row r="2740" spans="4:4" x14ac:dyDescent="0.25">
      <c r="D2740"/>
    </row>
    <row r="2741" spans="4:4" x14ac:dyDescent="0.25">
      <c r="D2741"/>
    </row>
    <row r="2742" spans="4:4" x14ac:dyDescent="0.25">
      <c r="D2742"/>
    </row>
    <row r="2743" spans="4:4" x14ac:dyDescent="0.25">
      <c r="D2743"/>
    </row>
    <row r="2744" spans="4:4" x14ac:dyDescent="0.25">
      <c r="D2744"/>
    </row>
    <row r="2745" spans="4:4" x14ac:dyDescent="0.25">
      <c r="D2745"/>
    </row>
    <row r="2746" spans="4:4" x14ac:dyDescent="0.25">
      <c r="D2746"/>
    </row>
    <row r="2747" spans="4:4" x14ac:dyDescent="0.25">
      <c r="D2747"/>
    </row>
    <row r="2748" spans="4:4" x14ac:dyDescent="0.25">
      <c r="D2748"/>
    </row>
    <row r="2749" spans="4:4" x14ac:dyDescent="0.25">
      <c r="D2749"/>
    </row>
    <row r="2750" spans="4:4" x14ac:dyDescent="0.25">
      <c r="D2750"/>
    </row>
    <row r="2751" spans="4:4" x14ac:dyDescent="0.25">
      <c r="D2751"/>
    </row>
    <row r="2752" spans="4:4" x14ac:dyDescent="0.25">
      <c r="D2752"/>
    </row>
    <row r="2753" spans="4:4" x14ac:dyDescent="0.25">
      <c r="D2753"/>
    </row>
    <row r="2754" spans="4:4" x14ac:dyDescent="0.25">
      <c r="D2754"/>
    </row>
    <row r="2755" spans="4:4" x14ac:dyDescent="0.25">
      <c r="D2755"/>
    </row>
    <row r="2756" spans="4:4" x14ac:dyDescent="0.25">
      <c r="D2756"/>
    </row>
    <row r="2757" spans="4:4" x14ac:dyDescent="0.25">
      <c r="D2757"/>
    </row>
    <row r="2758" spans="4:4" x14ac:dyDescent="0.25">
      <c r="D2758"/>
    </row>
    <row r="2759" spans="4:4" x14ac:dyDescent="0.25">
      <c r="D2759"/>
    </row>
    <row r="2760" spans="4:4" x14ac:dyDescent="0.25">
      <c r="D2760"/>
    </row>
    <row r="2761" spans="4:4" x14ac:dyDescent="0.25">
      <c r="D2761"/>
    </row>
    <row r="2762" spans="4:4" x14ac:dyDescent="0.25">
      <c r="D2762"/>
    </row>
    <row r="2763" spans="4:4" x14ac:dyDescent="0.25">
      <c r="D2763"/>
    </row>
    <row r="2764" spans="4:4" x14ac:dyDescent="0.25">
      <c r="D2764"/>
    </row>
    <row r="2765" spans="4:4" x14ac:dyDescent="0.25">
      <c r="D2765"/>
    </row>
    <row r="2766" spans="4:4" x14ac:dyDescent="0.25">
      <c r="D2766"/>
    </row>
    <row r="2767" spans="4:4" x14ac:dyDescent="0.25">
      <c r="D2767"/>
    </row>
    <row r="2768" spans="4:4" x14ac:dyDescent="0.25">
      <c r="D2768"/>
    </row>
    <row r="2769" spans="4:4" x14ac:dyDescent="0.25">
      <c r="D2769"/>
    </row>
    <row r="2770" spans="4:4" x14ac:dyDescent="0.25">
      <c r="D2770"/>
    </row>
    <row r="2771" spans="4:4" x14ac:dyDescent="0.25">
      <c r="D2771"/>
    </row>
    <row r="2772" spans="4:4" x14ac:dyDescent="0.25">
      <c r="D2772"/>
    </row>
    <row r="2773" spans="4:4" x14ac:dyDescent="0.25">
      <c r="D2773"/>
    </row>
    <row r="2774" spans="4:4" x14ac:dyDescent="0.25">
      <c r="D2774"/>
    </row>
    <row r="2775" spans="4:4" x14ac:dyDescent="0.25">
      <c r="D2775"/>
    </row>
    <row r="2776" spans="4:4" x14ac:dyDescent="0.25">
      <c r="D2776"/>
    </row>
    <row r="2777" spans="4:4" x14ac:dyDescent="0.25">
      <c r="D2777"/>
    </row>
    <row r="2778" spans="4:4" x14ac:dyDescent="0.25">
      <c r="D2778"/>
    </row>
    <row r="2779" spans="4:4" x14ac:dyDescent="0.25">
      <c r="D2779"/>
    </row>
    <row r="2780" spans="4:4" x14ac:dyDescent="0.25">
      <c r="D2780"/>
    </row>
    <row r="2781" spans="4:4" x14ac:dyDescent="0.25">
      <c r="D2781"/>
    </row>
    <row r="2782" spans="4:4" x14ac:dyDescent="0.25">
      <c r="D2782"/>
    </row>
    <row r="2783" spans="4:4" x14ac:dyDescent="0.25">
      <c r="D2783"/>
    </row>
    <row r="2784" spans="4:4" x14ac:dyDescent="0.25">
      <c r="D2784"/>
    </row>
    <row r="2785" spans="4:4" x14ac:dyDescent="0.25">
      <c r="D2785"/>
    </row>
    <row r="2786" spans="4:4" x14ac:dyDescent="0.25">
      <c r="D2786"/>
    </row>
    <row r="2787" spans="4:4" x14ac:dyDescent="0.25">
      <c r="D2787"/>
    </row>
    <row r="2788" spans="4:4" x14ac:dyDescent="0.25">
      <c r="D2788"/>
    </row>
    <row r="2789" spans="4:4" x14ac:dyDescent="0.25">
      <c r="D2789"/>
    </row>
    <row r="2790" spans="4:4" x14ac:dyDescent="0.25">
      <c r="D2790"/>
    </row>
    <row r="2791" spans="4:4" x14ac:dyDescent="0.25">
      <c r="D2791"/>
    </row>
    <row r="2792" spans="4:4" x14ac:dyDescent="0.25">
      <c r="D2792"/>
    </row>
    <row r="2793" spans="4:4" x14ac:dyDescent="0.25">
      <c r="D2793"/>
    </row>
    <row r="2794" spans="4:4" x14ac:dyDescent="0.25">
      <c r="D2794"/>
    </row>
    <row r="2795" spans="4:4" x14ac:dyDescent="0.25">
      <c r="D2795"/>
    </row>
    <row r="2796" spans="4:4" x14ac:dyDescent="0.25">
      <c r="D2796"/>
    </row>
    <row r="2797" spans="4:4" x14ac:dyDescent="0.25">
      <c r="D2797"/>
    </row>
    <row r="2798" spans="4:4" x14ac:dyDescent="0.25">
      <c r="D2798"/>
    </row>
    <row r="2799" spans="4:4" x14ac:dyDescent="0.25">
      <c r="D2799"/>
    </row>
    <row r="2800" spans="4:4" x14ac:dyDescent="0.25">
      <c r="D2800"/>
    </row>
    <row r="2801" spans="4:4" x14ac:dyDescent="0.25">
      <c r="D2801"/>
    </row>
    <row r="2802" spans="4:4" x14ac:dyDescent="0.25">
      <c r="D2802"/>
    </row>
    <row r="2803" spans="4:4" x14ac:dyDescent="0.25">
      <c r="D2803"/>
    </row>
    <row r="2804" spans="4:4" x14ac:dyDescent="0.25">
      <c r="D2804"/>
    </row>
    <row r="2805" spans="4:4" x14ac:dyDescent="0.25">
      <c r="D2805"/>
    </row>
    <row r="2806" spans="4:4" x14ac:dyDescent="0.25">
      <c r="D2806"/>
    </row>
    <row r="2807" spans="4:4" x14ac:dyDescent="0.25">
      <c r="D2807"/>
    </row>
    <row r="2808" spans="4:4" x14ac:dyDescent="0.25">
      <c r="D2808"/>
    </row>
    <row r="2809" spans="4:4" x14ac:dyDescent="0.25">
      <c r="D2809"/>
    </row>
    <row r="2810" spans="4:4" x14ac:dyDescent="0.25">
      <c r="D2810"/>
    </row>
    <row r="2811" spans="4:4" x14ac:dyDescent="0.25">
      <c r="D2811"/>
    </row>
    <row r="2812" spans="4:4" x14ac:dyDescent="0.25">
      <c r="D2812"/>
    </row>
    <row r="2813" spans="4:4" x14ac:dyDescent="0.25">
      <c r="D2813"/>
    </row>
    <row r="2814" spans="4:4" x14ac:dyDescent="0.25">
      <c r="D2814"/>
    </row>
    <row r="2815" spans="4:4" x14ac:dyDescent="0.25">
      <c r="D2815"/>
    </row>
    <row r="2816" spans="4:4" x14ac:dyDescent="0.25">
      <c r="D2816"/>
    </row>
    <row r="2817" spans="4:4" x14ac:dyDescent="0.25">
      <c r="D2817"/>
    </row>
    <row r="2818" spans="4:4" x14ac:dyDescent="0.25">
      <c r="D2818"/>
    </row>
    <row r="2819" spans="4:4" x14ac:dyDescent="0.25">
      <c r="D2819"/>
    </row>
    <row r="2820" spans="4:4" x14ac:dyDescent="0.25">
      <c r="D2820"/>
    </row>
    <row r="2821" spans="4:4" x14ac:dyDescent="0.25">
      <c r="D2821"/>
    </row>
    <row r="2822" spans="4:4" x14ac:dyDescent="0.25">
      <c r="D2822"/>
    </row>
    <row r="2823" spans="4:4" x14ac:dyDescent="0.25">
      <c r="D2823"/>
    </row>
    <row r="2824" spans="4:4" x14ac:dyDescent="0.25">
      <c r="D2824"/>
    </row>
    <row r="2825" spans="4:4" x14ac:dyDescent="0.25">
      <c r="D2825"/>
    </row>
    <row r="2826" spans="4:4" x14ac:dyDescent="0.25">
      <c r="D2826"/>
    </row>
    <row r="2827" spans="4:4" x14ac:dyDescent="0.25">
      <c r="D2827"/>
    </row>
    <row r="2828" spans="4:4" x14ac:dyDescent="0.25">
      <c r="D2828"/>
    </row>
    <row r="2829" spans="4:4" x14ac:dyDescent="0.25">
      <c r="D2829"/>
    </row>
    <row r="2830" spans="4:4" x14ac:dyDescent="0.25">
      <c r="D2830"/>
    </row>
    <row r="2831" spans="4:4" x14ac:dyDescent="0.25">
      <c r="D2831"/>
    </row>
    <row r="2832" spans="4:4" x14ac:dyDescent="0.25">
      <c r="D2832"/>
    </row>
    <row r="2833" spans="4:4" x14ac:dyDescent="0.25">
      <c r="D2833"/>
    </row>
    <row r="2834" spans="4:4" x14ac:dyDescent="0.25">
      <c r="D2834"/>
    </row>
    <row r="2835" spans="4:4" x14ac:dyDescent="0.25">
      <c r="D2835"/>
    </row>
    <row r="2836" spans="4:4" x14ac:dyDescent="0.25">
      <c r="D2836"/>
    </row>
    <row r="2837" spans="4:4" x14ac:dyDescent="0.25">
      <c r="D2837"/>
    </row>
    <row r="2838" spans="4:4" x14ac:dyDescent="0.25">
      <c r="D2838"/>
    </row>
    <row r="2839" spans="4:4" x14ac:dyDescent="0.25">
      <c r="D2839"/>
    </row>
    <row r="2840" spans="4:4" x14ac:dyDescent="0.25">
      <c r="D2840"/>
    </row>
    <row r="2841" spans="4:4" x14ac:dyDescent="0.25">
      <c r="D2841"/>
    </row>
    <row r="2842" spans="4:4" x14ac:dyDescent="0.25">
      <c r="D2842"/>
    </row>
    <row r="2843" spans="4:4" x14ac:dyDescent="0.25">
      <c r="D2843"/>
    </row>
    <row r="2844" spans="4:4" x14ac:dyDescent="0.25">
      <c r="D2844"/>
    </row>
    <row r="2845" spans="4:4" x14ac:dyDescent="0.25">
      <c r="D2845"/>
    </row>
    <row r="2846" spans="4:4" x14ac:dyDescent="0.25">
      <c r="D2846"/>
    </row>
    <row r="2847" spans="4:4" x14ac:dyDescent="0.25">
      <c r="D2847"/>
    </row>
    <row r="2848" spans="4:4" x14ac:dyDescent="0.25">
      <c r="D2848"/>
    </row>
    <row r="2849" spans="4:4" x14ac:dyDescent="0.25">
      <c r="D2849"/>
    </row>
    <row r="2850" spans="4:4" x14ac:dyDescent="0.25">
      <c r="D2850"/>
    </row>
    <row r="2851" spans="4:4" x14ac:dyDescent="0.25">
      <c r="D2851"/>
    </row>
    <row r="2852" spans="4:4" x14ac:dyDescent="0.25">
      <c r="D2852"/>
    </row>
    <row r="2853" spans="4:4" x14ac:dyDescent="0.25">
      <c r="D2853"/>
    </row>
    <row r="2854" spans="4:4" x14ac:dyDescent="0.25">
      <c r="D2854"/>
    </row>
    <row r="2855" spans="4:4" x14ac:dyDescent="0.25">
      <c r="D2855"/>
    </row>
    <row r="2856" spans="4:4" x14ac:dyDescent="0.25">
      <c r="D2856"/>
    </row>
    <row r="2857" spans="4:4" x14ac:dyDescent="0.25">
      <c r="D2857"/>
    </row>
    <row r="2858" spans="4:4" x14ac:dyDescent="0.25">
      <c r="D2858"/>
    </row>
    <row r="2859" spans="4:4" x14ac:dyDescent="0.25">
      <c r="D2859"/>
    </row>
    <row r="2860" spans="4:4" x14ac:dyDescent="0.25">
      <c r="D2860"/>
    </row>
    <row r="2861" spans="4:4" x14ac:dyDescent="0.25">
      <c r="D2861"/>
    </row>
    <row r="2862" spans="4:4" x14ac:dyDescent="0.25">
      <c r="D2862"/>
    </row>
    <row r="2863" spans="4:4" x14ac:dyDescent="0.25">
      <c r="D2863"/>
    </row>
    <row r="2864" spans="4:4" x14ac:dyDescent="0.25">
      <c r="D2864"/>
    </row>
    <row r="2865" spans="4:4" x14ac:dyDescent="0.25">
      <c r="D2865"/>
    </row>
    <row r="2866" spans="4:4" x14ac:dyDescent="0.25">
      <c r="D2866"/>
    </row>
    <row r="2867" spans="4:4" x14ac:dyDescent="0.25">
      <c r="D2867"/>
    </row>
    <row r="2868" spans="4:4" x14ac:dyDescent="0.25">
      <c r="D2868"/>
    </row>
    <row r="2869" spans="4:4" x14ac:dyDescent="0.25">
      <c r="D2869"/>
    </row>
    <row r="2870" spans="4:4" x14ac:dyDescent="0.25">
      <c r="D2870"/>
    </row>
    <row r="2871" spans="4:4" x14ac:dyDescent="0.25">
      <c r="D2871"/>
    </row>
    <row r="2872" spans="4:4" x14ac:dyDescent="0.25">
      <c r="D2872"/>
    </row>
    <row r="2873" spans="4:4" x14ac:dyDescent="0.25">
      <c r="D2873"/>
    </row>
    <row r="2874" spans="4:4" x14ac:dyDescent="0.25">
      <c r="D2874"/>
    </row>
    <row r="2875" spans="4:4" x14ac:dyDescent="0.25">
      <c r="D2875"/>
    </row>
    <row r="2876" spans="4:4" x14ac:dyDescent="0.25">
      <c r="D2876"/>
    </row>
    <row r="2877" spans="4:4" x14ac:dyDescent="0.25">
      <c r="D2877"/>
    </row>
    <row r="2878" spans="4:4" x14ac:dyDescent="0.25">
      <c r="D2878"/>
    </row>
    <row r="2879" spans="4:4" x14ac:dyDescent="0.25">
      <c r="D2879"/>
    </row>
    <row r="2880" spans="4:4" x14ac:dyDescent="0.25">
      <c r="D2880"/>
    </row>
    <row r="2881" spans="4:4" x14ac:dyDescent="0.25">
      <c r="D2881"/>
    </row>
    <row r="2882" spans="4:4" x14ac:dyDescent="0.25">
      <c r="D2882"/>
    </row>
    <row r="2883" spans="4:4" x14ac:dyDescent="0.25">
      <c r="D2883"/>
    </row>
    <row r="2884" spans="4:4" x14ac:dyDescent="0.25">
      <c r="D2884"/>
    </row>
    <row r="2885" spans="4:4" x14ac:dyDescent="0.25">
      <c r="D2885"/>
    </row>
    <row r="2886" spans="4:4" x14ac:dyDescent="0.25">
      <c r="D2886"/>
    </row>
    <row r="2887" spans="4:4" x14ac:dyDescent="0.25">
      <c r="D2887"/>
    </row>
    <row r="2888" spans="4:4" x14ac:dyDescent="0.25">
      <c r="D2888"/>
    </row>
    <row r="2889" spans="4:4" x14ac:dyDescent="0.25">
      <c r="D2889"/>
    </row>
    <row r="2890" spans="4:4" x14ac:dyDescent="0.25">
      <c r="D2890"/>
    </row>
    <row r="2891" spans="4:4" x14ac:dyDescent="0.25">
      <c r="D2891"/>
    </row>
    <row r="2892" spans="4:4" x14ac:dyDescent="0.25">
      <c r="D2892"/>
    </row>
    <row r="2893" spans="4:4" x14ac:dyDescent="0.25">
      <c r="D2893"/>
    </row>
    <row r="2894" spans="4:4" x14ac:dyDescent="0.25">
      <c r="D2894"/>
    </row>
    <row r="2895" spans="4:4" x14ac:dyDescent="0.25">
      <c r="D2895"/>
    </row>
    <row r="2896" spans="4:4" x14ac:dyDescent="0.25">
      <c r="D2896"/>
    </row>
    <row r="2897" spans="4:4" x14ac:dyDescent="0.25">
      <c r="D2897"/>
    </row>
    <row r="2898" spans="4:4" x14ac:dyDescent="0.25">
      <c r="D2898"/>
    </row>
    <row r="2899" spans="4:4" x14ac:dyDescent="0.25">
      <c r="D2899"/>
    </row>
    <row r="2900" spans="4:4" x14ac:dyDescent="0.25">
      <c r="D2900"/>
    </row>
    <row r="2901" spans="4:4" x14ac:dyDescent="0.25">
      <c r="D2901"/>
    </row>
    <row r="2902" spans="4:4" x14ac:dyDescent="0.25">
      <c r="D2902"/>
    </row>
    <row r="2903" spans="4:4" x14ac:dyDescent="0.25">
      <c r="D2903"/>
    </row>
    <row r="2904" spans="4:4" x14ac:dyDescent="0.25">
      <c r="D2904"/>
    </row>
    <row r="2905" spans="4:4" x14ac:dyDescent="0.25">
      <c r="D2905"/>
    </row>
    <row r="2906" spans="4:4" x14ac:dyDescent="0.25">
      <c r="D2906"/>
    </row>
    <row r="2907" spans="4:4" x14ac:dyDescent="0.25">
      <c r="D2907"/>
    </row>
    <row r="2908" spans="4:4" x14ac:dyDescent="0.25">
      <c r="D2908"/>
    </row>
    <row r="2909" spans="4:4" x14ac:dyDescent="0.25">
      <c r="D2909"/>
    </row>
    <row r="2910" spans="4:4" x14ac:dyDescent="0.25">
      <c r="D2910"/>
    </row>
    <row r="2911" spans="4:4" x14ac:dyDescent="0.25">
      <c r="D2911"/>
    </row>
    <row r="2912" spans="4:4" x14ac:dyDescent="0.25">
      <c r="D2912"/>
    </row>
    <row r="2913" spans="4:4" x14ac:dyDescent="0.25">
      <c r="D2913"/>
    </row>
    <row r="2914" spans="4:4" x14ac:dyDescent="0.25">
      <c r="D2914"/>
    </row>
    <row r="2915" spans="4:4" x14ac:dyDescent="0.25">
      <c r="D2915"/>
    </row>
    <row r="2916" spans="4:4" x14ac:dyDescent="0.25">
      <c r="D2916"/>
    </row>
    <row r="2917" spans="4:4" x14ac:dyDescent="0.25">
      <c r="D2917"/>
    </row>
    <row r="2918" spans="4:4" x14ac:dyDescent="0.25">
      <c r="D2918"/>
    </row>
    <row r="2919" spans="4:4" x14ac:dyDescent="0.25">
      <c r="D2919"/>
    </row>
    <row r="2920" spans="4:4" x14ac:dyDescent="0.25">
      <c r="D2920"/>
    </row>
    <row r="2921" spans="4:4" x14ac:dyDescent="0.25">
      <c r="D2921"/>
    </row>
    <row r="2922" spans="4:4" x14ac:dyDescent="0.25">
      <c r="D2922"/>
    </row>
    <row r="2923" spans="4:4" x14ac:dyDescent="0.25">
      <c r="D2923"/>
    </row>
    <row r="2924" spans="4:4" x14ac:dyDescent="0.25">
      <c r="D2924"/>
    </row>
    <row r="2925" spans="4:4" x14ac:dyDescent="0.25">
      <c r="D2925"/>
    </row>
    <row r="2926" spans="4:4" x14ac:dyDescent="0.25">
      <c r="D2926"/>
    </row>
    <row r="2927" spans="4:4" x14ac:dyDescent="0.25">
      <c r="D2927"/>
    </row>
    <row r="2928" spans="4:4" x14ac:dyDescent="0.25">
      <c r="D2928"/>
    </row>
    <row r="2929" spans="4:4" x14ac:dyDescent="0.25">
      <c r="D2929"/>
    </row>
    <row r="2930" spans="4:4" x14ac:dyDescent="0.25">
      <c r="D2930"/>
    </row>
    <row r="2931" spans="4:4" x14ac:dyDescent="0.25">
      <c r="D2931"/>
    </row>
    <row r="2932" spans="4:4" x14ac:dyDescent="0.25">
      <c r="D2932"/>
    </row>
    <row r="2933" spans="4:4" x14ac:dyDescent="0.25">
      <c r="D2933"/>
    </row>
    <row r="2934" spans="4:4" x14ac:dyDescent="0.25">
      <c r="D2934"/>
    </row>
    <row r="2935" spans="4:4" x14ac:dyDescent="0.25">
      <c r="D2935"/>
    </row>
    <row r="2936" spans="4:4" x14ac:dyDescent="0.25">
      <c r="D2936"/>
    </row>
    <row r="2937" spans="4:4" x14ac:dyDescent="0.25">
      <c r="D2937"/>
    </row>
    <row r="2938" spans="4:4" x14ac:dyDescent="0.25">
      <c r="D2938"/>
    </row>
    <row r="2939" spans="4:4" x14ac:dyDescent="0.25">
      <c r="D2939"/>
    </row>
    <row r="2940" spans="4:4" x14ac:dyDescent="0.25">
      <c r="D2940"/>
    </row>
    <row r="2941" spans="4:4" x14ac:dyDescent="0.25">
      <c r="D2941"/>
    </row>
    <row r="2942" spans="4:4" x14ac:dyDescent="0.25">
      <c r="D2942"/>
    </row>
    <row r="2943" spans="4:4" x14ac:dyDescent="0.25">
      <c r="D2943"/>
    </row>
    <row r="2944" spans="4:4" x14ac:dyDescent="0.25">
      <c r="D2944"/>
    </row>
    <row r="2945" spans="4:4" x14ac:dyDescent="0.25">
      <c r="D2945"/>
    </row>
    <row r="2946" spans="4:4" x14ac:dyDescent="0.25">
      <c r="D2946"/>
    </row>
    <row r="2947" spans="4:4" x14ac:dyDescent="0.25">
      <c r="D2947"/>
    </row>
    <row r="2948" spans="4:4" x14ac:dyDescent="0.25">
      <c r="D2948"/>
    </row>
    <row r="2949" spans="4:4" x14ac:dyDescent="0.25">
      <c r="D2949"/>
    </row>
    <row r="2950" spans="4:4" x14ac:dyDescent="0.25">
      <c r="D2950"/>
    </row>
    <row r="2951" spans="4:4" x14ac:dyDescent="0.25">
      <c r="D2951"/>
    </row>
    <row r="2952" spans="4:4" x14ac:dyDescent="0.25">
      <c r="D2952"/>
    </row>
    <row r="2953" spans="4:4" x14ac:dyDescent="0.25">
      <c r="D2953"/>
    </row>
    <row r="2954" spans="4:4" x14ac:dyDescent="0.25">
      <c r="D2954"/>
    </row>
    <row r="2955" spans="4:4" x14ac:dyDescent="0.25">
      <c r="D2955"/>
    </row>
    <row r="2956" spans="4:4" x14ac:dyDescent="0.25">
      <c r="D2956"/>
    </row>
    <row r="2957" spans="4:4" x14ac:dyDescent="0.25">
      <c r="D2957"/>
    </row>
    <row r="2958" spans="4:4" x14ac:dyDescent="0.25">
      <c r="D2958"/>
    </row>
    <row r="2959" spans="4:4" x14ac:dyDescent="0.25">
      <c r="D2959"/>
    </row>
    <row r="2960" spans="4:4" x14ac:dyDescent="0.25">
      <c r="D2960"/>
    </row>
    <row r="2961" spans="4:4" x14ac:dyDescent="0.25">
      <c r="D2961"/>
    </row>
    <row r="2962" spans="4:4" x14ac:dyDescent="0.25">
      <c r="D2962"/>
    </row>
    <row r="2963" spans="4:4" x14ac:dyDescent="0.25">
      <c r="D2963"/>
    </row>
    <row r="2964" spans="4:4" x14ac:dyDescent="0.25">
      <c r="D2964"/>
    </row>
    <row r="2965" spans="4:4" x14ac:dyDescent="0.25">
      <c r="D2965"/>
    </row>
    <row r="2966" spans="4:4" x14ac:dyDescent="0.25">
      <c r="D2966"/>
    </row>
    <row r="2967" spans="4:4" x14ac:dyDescent="0.25">
      <c r="D2967"/>
    </row>
    <row r="2968" spans="4:4" x14ac:dyDescent="0.25">
      <c r="D2968"/>
    </row>
    <row r="2969" spans="4:4" x14ac:dyDescent="0.25">
      <c r="D2969"/>
    </row>
    <row r="2970" spans="4:4" x14ac:dyDescent="0.25">
      <c r="D2970"/>
    </row>
    <row r="2971" spans="4:4" x14ac:dyDescent="0.25">
      <c r="D2971"/>
    </row>
    <row r="2972" spans="4:4" x14ac:dyDescent="0.25">
      <c r="D2972"/>
    </row>
    <row r="2973" spans="4:4" x14ac:dyDescent="0.25">
      <c r="D2973"/>
    </row>
    <row r="2974" spans="4:4" x14ac:dyDescent="0.25">
      <c r="D2974"/>
    </row>
    <row r="2975" spans="4:4" x14ac:dyDescent="0.25">
      <c r="D2975"/>
    </row>
    <row r="2976" spans="4:4" x14ac:dyDescent="0.25">
      <c r="D2976"/>
    </row>
    <row r="2977" spans="4:4" x14ac:dyDescent="0.25">
      <c r="D2977"/>
    </row>
    <row r="2978" spans="4:4" x14ac:dyDescent="0.25">
      <c r="D2978"/>
    </row>
    <row r="2979" spans="4:4" x14ac:dyDescent="0.25">
      <c r="D2979"/>
    </row>
    <row r="2980" spans="4:4" x14ac:dyDescent="0.25">
      <c r="D2980"/>
    </row>
    <row r="2981" spans="4:4" x14ac:dyDescent="0.25">
      <c r="D2981"/>
    </row>
    <row r="2982" spans="4:4" x14ac:dyDescent="0.25">
      <c r="D2982"/>
    </row>
    <row r="2983" spans="4:4" x14ac:dyDescent="0.25">
      <c r="D2983"/>
    </row>
    <row r="2984" spans="4:4" x14ac:dyDescent="0.25">
      <c r="D2984"/>
    </row>
    <row r="2985" spans="4:4" x14ac:dyDescent="0.25">
      <c r="D2985"/>
    </row>
    <row r="2986" spans="4:4" x14ac:dyDescent="0.25">
      <c r="D2986"/>
    </row>
    <row r="2987" spans="4:4" x14ac:dyDescent="0.25">
      <c r="D2987"/>
    </row>
    <row r="2988" spans="4:4" x14ac:dyDescent="0.25">
      <c r="D2988"/>
    </row>
    <row r="2989" spans="4:4" x14ac:dyDescent="0.25">
      <c r="D2989"/>
    </row>
    <row r="2990" spans="4:4" x14ac:dyDescent="0.25">
      <c r="D2990"/>
    </row>
    <row r="2991" spans="4:4" x14ac:dyDescent="0.25">
      <c r="D2991"/>
    </row>
    <row r="2992" spans="4:4" x14ac:dyDescent="0.25">
      <c r="D2992"/>
    </row>
    <row r="2993" spans="4:4" x14ac:dyDescent="0.25">
      <c r="D2993"/>
    </row>
    <row r="2994" spans="4:4" x14ac:dyDescent="0.25">
      <c r="D2994"/>
    </row>
    <row r="2995" spans="4:4" x14ac:dyDescent="0.25">
      <c r="D2995"/>
    </row>
    <row r="2996" spans="4:4" x14ac:dyDescent="0.25">
      <c r="D2996"/>
    </row>
    <row r="2997" spans="4:4" x14ac:dyDescent="0.25">
      <c r="D2997"/>
    </row>
    <row r="2998" spans="4:4" x14ac:dyDescent="0.25">
      <c r="D2998"/>
    </row>
    <row r="2999" spans="4:4" x14ac:dyDescent="0.25">
      <c r="D2999"/>
    </row>
    <row r="3000" spans="4:4" x14ac:dyDescent="0.25">
      <c r="D3000"/>
    </row>
    <row r="3001" spans="4:4" x14ac:dyDescent="0.25">
      <c r="D3001"/>
    </row>
    <row r="3002" spans="4:4" x14ac:dyDescent="0.25">
      <c r="D3002"/>
    </row>
    <row r="3003" spans="4:4" x14ac:dyDescent="0.25">
      <c r="D3003"/>
    </row>
    <row r="3004" spans="4:4" x14ac:dyDescent="0.25">
      <c r="D3004"/>
    </row>
    <row r="3005" spans="4:4" x14ac:dyDescent="0.25">
      <c r="D3005"/>
    </row>
    <row r="3006" spans="4:4" x14ac:dyDescent="0.25">
      <c r="D3006"/>
    </row>
    <row r="3007" spans="4:4" x14ac:dyDescent="0.25">
      <c r="D3007"/>
    </row>
    <row r="3008" spans="4:4" x14ac:dyDescent="0.25">
      <c r="D3008"/>
    </row>
    <row r="3009" spans="4:4" x14ac:dyDescent="0.25">
      <c r="D3009"/>
    </row>
    <row r="3010" spans="4:4" x14ac:dyDescent="0.25">
      <c r="D3010"/>
    </row>
    <row r="3011" spans="4:4" x14ac:dyDescent="0.25">
      <c r="D3011"/>
    </row>
    <row r="3012" spans="4:4" x14ac:dyDescent="0.25">
      <c r="D3012"/>
    </row>
    <row r="3013" spans="4:4" x14ac:dyDescent="0.25">
      <c r="D3013"/>
    </row>
    <row r="3014" spans="4:4" x14ac:dyDescent="0.25">
      <c r="D3014"/>
    </row>
    <row r="3015" spans="4:4" x14ac:dyDescent="0.25">
      <c r="D3015"/>
    </row>
    <row r="3016" spans="4:4" x14ac:dyDescent="0.25">
      <c r="D3016"/>
    </row>
    <row r="3017" spans="4:4" x14ac:dyDescent="0.25">
      <c r="D3017"/>
    </row>
    <row r="3018" spans="4:4" x14ac:dyDescent="0.25">
      <c r="D3018"/>
    </row>
    <row r="3019" spans="4:4" x14ac:dyDescent="0.25">
      <c r="D3019"/>
    </row>
    <row r="3020" spans="4:4" x14ac:dyDescent="0.25">
      <c r="D3020"/>
    </row>
    <row r="3021" spans="4:4" x14ac:dyDescent="0.25">
      <c r="D3021"/>
    </row>
    <row r="3022" spans="4:4" x14ac:dyDescent="0.25">
      <c r="D3022"/>
    </row>
    <row r="3023" spans="4:4" x14ac:dyDescent="0.25">
      <c r="D3023"/>
    </row>
    <row r="3024" spans="4:4" x14ac:dyDescent="0.25">
      <c r="D3024"/>
    </row>
    <row r="3025" spans="4:4" x14ac:dyDescent="0.25">
      <c r="D3025"/>
    </row>
    <row r="3026" spans="4:4" x14ac:dyDescent="0.25">
      <c r="D3026"/>
    </row>
    <row r="3027" spans="4:4" x14ac:dyDescent="0.25">
      <c r="D3027"/>
    </row>
    <row r="3028" spans="4:4" x14ac:dyDescent="0.25">
      <c r="D3028"/>
    </row>
    <row r="3029" spans="4:4" x14ac:dyDescent="0.25">
      <c r="D3029"/>
    </row>
    <row r="3030" spans="4:4" x14ac:dyDescent="0.25">
      <c r="D3030"/>
    </row>
    <row r="3031" spans="4:4" x14ac:dyDescent="0.25">
      <c r="D3031"/>
    </row>
    <row r="3032" spans="4:4" x14ac:dyDescent="0.25">
      <c r="D3032"/>
    </row>
    <row r="3033" spans="4:4" x14ac:dyDescent="0.25">
      <c r="D3033"/>
    </row>
    <row r="3034" spans="4:4" x14ac:dyDescent="0.25">
      <c r="D3034"/>
    </row>
    <row r="3035" spans="4:4" x14ac:dyDescent="0.25">
      <c r="D3035"/>
    </row>
    <row r="3036" spans="4:4" x14ac:dyDescent="0.25">
      <c r="D3036"/>
    </row>
    <row r="3037" spans="4:4" x14ac:dyDescent="0.25">
      <c r="D3037"/>
    </row>
    <row r="3038" spans="4:4" x14ac:dyDescent="0.25">
      <c r="D3038"/>
    </row>
    <row r="3039" spans="4:4" x14ac:dyDescent="0.25">
      <c r="D3039"/>
    </row>
    <row r="3040" spans="4:4" x14ac:dyDescent="0.25">
      <c r="D3040"/>
    </row>
    <row r="3041" spans="4:4" x14ac:dyDescent="0.25">
      <c r="D3041"/>
    </row>
    <row r="3042" spans="4:4" x14ac:dyDescent="0.25">
      <c r="D3042"/>
    </row>
    <row r="3043" spans="4:4" x14ac:dyDescent="0.25">
      <c r="D3043"/>
    </row>
    <row r="3044" spans="4:4" x14ac:dyDescent="0.25">
      <c r="D3044"/>
    </row>
    <row r="3045" spans="4:4" x14ac:dyDescent="0.25">
      <c r="D3045"/>
    </row>
    <row r="3046" spans="4:4" x14ac:dyDescent="0.25">
      <c r="D3046"/>
    </row>
    <row r="3047" spans="4:4" x14ac:dyDescent="0.25">
      <c r="D3047"/>
    </row>
    <row r="3048" spans="4:4" x14ac:dyDescent="0.25">
      <c r="D3048"/>
    </row>
    <row r="3049" spans="4:4" x14ac:dyDescent="0.25">
      <c r="D3049"/>
    </row>
    <row r="3050" spans="4:4" x14ac:dyDescent="0.25">
      <c r="D3050"/>
    </row>
    <row r="3051" spans="4:4" x14ac:dyDescent="0.25">
      <c r="D3051"/>
    </row>
    <row r="3052" spans="4:4" x14ac:dyDescent="0.25">
      <c r="D3052"/>
    </row>
    <row r="3053" spans="4:4" x14ac:dyDescent="0.25">
      <c r="D3053"/>
    </row>
    <row r="3054" spans="4:4" x14ac:dyDescent="0.25">
      <c r="D3054"/>
    </row>
    <row r="3055" spans="4:4" x14ac:dyDescent="0.25">
      <c r="D3055"/>
    </row>
    <row r="3056" spans="4:4" x14ac:dyDescent="0.25">
      <c r="D3056"/>
    </row>
    <row r="3057" spans="4:4" x14ac:dyDescent="0.25">
      <c r="D3057"/>
    </row>
    <row r="3058" spans="4:4" x14ac:dyDescent="0.25">
      <c r="D3058"/>
    </row>
    <row r="3059" spans="4:4" x14ac:dyDescent="0.25">
      <c r="D3059"/>
    </row>
    <row r="3060" spans="4:4" x14ac:dyDescent="0.25">
      <c r="D3060"/>
    </row>
    <row r="3061" spans="4:4" x14ac:dyDescent="0.25">
      <c r="D3061"/>
    </row>
    <row r="3062" spans="4:4" x14ac:dyDescent="0.25">
      <c r="D3062"/>
    </row>
    <row r="3063" spans="4:4" x14ac:dyDescent="0.25">
      <c r="D3063"/>
    </row>
    <row r="3064" spans="4:4" x14ac:dyDescent="0.25">
      <c r="D3064"/>
    </row>
    <row r="3065" spans="4:4" x14ac:dyDescent="0.25">
      <c r="D3065"/>
    </row>
    <row r="3066" spans="4:4" x14ac:dyDescent="0.25">
      <c r="D3066"/>
    </row>
    <row r="3067" spans="4:4" x14ac:dyDescent="0.25">
      <c r="D3067"/>
    </row>
    <row r="3068" spans="4:4" x14ac:dyDescent="0.25">
      <c r="D3068"/>
    </row>
    <row r="3069" spans="4:4" x14ac:dyDescent="0.25">
      <c r="D3069"/>
    </row>
    <row r="3070" spans="4:4" x14ac:dyDescent="0.25">
      <c r="D3070"/>
    </row>
    <row r="3071" spans="4:4" x14ac:dyDescent="0.25">
      <c r="D3071"/>
    </row>
    <row r="3072" spans="4:4" x14ac:dyDescent="0.25">
      <c r="D3072"/>
    </row>
    <row r="3073" spans="4:4" x14ac:dyDescent="0.25">
      <c r="D3073"/>
    </row>
    <row r="3074" spans="4:4" x14ac:dyDescent="0.25">
      <c r="D3074"/>
    </row>
    <row r="3075" spans="4:4" x14ac:dyDescent="0.25">
      <c r="D3075"/>
    </row>
    <row r="3076" spans="4:4" x14ac:dyDescent="0.25">
      <c r="D3076"/>
    </row>
    <row r="3077" spans="4:4" x14ac:dyDescent="0.25">
      <c r="D3077"/>
    </row>
    <row r="3078" spans="4:4" x14ac:dyDescent="0.25">
      <c r="D3078"/>
    </row>
    <row r="3079" spans="4:4" x14ac:dyDescent="0.25">
      <c r="D3079"/>
    </row>
    <row r="3080" spans="4:4" x14ac:dyDescent="0.25">
      <c r="D3080"/>
    </row>
    <row r="3081" spans="4:4" x14ac:dyDescent="0.25">
      <c r="D3081"/>
    </row>
    <row r="3082" spans="4:4" x14ac:dyDescent="0.25">
      <c r="D3082"/>
    </row>
    <row r="3083" spans="4:4" x14ac:dyDescent="0.25">
      <c r="D3083"/>
    </row>
    <row r="3084" spans="4:4" x14ac:dyDescent="0.25">
      <c r="D3084"/>
    </row>
    <row r="3085" spans="4:4" x14ac:dyDescent="0.25">
      <c r="D3085"/>
    </row>
    <row r="3086" spans="4:4" x14ac:dyDescent="0.25">
      <c r="D3086"/>
    </row>
    <row r="3087" spans="4:4" x14ac:dyDescent="0.25">
      <c r="D3087"/>
    </row>
    <row r="3088" spans="4:4" x14ac:dyDescent="0.25">
      <c r="D3088"/>
    </row>
    <row r="3089" spans="4:4" x14ac:dyDescent="0.25">
      <c r="D3089"/>
    </row>
    <row r="3090" spans="4:4" x14ac:dyDescent="0.25">
      <c r="D3090"/>
    </row>
    <row r="3091" spans="4:4" x14ac:dyDescent="0.25">
      <c r="D3091"/>
    </row>
    <row r="3092" spans="4:4" x14ac:dyDescent="0.25">
      <c r="D3092"/>
    </row>
    <row r="3093" spans="4:4" x14ac:dyDescent="0.25">
      <c r="D3093"/>
    </row>
    <row r="3094" spans="4:4" x14ac:dyDescent="0.25">
      <c r="D3094"/>
    </row>
    <row r="3095" spans="4:4" x14ac:dyDescent="0.25">
      <c r="D3095"/>
    </row>
    <row r="3096" spans="4:4" x14ac:dyDescent="0.25">
      <c r="D3096"/>
    </row>
    <row r="3097" spans="4:4" x14ac:dyDescent="0.25">
      <c r="D3097"/>
    </row>
    <row r="3098" spans="4:4" x14ac:dyDescent="0.25">
      <c r="D3098"/>
    </row>
    <row r="3099" spans="4:4" x14ac:dyDescent="0.25">
      <c r="D3099"/>
    </row>
    <row r="3100" spans="4:4" x14ac:dyDescent="0.25">
      <c r="D3100"/>
    </row>
    <row r="3101" spans="4:4" x14ac:dyDescent="0.25">
      <c r="D3101"/>
    </row>
    <row r="3102" spans="4:4" x14ac:dyDescent="0.25">
      <c r="D3102"/>
    </row>
    <row r="3103" spans="4:4" x14ac:dyDescent="0.25">
      <c r="D3103"/>
    </row>
    <row r="3104" spans="4:4" x14ac:dyDescent="0.25">
      <c r="D3104"/>
    </row>
    <row r="3105" spans="4:4" x14ac:dyDescent="0.25">
      <c r="D3105"/>
    </row>
    <row r="3106" spans="4:4" x14ac:dyDescent="0.25">
      <c r="D3106"/>
    </row>
    <row r="3107" spans="4:4" x14ac:dyDescent="0.25">
      <c r="D3107"/>
    </row>
    <row r="3108" spans="4:4" x14ac:dyDescent="0.25">
      <c r="D3108"/>
    </row>
    <row r="3109" spans="4:4" x14ac:dyDescent="0.25">
      <c r="D3109"/>
    </row>
    <row r="3110" spans="4:4" x14ac:dyDescent="0.25">
      <c r="D3110"/>
    </row>
    <row r="3111" spans="4:4" x14ac:dyDescent="0.25">
      <c r="D3111"/>
    </row>
    <row r="3112" spans="4:4" x14ac:dyDescent="0.25">
      <c r="D3112"/>
    </row>
    <row r="3113" spans="4:4" x14ac:dyDescent="0.25">
      <c r="D3113"/>
    </row>
    <row r="3114" spans="4:4" x14ac:dyDescent="0.25">
      <c r="D3114"/>
    </row>
    <row r="3115" spans="4:4" x14ac:dyDescent="0.25">
      <c r="D3115"/>
    </row>
    <row r="3116" spans="4:4" x14ac:dyDescent="0.25">
      <c r="D3116"/>
    </row>
    <row r="3117" spans="4:4" x14ac:dyDescent="0.25">
      <c r="D3117"/>
    </row>
    <row r="3118" spans="4:4" x14ac:dyDescent="0.25">
      <c r="D3118"/>
    </row>
    <row r="3119" spans="4:4" x14ac:dyDescent="0.25">
      <c r="D3119"/>
    </row>
    <row r="3120" spans="4:4" x14ac:dyDescent="0.25">
      <c r="D3120"/>
    </row>
    <row r="3121" spans="4:4" x14ac:dyDescent="0.25">
      <c r="D3121"/>
    </row>
    <row r="3122" spans="4:4" x14ac:dyDescent="0.25">
      <c r="D3122"/>
    </row>
    <row r="3123" spans="4:4" x14ac:dyDescent="0.25">
      <c r="D3123"/>
    </row>
    <row r="3124" spans="4:4" x14ac:dyDescent="0.25">
      <c r="D3124"/>
    </row>
    <row r="3125" spans="4:4" x14ac:dyDescent="0.25">
      <c r="D3125"/>
    </row>
    <row r="3126" spans="4:4" x14ac:dyDescent="0.25">
      <c r="D3126"/>
    </row>
    <row r="3127" spans="4:4" x14ac:dyDescent="0.25">
      <c r="D3127"/>
    </row>
    <row r="3128" spans="4:4" x14ac:dyDescent="0.25">
      <c r="D3128"/>
    </row>
    <row r="3129" spans="4:4" x14ac:dyDescent="0.25">
      <c r="D3129"/>
    </row>
    <row r="3130" spans="4:4" x14ac:dyDescent="0.25">
      <c r="D3130"/>
    </row>
    <row r="3131" spans="4:4" x14ac:dyDescent="0.25">
      <c r="D3131"/>
    </row>
    <row r="3132" spans="4:4" x14ac:dyDescent="0.25">
      <c r="D3132"/>
    </row>
    <row r="3133" spans="4:4" x14ac:dyDescent="0.25">
      <c r="D3133"/>
    </row>
    <row r="3134" spans="4:4" x14ac:dyDescent="0.25">
      <c r="D3134"/>
    </row>
    <row r="3135" spans="4:4" x14ac:dyDescent="0.25">
      <c r="D3135"/>
    </row>
    <row r="3136" spans="4:4" x14ac:dyDescent="0.25">
      <c r="D3136"/>
    </row>
    <row r="3137" spans="4:4" x14ac:dyDescent="0.25">
      <c r="D3137"/>
    </row>
    <row r="3138" spans="4:4" x14ac:dyDescent="0.25">
      <c r="D3138"/>
    </row>
    <row r="3139" spans="4:4" x14ac:dyDescent="0.25">
      <c r="D3139"/>
    </row>
    <row r="3140" spans="4:4" x14ac:dyDescent="0.25">
      <c r="D3140"/>
    </row>
    <row r="3141" spans="4:4" x14ac:dyDescent="0.25">
      <c r="D3141"/>
    </row>
    <row r="3142" spans="4:4" x14ac:dyDescent="0.25">
      <c r="D3142"/>
    </row>
    <row r="3143" spans="4:4" x14ac:dyDescent="0.25">
      <c r="D3143"/>
    </row>
    <row r="3144" spans="4:4" x14ac:dyDescent="0.25">
      <c r="D3144"/>
    </row>
    <row r="3145" spans="4:4" x14ac:dyDescent="0.25">
      <c r="D3145"/>
    </row>
    <row r="3146" spans="4:4" x14ac:dyDescent="0.25">
      <c r="D3146"/>
    </row>
    <row r="3147" spans="4:4" x14ac:dyDescent="0.25">
      <c r="D3147"/>
    </row>
    <row r="3148" spans="4:4" x14ac:dyDescent="0.25">
      <c r="D3148"/>
    </row>
    <row r="3149" spans="4:4" x14ac:dyDescent="0.25">
      <c r="D3149"/>
    </row>
    <row r="3150" spans="4:4" x14ac:dyDescent="0.25">
      <c r="D3150"/>
    </row>
    <row r="3151" spans="4:4" x14ac:dyDescent="0.25">
      <c r="D3151"/>
    </row>
    <row r="3152" spans="4:4" x14ac:dyDescent="0.25">
      <c r="D3152"/>
    </row>
    <row r="3153" spans="4:4" x14ac:dyDescent="0.25">
      <c r="D3153"/>
    </row>
    <row r="3154" spans="4:4" x14ac:dyDescent="0.25">
      <c r="D3154"/>
    </row>
    <row r="3155" spans="4:4" x14ac:dyDescent="0.25">
      <c r="D3155"/>
    </row>
    <row r="3156" spans="4:4" x14ac:dyDescent="0.25">
      <c r="D3156"/>
    </row>
    <row r="3157" spans="4:4" x14ac:dyDescent="0.25">
      <c r="D3157"/>
    </row>
    <row r="3158" spans="4:4" x14ac:dyDescent="0.25">
      <c r="D3158"/>
    </row>
    <row r="3159" spans="4:4" x14ac:dyDescent="0.25">
      <c r="D3159"/>
    </row>
    <row r="3160" spans="4:4" x14ac:dyDescent="0.25">
      <c r="D3160"/>
    </row>
    <row r="3161" spans="4:4" x14ac:dyDescent="0.25">
      <c r="D3161"/>
    </row>
    <row r="3162" spans="4:4" x14ac:dyDescent="0.25">
      <c r="D3162"/>
    </row>
    <row r="3163" spans="4:4" x14ac:dyDescent="0.25">
      <c r="D3163"/>
    </row>
    <row r="3164" spans="4:4" x14ac:dyDescent="0.25">
      <c r="D3164"/>
    </row>
    <row r="3165" spans="4:4" x14ac:dyDescent="0.25">
      <c r="D3165"/>
    </row>
    <row r="3166" spans="4:4" x14ac:dyDescent="0.25">
      <c r="D3166"/>
    </row>
    <row r="3167" spans="4:4" x14ac:dyDescent="0.25">
      <c r="D3167"/>
    </row>
    <row r="3168" spans="4:4" x14ac:dyDescent="0.25">
      <c r="D3168"/>
    </row>
    <row r="3169" spans="4:4" x14ac:dyDescent="0.25">
      <c r="D3169"/>
    </row>
    <row r="3170" spans="4:4" x14ac:dyDescent="0.25">
      <c r="D3170"/>
    </row>
    <row r="3171" spans="4:4" x14ac:dyDescent="0.25">
      <c r="D3171"/>
    </row>
    <row r="3172" spans="4:4" x14ac:dyDescent="0.25">
      <c r="D3172"/>
    </row>
    <row r="3173" spans="4:4" x14ac:dyDescent="0.25">
      <c r="D3173"/>
    </row>
    <row r="3174" spans="4:4" x14ac:dyDescent="0.25">
      <c r="D3174"/>
    </row>
    <row r="3175" spans="4:4" x14ac:dyDescent="0.25">
      <c r="D3175"/>
    </row>
    <row r="3176" spans="4:4" x14ac:dyDescent="0.25">
      <c r="D3176"/>
    </row>
    <row r="3177" spans="4:4" x14ac:dyDescent="0.25">
      <c r="D3177"/>
    </row>
    <row r="3178" spans="4:4" x14ac:dyDescent="0.25">
      <c r="D3178"/>
    </row>
    <row r="3179" spans="4:4" x14ac:dyDescent="0.25">
      <c r="D3179"/>
    </row>
    <row r="3180" spans="4:4" x14ac:dyDescent="0.25">
      <c r="D3180"/>
    </row>
    <row r="3181" spans="4:4" x14ac:dyDescent="0.25">
      <c r="D3181"/>
    </row>
    <row r="3182" spans="4:4" x14ac:dyDescent="0.25">
      <c r="D3182"/>
    </row>
    <row r="3183" spans="4:4" x14ac:dyDescent="0.25">
      <c r="D3183"/>
    </row>
    <row r="3184" spans="4:4" x14ac:dyDescent="0.25">
      <c r="D3184"/>
    </row>
    <row r="3185" spans="4:4" x14ac:dyDescent="0.25">
      <c r="D3185"/>
    </row>
    <row r="3186" spans="4:4" x14ac:dyDescent="0.25">
      <c r="D3186"/>
    </row>
    <row r="3187" spans="4:4" x14ac:dyDescent="0.25">
      <c r="D3187"/>
    </row>
    <row r="3188" spans="4:4" x14ac:dyDescent="0.25">
      <c r="D3188"/>
    </row>
    <row r="3189" spans="4:4" x14ac:dyDescent="0.25">
      <c r="D3189"/>
    </row>
    <row r="3190" spans="4:4" x14ac:dyDescent="0.25">
      <c r="D3190"/>
    </row>
    <row r="3191" spans="4:4" x14ac:dyDescent="0.25">
      <c r="D3191"/>
    </row>
    <row r="3192" spans="4:4" x14ac:dyDescent="0.25">
      <c r="D3192"/>
    </row>
    <row r="3193" spans="4:4" x14ac:dyDescent="0.25">
      <c r="D3193"/>
    </row>
    <row r="3194" spans="4:4" x14ac:dyDescent="0.25">
      <c r="D3194"/>
    </row>
    <row r="3195" spans="4:4" x14ac:dyDescent="0.25">
      <c r="D3195"/>
    </row>
    <row r="3196" spans="4:4" x14ac:dyDescent="0.25">
      <c r="D3196"/>
    </row>
    <row r="3197" spans="4:4" x14ac:dyDescent="0.25">
      <c r="D3197"/>
    </row>
    <row r="3198" spans="4:4" x14ac:dyDescent="0.25">
      <c r="D3198"/>
    </row>
    <row r="3199" spans="4:4" x14ac:dyDescent="0.25">
      <c r="D3199"/>
    </row>
    <row r="3200" spans="4:4" x14ac:dyDescent="0.25">
      <c r="D3200"/>
    </row>
    <row r="3201" spans="4:4" x14ac:dyDescent="0.25">
      <c r="D3201"/>
    </row>
    <row r="3202" spans="4:4" x14ac:dyDescent="0.25">
      <c r="D3202"/>
    </row>
    <row r="3203" spans="4:4" x14ac:dyDescent="0.25">
      <c r="D3203"/>
    </row>
    <row r="3204" spans="4:4" x14ac:dyDescent="0.25">
      <c r="D3204"/>
    </row>
    <row r="3205" spans="4:4" x14ac:dyDescent="0.25">
      <c r="D3205"/>
    </row>
    <row r="3206" spans="4:4" x14ac:dyDescent="0.25">
      <c r="D3206"/>
    </row>
    <row r="3207" spans="4:4" x14ac:dyDescent="0.25">
      <c r="D3207"/>
    </row>
    <row r="3208" spans="4:4" x14ac:dyDescent="0.25">
      <c r="D3208"/>
    </row>
    <row r="3209" spans="4:4" x14ac:dyDescent="0.25">
      <c r="D3209"/>
    </row>
    <row r="3210" spans="4:4" x14ac:dyDescent="0.25">
      <c r="D3210"/>
    </row>
    <row r="3211" spans="4:4" x14ac:dyDescent="0.25">
      <c r="D3211"/>
    </row>
    <row r="3212" spans="4:4" x14ac:dyDescent="0.25">
      <c r="D3212"/>
    </row>
    <row r="3213" spans="4:4" x14ac:dyDescent="0.25">
      <c r="D3213"/>
    </row>
    <row r="3214" spans="4:4" x14ac:dyDescent="0.25">
      <c r="D3214"/>
    </row>
    <row r="3215" spans="4:4" x14ac:dyDescent="0.25">
      <c r="D3215"/>
    </row>
    <row r="3216" spans="4:4" x14ac:dyDescent="0.25">
      <c r="D3216"/>
    </row>
    <row r="3217" spans="4:4" x14ac:dyDescent="0.25">
      <c r="D3217"/>
    </row>
    <row r="3218" spans="4:4" x14ac:dyDescent="0.25">
      <c r="D3218"/>
    </row>
    <row r="3219" spans="4:4" x14ac:dyDescent="0.25">
      <c r="D3219"/>
    </row>
    <row r="3220" spans="4:4" x14ac:dyDescent="0.25">
      <c r="D3220"/>
    </row>
    <row r="3221" spans="4:4" x14ac:dyDescent="0.25">
      <c r="D3221"/>
    </row>
    <row r="3222" spans="4:4" x14ac:dyDescent="0.25">
      <c r="D3222"/>
    </row>
    <row r="3223" spans="4:4" x14ac:dyDescent="0.25">
      <c r="D3223"/>
    </row>
    <row r="3224" spans="4:4" x14ac:dyDescent="0.25">
      <c r="D3224"/>
    </row>
    <row r="3225" spans="4:4" x14ac:dyDescent="0.25">
      <c r="D3225"/>
    </row>
    <row r="3226" spans="4:4" x14ac:dyDescent="0.25">
      <c r="D3226"/>
    </row>
    <row r="3227" spans="4:4" x14ac:dyDescent="0.25">
      <c r="D3227"/>
    </row>
    <row r="3228" spans="4:4" x14ac:dyDescent="0.25">
      <c r="D3228"/>
    </row>
    <row r="3229" spans="4:4" x14ac:dyDescent="0.25">
      <c r="D3229"/>
    </row>
    <row r="3230" spans="4:4" x14ac:dyDescent="0.25">
      <c r="D3230"/>
    </row>
    <row r="3231" spans="4:4" x14ac:dyDescent="0.25">
      <c r="D3231"/>
    </row>
    <row r="3232" spans="4:4" x14ac:dyDescent="0.25">
      <c r="D3232"/>
    </row>
    <row r="3233" spans="4:4" x14ac:dyDescent="0.25">
      <c r="D3233"/>
    </row>
    <row r="3234" spans="4:4" x14ac:dyDescent="0.25">
      <c r="D3234"/>
    </row>
    <row r="3235" spans="4:4" x14ac:dyDescent="0.25">
      <c r="D3235"/>
    </row>
    <row r="3236" spans="4:4" x14ac:dyDescent="0.25">
      <c r="D3236"/>
    </row>
    <row r="3237" spans="4:4" x14ac:dyDescent="0.25">
      <c r="D3237"/>
    </row>
    <row r="3238" spans="4:4" x14ac:dyDescent="0.25">
      <c r="D3238"/>
    </row>
    <row r="3239" spans="4:4" x14ac:dyDescent="0.25">
      <c r="D3239"/>
    </row>
    <row r="3240" spans="4:4" x14ac:dyDescent="0.25">
      <c r="D3240"/>
    </row>
    <row r="3241" spans="4:4" x14ac:dyDescent="0.25">
      <c r="D3241"/>
    </row>
    <row r="3242" spans="4:4" x14ac:dyDescent="0.25">
      <c r="D3242"/>
    </row>
    <row r="3243" spans="4:4" x14ac:dyDescent="0.25">
      <c r="D3243"/>
    </row>
    <row r="3244" spans="4:4" x14ac:dyDescent="0.25">
      <c r="D3244"/>
    </row>
    <row r="3245" spans="4:4" x14ac:dyDescent="0.25">
      <c r="D3245"/>
    </row>
    <row r="3246" spans="4:4" x14ac:dyDescent="0.25">
      <c r="D3246"/>
    </row>
    <row r="3247" spans="4:4" x14ac:dyDescent="0.25">
      <c r="D3247"/>
    </row>
    <row r="3248" spans="4:4" x14ac:dyDescent="0.25">
      <c r="D3248"/>
    </row>
    <row r="3249" spans="4:4" x14ac:dyDescent="0.25">
      <c r="D3249"/>
    </row>
    <row r="3250" spans="4:4" x14ac:dyDescent="0.25">
      <c r="D3250"/>
    </row>
    <row r="3251" spans="4:4" x14ac:dyDescent="0.25">
      <c r="D3251"/>
    </row>
    <row r="3252" spans="4:4" x14ac:dyDescent="0.25">
      <c r="D3252"/>
    </row>
    <row r="3253" spans="4:4" x14ac:dyDescent="0.25">
      <c r="D3253"/>
    </row>
    <row r="3254" spans="4:4" x14ac:dyDescent="0.25">
      <c r="D3254"/>
    </row>
    <row r="3255" spans="4:4" x14ac:dyDescent="0.25">
      <c r="D3255"/>
    </row>
    <row r="3256" spans="4:4" x14ac:dyDescent="0.25">
      <c r="D3256"/>
    </row>
    <row r="3257" spans="4:4" x14ac:dyDescent="0.25">
      <c r="D3257"/>
    </row>
    <row r="3258" spans="4:4" x14ac:dyDescent="0.25">
      <c r="D3258"/>
    </row>
    <row r="3259" spans="4:4" x14ac:dyDescent="0.25">
      <c r="D3259"/>
    </row>
    <row r="3260" spans="4:4" x14ac:dyDescent="0.25">
      <c r="D3260"/>
    </row>
    <row r="3261" spans="4:4" x14ac:dyDescent="0.25">
      <c r="D3261"/>
    </row>
    <row r="3262" spans="4:4" x14ac:dyDescent="0.25">
      <c r="D3262"/>
    </row>
    <row r="3263" spans="4:4" x14ac:dyDescent="0.25">
      <c r="D3263"/>
    </row>
    <row r="3264" spans="4:4" x14ac:dyDescent="0.25">
      <c r="D3264"/>
    </row>
    <row r="3265" spans="4:4" x14ac:dyDescent="0.25">
      <c r="D3265"/>
    </row>
    <row r="3266" spans="4:4" x14ac:dyDescent="0.25">
      <c r="D3266"/>
    </row>
    <row r="3267" spans="4:4" x14ac:dyDescent="0.25">
      <c r="D3267"/>
    </row>
    <row r="3268" spans="4:4" x14ac:dyDescent="0.25">
      <c r="D3268"/>
    </row>
    <row r="3269" spans="4:4" x14ac:dyDescent="0.25">
      <c r="D3269"/>
    </row>
    <row r="3270" spans="4:4" x14ac:dyDescent="0.25">
      <c r="D3270"/>
    </row>
    <row r="3271" spans="4:4" x14ac:dyDescent="0.25">
      <c r="D3271"/>
    </row>
    <row r="3272" spans="4:4" x14ac:dyDescent="0.25">
      <c r="D3272"/>
    </row>
    <row r="3273" spans="4:4" x14ac:dyDescent="0.25">
      <c r="D3273"/>
    </row>
    <row r="3274" spans="4:4" x14ac:dyDescent="0.25">
      <c r="D3274"/>
    </row>
    <row r="3275" spans="4:4" x14ac:dyDescent="0.25">
      <c r="D3275"/>
    </row>
    <row r="3276" spans="4:4" x14ac:dyDescent="0.25">
      <c r="D3276"/>
    </row>
    <row r="3277" spans="4:4" x14ac:dyDescent="0.25">
      <c r="D3277"/>
    </row>
    <row r="3278" spans="4:4" x14ac:dyDescent="0.25">
      <c r="D3278"/>
    </row>
    <row r="3279" spans="4:4" x14ac:dyDescent="0.25">
      <c r="D3279"/>
    </row>
    <row r="3280" spans="4:4" x14ac:dyDescent="0.25">
      <c r="D3280"/>
    </row>
    <row r="3281" spans="4:4" x14ac:dyDescent="0.25">
      <c r="D3281"/>
    </row>
    <row r="3282" spans="4:4" x14ac:dyDescent="0.25">
      <c r="D3282"/>
    </row>
    <row r="3283" spans="4:4" x14ac:dyDescent="0.25">
      <c r="D3283"/>
    </row>
    <row r="3284" spans="4:4" x14ac:dyDescent="0.25">
      <c r="D3284"/>
    </row>
    <row r="3285" spans="4:4" x14ac:dyDescent="0.25">
      <c r="D3285"/>
    </row>
    <row r="3286" spans="4:4" x14ac:dyDescent="0.25">
      <c r="D3286"/>
    </row>
    <row r="3287" spans="4:4" x14ac:dyDescent="0.25">
      <c r="D3287"/>
    </row>
    <row r="3288" spans="4:4" x14ac:dyDescent="0.25">
      <c r="D3288"/>
    </row>
    <row r="3289" spans="4:4" x14ac:dyDescent="0.25">
      <c r="D3289"/>
    </row>
    <row r="3290" spans="4:4" x14ac:dyDescent="0.25">
      <c r="D3290"/>
    </row>
    <row r="3291" spans="4:4" x14ac:dyDescent="0.25">
      <c r="D3291"/>
    </row>
    <row r="3292" spans="4:4" x14ac:dyDescent="0.25">
      <c r="D3292"/>
    </row>
    <row r="3293" spans="4:4" x14ac:dyDescent="0.25">
      <c r="D3293"/>
    </row>
    <row r="3294" spans="4:4" x14ac:dyDescent="0.25">
      <c r="D3294"/>
    </row>
    <row r="3295" spans="4:4" x14ac:dyDescent="0.25">
      <c r="D3295"/>
    </row>
    <row r="3296" spans="4:4" x14ac:dyDescent="0.25">
      <c r="D3296"/>
    </row>
    <row r="3297" spans="4:4" x14ac:dyDescent="0.25">
      <c r="D3297"/>
    </row>
    <row r="3298" spans="4:4" x14ac:dyDescent="0.25">
      <c r="D3298"/>
    </row>
    <row r="3299" spans="4:4" x14ac:dyDescent="0.25">
      <c r="D3299"/>
    </row>
    <row r="3300" spans="4:4" x14ac:dyDescent="0.25">
      <c r="D3300"/>
    </row>
    <row r="3301" spans="4:4" x14ac:dyDescent="0.25">
      <c r="D3301"/>
    </row>
    <row r="3302" spans="4:4" x14ac:dyDescent="0.25">
      <c r="D3302"/>
    </row>
    <row r="3303" spans="4:4" x14ac:dyDescent="0.25">
      <c r="D3303"/>
    </row>
    <row r="3304" spans="4:4" x14ac:dyDescent="0.25">
      <c r="D3304"/>
    </row>
    <row r="3305" spans="4:4" x14ac:dyDescent="0.25">
      <c r="D3305"/>
    </row>
    <row r="3306" spans="4:4" x14ac:dyDescent="0.25">
      <c r="D3306"/>
    </row>
    <row r="3307" spans="4:4" x14ac:dyDescent="0.25">
      <c r="D3307"/>
    </row>
    <row r="3308" spans="4:4" x14ac:dyDescent="0.25">
      <c r="D3308"/>
    </row>
    <row r="3309" spans="4:4" x14ac:dyDescent="0.25">
      <c r="D3309"/>
    </row>
    <row r="3310" spans="4:4" x14ac:dyDescent="0.25">
      <c r="D3310"/>
    </row>
    <row r="3311" spans="4:4" x14ac:dyDescent="0.25">
      <c r="D3311"/>
    </row>
    <row r="3312" spans="4:4" x14ac:dyDescent="0.25">
      <c r="D3312"/>
    </row>
    <row r="3313" spans="4:4" x14ac:dyDescent="0.25">
      <c r="D3313"/>
    </row>
    <row r="3314" spans="4:4" x14ac:dyDescent="0.25">
      <c r="D3314"/>
    </row>
    <row r="3315" spans="4:4" x14ac:dyDescent="0.25">
      <c r="D3315"/>
    </row>
    <row r="3316" spans="4:4" x14ac:dyDescent="0.25">
      <c r="D3316"/>
    </row>
    <row r="3317" spans="4:4" x14ac:dyDescent="0.25">
      <c r="D3317"/>
    </row>
    <row r="3318" spans="4:4" x14ac:dyDescent="0.25">
      <c r="D3318"/>
    </row>
    <row r="3319" spans="4:4" x14ac:dyDescent="0.25">
      <c r="D3319"/>
    </row>
    <row r="3320" spans="4:4" x14ac:dyDescent="0.25">
      <c r="D3320"/>
    </row>
    <row r="3321" spans="4:4" x14ac:dyDescent="0.25">
      <c r="D3321"/>
    </row>
    <row r="3322" spans="4:4" x14ac:dyDescent="0.25">
      <c r="D3322"/>
    </row>
    <row r="3323" spans="4:4" x14ac:dyDescent="0.25">
      <c r="D3323"/>
    </row>
    <row r="3324" spans="4:4" x14ac:dyDescent="0.25">
      <c r="D3324"/>
    </row>
    <row r="3325" spans="4:4" x14ac:dyDescent="0.25">
      <c r="D3325"/>
    </row>
    <row r="3326" spans="4:4" x14ac:dyDescent="0.25">
      <c r="D3326"/>
    </row>
    <row r="3327" spans="4:4" x14ac:dyDescent="0.25">
      <c r="D3327"/>
    </row>
    <row r="3328" spans="4:4" x14ac:dyDescent="0.25">
      <c r="D3328"/>
    </row>
    <row r="3329" spans="4:4" x14ac:dyDescent="0.25">
      <c r="D3329"/>
    </row>
    <row r="3330" spans="4:4" x14ac:dyDescent="0.25">
      <c r="D3330"/>
    </row>
    <row r="3331" spans="4:4" x14ac:dyDescent="0.25">
      <c r="D3331"/>
    </row>
    <row r="3332" spans="4:4" x14ac:dyDescent="0.25">
      <c r="D3332"/>
    </row>
    <row r="3333" spans="4:4" x14ac:dyDescent="0.25">
      <c r="D3333"/>
    </row>
    <row r="3334" spans="4:4" x14ac:dyDescent="0.25">
      <c r="D3334"/>
    </row>
    <row r="3335" spans="4:4" x14ac:dyDescent="0.25">
      <c r="D3335"/>
    </row>
    <row r="3336" spans="4:4" x14ac:dyDescent="0.25">
      <c r="D3336"/>
    </row>
    <row r="3337" spans="4:4" x14ac:dyDescent="0.25">
      <c r="D3337"/>
    </row>
    <row r="3338" spans="4:4" x14ac:dyDescent="0.25">
      <c r="D3338"/>
    </row>
    <row r="3339" spans="4:4" x14ac:dyDescent="0.25">
      <c r="D3339"/>
    </row>
    <row r="3340" spans="4:4" x14ac:dyDescent="0.25">
      <c r="D3340"/>
    </row>
    <row r="3341" spans="4:4" x14ac:dyDescent="0.25">
      <c r="D3341"/>
    </row>
    <row r="3342" spans="4:4" x14ac:dyDescent="0.25">
      <c r="D3342"/>
    </row>
    <row r="3343" spans="4:4" x14ac:dyDescent="0.25">
      <c r="D3343"/>
    </row>
    <row r="3344" spans="4:4" x14ac:dyDescent="0.25">
      <c r="D3344"/>
    </row>
    <row r="3345" spans="4:4" x14ac:dyDescent="0.25">
      <c r="D3345"/>
    </row>
    <row r="3346" spans="4:4" x14ac:dyDescent="0.25">
      <c r="D3346"/>
    </row>
    <row r="3347" spans="4:4" x14ac:dyDescent="0.25">
      <c r="D3347"/>
    </row>
    <row r="3348" spans="4:4" x14ac:dyDescent="0.25">
      <c r="D3348"/>
    </row>
    <row r="3349" spans="4:4" x14ac:dyDescent="0.25">
      <c r="D3349"/>
    </row>
    <row r="3350" spans="4:4" x14ac:dyDescent="0.25">
      <c r="D3350"/>
    </row>
    <row r="3351" spans="4:4" x14ac:dyDescent="0.25">
      <c r="D3351"/>
    </row>
    <row r="3352" spans="4:4" x14ac:dyDescent="0.25">
      <c r="D3352"/>
    </row>
    <row r="3353" spans="4:4" x14ac:dyDescent="0.25">
      <c r="D3353"/>
    </row>
    <row r="3354" spans="4:4" x14ac:dyDescent="0.25">
      <c r="D3354"/>
    </row>
    <row r="3355" spans="4:4" x14ac:dyDescent="0.25">
      <c r="D3355"/>
    </row>
    <row r="3356" spans="4:4" x14ac:dyDescent="0.25">
      <c r="D3356"/>
    </row>
    <row r="3357" spans="4:4" x14ac:dyDescent="0.25">
      <c r="D3357"/>
    </row>
    <row r="3358" spans="4:4" x14ac:dyDescent="0.25">
      <c r="D3358"/>
    </row>
    <row r="3359" spans="4:4" x14ac:dyDescent="0.25">
      <c r="D3359"/>
    </row>
    <row r="3360" spans="4:4" x14ac:dyDescent="0.25">
      <c r="D3360"/>
    </row>
    <row r="3361" spans="4:4" x14ac:dyDescent="0.25">
      <c r="D3361"/>
    </row>
    <row r="3362" spans="4:4" x14ac:dyDescent="0.25">
      <c r="D3362"/>
    </row>
    <row r="3363" spans="4:4" x14ac:dyDescent="0.25">
      <c r="D3363"/>
    </row>
    <row r="3364" spans="4:4" x14ac:dyDescent="0.25">
      <c r="D3364"/>
    </row>
    <row r="3365" spans="4:4" x14ac:dyDescent="0.25">
      <c r="D3365"/>
    </row>
    <row r="3366" spans="4:4" x14ac:dyDescent="0.25">
      <c r="D3366"/>
    </row>
    <row r="3367" spans="4:4" x14ac:dyDescent="0.25">
      <c r="D3367"/>
    </row>
    <row r="3368" spans="4:4" x14ac:dyDescent="0.25">
      <c r="D3368"/>
    </row>
    <row r="3369" spans="4:4" x14ac:dyDescent="0.25">
      <c r="D3369"/>
    </row>
    <row r="3370" spans="4:4" x14ac:dyDescent="0.25">
      <c r="D3370"/>
    </row>
    <row r="3371" spans="4:4" x14ac:dyDescent="0.25">
      <c r="D3371"/>
    </row>
    <row r="3372" spans="4:4" x14ac:dyDescent="0.25">
      <c r="D3372"/>
    </row>
    <row r="3373" spans="4:4" x14ac:dyDescent="0.25">
      <c r="D3373"/>
    </row>
    <row r="3374" spans="4:4" x14ac:dyDescent="0.25">
      <c r="D3374"/>
    </row>
    <row r="3375" spans="4:4" x14ac:dyDescent="0.25">
      <c r="D3375"/>
    </row>
    <row r="3376" spans="4:4" x14ac:dyDescent="0.25">
      <c r="D3376"/>
    </row>
    <row r="3377" spans="4:4" x14ac:dyDescent="0.25">
      <c r="D3377"/>
    </row>
    <row r="3378" spans="4:4" x14ac:dyDescent="0.25">
      <c r="D3378"/>
    </row>
    <row r="3379" spans="4:4" x14ac:dyDescent="0.25">
      <c r="D3379"/>
    </row>
    <row r="3380" spans="4:4" x14ac:dyDescent="0.25">
      <c r="D3380"/>
    </row>
    <row r="3381" spans="4:4" x14ac:dyDescent="0.25">
      <c r="D3381"/>
    </row>
    <row r="3382" spans="4:4" x14ac:dyDescent="0.25">
      <c r="D3382"/>
    </row>
    <row r="3383" spans="4:4" x14ac:dyDescent="0.25">
      <c r="D3383"/>
    </row>
    <row r="3384" spans="4:4" x14ac:dyDescent="0.25">
      <c r="D3384"/>
    </row>
    <row r="3385" spans="4:4" x14ac:dyDescent="0.25">
      <c r="D3385"/>
    </row>
    <row r="3386" spans="4:4" x14ac:dyDescent="0.25">
      <c r="D3386"/>
    </row>
    <row r="3387" spans="4:4" x14ac:dyDescent="0.25">
      <c r="D3387"/>
    </row>
    <row r="3388" spans="4:4" x14ac:dyDescent="0.25">
      <c r="D3388"/>
    </row>
    <row r="3389" spans="4:4" x14ac:dyDescent="0.25">
      <c r="D3389"/>
    </row>
    <row r="3390" spans="4:4" x14ac:dyDescent="0.25">
      <c r="D3390"/>
    </row>
    <row r="3391" spans="4:4" x14ac:dyDescent="0.25">
      <c r="D3391"/>
    </row>
    <row r="3392" spans="4:4" x14ac:dyDescent="0.25">
      <c r="D3392"/>
    </row>
    <row r="3393" spans="4:4" x14ac:dyDescent="0.25">
      <c r="D3393"/>
    </row>
    <row r="3394" spans="4:4" x14ac:dyDescent="0.25">
      <c r="D3394"/>
    </row>
    <row r="3395" spans="4:4" x14ac:dyDescent="0.25">
      <c r="D3395"/>
    </row>
    <row r="3396" spans="4:4" x14ac:dyDescent="0.25">
      <c r="D3396"/>
    </row>
    <row r="3397" spans="4:4" x14ac:dyDescent="0.25">
      <c r="D3397"/>
    </row>
    <row r="3398" spans="4:4" x14ac:dyDescent="0.25">
      <c r="D3398"/>
    </row>
    <row r="3399" spans="4:4" x14ac:dyDescent="0.25">
      <c r="D3399"/>
    </row>
    <row r="3400" spans="4:4" x14ac:dyDescent="0.25">
      <c r="D3400"/>
    </row>
    <row r="3401" spans="4:4" x14ac:dyDescent="0.25">
      <c r="D3401"/>
    </row>
    <row r="3402" spans="4:4" x14ac:dyDescent="0.25">
      <c r="D3402"/>
    </row>
    <row r="3403" spans="4:4" x14ac:dyDescent="0.25">
      <c r="D3403"/>
    </row>
    <row r="3404" spans="4:4" x14ac:dyDescent="0.25">
      <c r="D3404"/>
    </row>
    <row r="3405" spans="4:4" x14ac:dyDescent="0.25">
      <c r="D3405"/>
    </row>
    <row r="3406" spans="4:4" x14ac:dyDescent="0.25">
      <c r="D3406"/>
    </row>
    <row r="3407" spans="4:4" x14ac:dyDescent="0.25">
      <c r="D3407"/>
    </row>
    <row r="3408" spans="4:4" x14ac:dyDescent="0.25">
      <c r="D3408"/>
    </row>
    <row r="3409" spans="4:4" x14ac:dyDescent="0.25">
      <c r="D3409"/>
    </row>
    <row r="3410" spans="4:4" x14ac:dyDescent="0.25">
      <c r="D3410"/>
    </row>
    <row r="3411" spans="4:4" x14ac:dyDescent="0.25">
      <c r="D3411"/>
    </row>
    <row r="3412" spans="4:4" x14ac:dyDescent="0.25">
      <c r="D3412"/>
    </row>
    <row r="3413" spans="4:4" x14ac:dyDescent="0.25">
      <c r="D3413"/>
    </row>
    <row r="3414" spans="4:4" x14ac:dyDescent="0.25">
      <c r="D3414"/>
    </row>
    <row r="3415" spans="4:4" x14ac:dyDescent="0.25">
      <c r="D3415"/>
    </row>
    <row r="3416" spans="4:4" x14ac:dyDescent="0.25">
      <c r="D3416"/>
    </row>
    <row r="3417" spans="4:4" x14ac:dyDescent="0.25">
      <c r="D3417"/>
    </row>
    <row r="3418" spans="4:4" x14ac:dyDescent="0.25">
      <c r="D3418"/>
    </row>
    <row r="3419" spans="4:4" x14ac:dyDescent="0.25">
      <c r="D3419"/>
    </row>
    <row r="3420" spans="4:4" x14ac:dyDescent="0.25">
      <c r="D3420"/>
    </row>
    <row r="3421" spans="4:4" x14ac:dyDescent="0.25">
      <c r="D3421"/>
    </row>
    <row r="3422" spans="4:4" x14ac:dyDescent="0.25">
      <c r="D3422"/>
    </row>
    <row r="3423" spans="4:4" x14ac:dyDescent="0.25">
      <c r="D3423"/>
    </row>
    <row r="3424" spans="4:4" x14ac:dyDescent="0.25">
      <c r="D3424"/>
    </row>
    <row r="3425" spans="4:4" x14ac:dyDescent="0.25">
      <c r="D3425"/>
    </row>
    <row r="3426" spans="4:4" x14ac:dyDescent="0.25">
      <c r="D3426"/>
    </row>
    <row r="3427" spans="4:4" x14ac:dyDescent="0.25">
      <c r="D3427"/>
    </row>
    <row r="3428" spans="4:4" x14ac:dyDescent="0.25">
      <c r="D3428"/>
    </row>
    <row r="3429" spans="4:4" x14ac:dyDescent="0.25">
      <c r="D3429"/>
    </row>
    <row r="3430" spans="4:4" x14ac:dyDescent="0.25">
      <c r="D3430"/>
    </row>
    <row r="3431" spans="4:4" x14ac:dyDescent="0.25">
      <c r="D3431"/>
    </row>
    <row r="3432" spans="4:4" x14ac:dyDescent="0.25">
      <c r="D3432"/>
    </row>
    <row r="3433" spans="4:4" x14ac:dyDescent="0.25">
      <c r="D3433"/>
    </row>
    <row r="3434" spans="4:4" x14ac:dyDescent="0.25">
      <c r="D3434"/>
    </row>
    <row r="3435" spans="4:4" x14ac:dyDescent="0.25">
      <c r="D3435"/>
    </row>
    <row r="3436" spans="4:4" x14ac:dyDescent="0.25">
      <c r="D3436"/>
    </row>
    <row r="3437" spans="4:4" x14ac:dyDescent="0.25">
      <c r="D3437"/>
    </row>
    <row r="3438" spans="4:4" x14ac:dyDescent="0.25">
      <c r="D3438"/>
    </row>
    <row r="3439" spans="4:4" x14ac:dyDescent="0.25">
      <c r="D3439"/>
    </row>
    <row r="3440" spans="4:4" x14ac:dyDescent="0.25">
      <c r="D3440"/>
    </row>
    <row r="3441" spans="4:4" x14ac:dyDescent="0.25">
      <c r="D3441"/>
    </row>
    <row r="3442" spans="4:4" x14ac:dyDescent="0.25">
      <c r="D3442"/>
    </row>
    <row r="3443" spans="4:4" x14ac:dyDescent="0.25">
      <c r="D3443"/>
    </row>
    <row r="3444" spans="4:4" x14ac:dyDescent="0.25">
      <c r="D3444"/>
    </row>
    <row r="3445" spans="4:4" x14ac:dyDescent="0.25">
      <c r="D3445"/>
    </row>
    <row r="3446" spans="4:4" x14ac:dyDescent="0.25">
      <c r="D3446"/>
    </row>
    <row r="3447" spans="4:4" x14ac:dyDescent="0.25">
      <c r="D3447"/>
    </row>
    <row r="3448" spans="4:4" x14ac:dyDescent="0.25">
      <c r="D3448"/>
    </row>
    <row r="3449" spans="4:4" x14ac:dyDescent="0.25">
      <c r="D3449"/>
    </row>
    <row r="3450" spans="4:4" x14ac:dyDescent="0.25">
      <c r="D3450"/>
    </row>
    <row r="3451" spans="4:4" x14ac:dyDescent="0.25">
      <c r="D3451"/>
    </row>
    <row r="3452" spans="4:4" x14ac:dyDescent="0.25">
      <c r="D3452"/>
    </row>
    <row r="3453" spans="4:4" x14ac:dyDescent="0.25">
      <c r="D3453"/>
    </row>
    <row r="3454" spans="4:4" x14ac:dyDescent="0.25">
      <c r="D3454"/>
    </row>
    <row r="3455" spans="4:4" x14ac:dyDescent="0.25">
      <c r="D3455"/>
    </row>
    <row r="3456" spans="4:4" x14ac:dyDescent="0.25">
      <c r="D3456"/>
    </row>
    <row r="3457" spans="4:4" x14ac:dyDescent="0.25">
      <c r="D3457"/>
    </row>
    <row r="3458" spans="4:4" x14ac:dyDescent="0.25">
      <c r="D3458"/>
    </row>
    <row r="3459" spans="4:4" x14ac:dyDescent="0.25">
      <c r="D3459"/>
    </row>
    <row r="3460" spans="4:4" x14ac:dyDescent="0.25">
      <c r="D3460"/>
    </row>
    <row r="3461" spans="4:4" x14ac:dyDescent="0.25">
      <c r="D3461"/>
    </row>
    <row r="3462" spans="4:4" x14ac:dyDescent="0.25">
      <c r="D3462"/>
    </row>
    <row r="3463" spans="4:4" x14ac:dyDescent="0.25">
      <c r="D3463"/>
    </row>
    <row r="3464" spans="4:4" x14ac:dyDescent="0.25">
      <c r="D3464"/>
    </row>
    <row r="3465" spans="4:4" x14ac:dyDescent="0.25">
      <c r="D3465"/>
    </row>
    <row r="3466" spans="4:4" x14ac:dyDescent="0.25">
      <c r="D3466"/>
    </row>
    <row r="3467" spans="4:4" x14ac:dyDescent="0.25">
      <c r="D3467"/>
    </row>
    <row r="3468" spans="4:4" x14ac:dyDescent="0.25">
      <c r="D3468"/>
    </row>
    <row r="3469" spans="4:4" x14ac:dyDescent="0.25">
      <c r="D3469"/>
    </row>
    <row r="3470" spans="4:4" x14ac:dyDescent="0.25">
      <c r="D3470"/>
    </row>
    <row r="3471" spans="4:4" x14ac:dyDescent="0.25">
      <c r="D3471"/>
    </row>
    <row r="3472" spans="4:4" x14ac:dyDescent="0.25">
      <c r="D3472"/>
    </row>
    <row r="3473" spans="4:4" x14ac:dyDescent="0.25">
      <c r="D3473"/>
    </row>
    <row r="3474" spans="4:4" x14ac:dyDescent="0.25">
      <c r="D3474"/>
    </row>
    <row r="3475" spans="4:4" x14ac:dyDescent="0.25">
      <c r="D3475"/>
    </row>
    <row r="3476" spans="4:4" x14ac:dyDescent="0.25">
      <c r="D3476"/>
    </row>
    <row r="3477" spans="4:4" x14ac:dyDescent="0.25">
      <c r="D3477"/>
    </row>
    <row r="3478" spans="4:4" x14ac:dyDescent="0.25">
      <c r="D3478"/>
    </row>
    <row r="3479" spans="4:4" x14ac:dyDescent="0.25">
      <c r="D3479"/>
    </row>
    <row r="3480" spans="4:4" x14ac:dyDescent="0.25">
      <c r="D3480"/>
    </row>
    <row r="3481" spans="4:4" x14ac:dyDescent="0.25">
      <c r="D3481"/>
    </row>
    <row r="3482" spans="4:4" x14ac:dyDescent="0.25">
      <c r="D3482"/>
    </row>
    <row r="3483" spans="4:4" x14ac:dyDescent="0.25">
      <c r="D3483"/>
    </row>
    <row r="3484" spans="4:4" x14ac:dyDescent="0.25">
      <c r="D3484"/>
    </row>
    <row r="3485" spans="4:4" x14ac:dyDescent="0.25">
      <c r="D3485"/>
    </row>
    <row r="3486" spans="4:4" x14ac:dyDescent="0.25">
      <c r="D3486"/>
    </row>
    <row r="3487" spans="4:4" x14ac:dyDescent="0.25">
      <c r="D3487"/>
    </row>
    <row r="3488" spans="4:4" x14ac:dyDescent="0.25">
      <c r="D3488"/>
    </row>
    <row r="3489" spans="4:4" x14ac:dyDescent="0.25">
      <c r="D3489"/>
    </row>
    <row r="3490" spans="4:4" x14ac:dyDescent="0.25">
      <c r="D3490"/>
    </row>
    <row r="3491" spans="4:4" x14ac:dyDescent="0.25">
      <c r="D3491"/>
    </row>
    <row r="3492" spans="4:4" x14ac:dyDescent="0.25">
      <c r="D3492"/>
    </row>
    <row r="3493" spans="4:4" x14ac:dyDescent="0.25">
      <c r="D3493"/>
    </row>
    <row r="3494" spans="4:4" x14ac:dyDescent="0.25">
      <c r="D3494"/>
    </row>
    <row r="3495" spans="4:4" x14ac:dyDescent="0.25">
      <c r="D3495"/>
    </row>
    <row r="3496" spans="4:4" x14ac:dyDescent="0.25">
      <c r="D3496"/>
    </row>
    <row r="3497" spans="4:4" x14ac:dyDescent="0.25">
      <c r="D3497"/>
    </row>
    <row r="3498" spans="4:4" x14ac:dyDescent="0.25">
      <c r="D3498"/>
    </row>
    <row r="3499" spans="4:4" x14ac:dyDescent="0.25">
      <c r="D3499"/>
    </row>
    <row r="3500" spans="4:4" x14ac:dyDescent="0.25">
      <c r="D3500"/>
    </row>
    <row r="3501" spans="4:4" x14ac:dyDescent="0.25">
      <c r="D3501"/>
    </row>
    <row r="3502" spans="4:4" x14ac:dyDescent="0.25">
      <c r="D3502"/>
    </row>
    <row r="3503" spans="4:4" x14ac:dyDescent="0.25">
      <c r="D3503"/>
    </row>
    <row r="3504" spans="4:4" x14ac:dyDescent="0.25">
      <c r="D3504"/>
    </row>
    <row r="3505" spans="4:4" x14ac:dyDescent="0.25">
      <c r="D3505"/>
    </row>
    <row r="3506" spans="4:4" x14ac:dyDescent="0.25">
      <c r="D3506"/>
    </row>
    <row r="3507" spans="4:4" x14ac:dyDescent="0.25">
      <c r="D3507"/>
    </row>
    <row r="3508" spans="4:4" x14ac:dyDescent="0.25">
      <c r="D3508"/>
    </row>
    <row r="3509" spans="4:4" x14ac:dyDescent="0.25">
      <c r="D3509"/>
    </row>
    <row r="3510" spans="4:4" x14ac:dyDescent="0.25">
      <c r="D3510"/>
    </row>
    <row r="3511" spans="4:4" x14ac:dyDescent="0.25">
      <c r="D3511"/>
    </row>
    <row r="3512" spans="4:4" x14ac:dyDescent="0.25">
      <c r="D3512"/>
    </row>
    <row r="3513" spans="4:4" x14ac:dyDescent="0.25">
      <c r="D3513"/>
    </row>
    <row r="3514" spans="4:4" x14ac:dyDescent="0.25">
      <c r="D3514"/>
    </row>
    <row r="3515" spans="4:4" x14ac:dyDescent="0.25">
      <c r="D3515"/>
    </row>
    <row r="3516" spans="4:4" x14ac:dyDescent="0.25">
      <c r="D3516"/>
    </row>
    <row r="3517" spans="4:4" x14ac:dyDescent="0.25">
      <c r="D3517"/>
    </row>
    <row r="3518" spans="4:4" x14ac:dyDescent="0.25">
      <c r="D3518"/>
    </row>
    <row r="3519" spans="4:4" x14ac:dyDescent="0.25">
      <c r="D3519"/>
    </row>
    <row r="3520" spans="4:4" x14ac:dyDescent="0.25">
      <c r="D3520"/>
    </row>
    <row r="3521" spans="4:4" x14ac:dyDescent="0.25">
      <c r="D3521"/>
    </row>
    <row r="3522" spans="4:4" x14ac:dyDescent="0.25">
      <c r="D3522"/>
    </row>
    <row r="3523" spans="4:4" x14ac:dyDescent="0.25">
      <c r="D3523"/>
    </row>
    <row r="3524" spans="4:4" x14ac:dyDescent="0.25">
      <c r="D3524"/>
    </row>
    <row r="3525" spans="4:4" x14ac:dyDescent="0.25">
      <c r="D3525"/>
    </row>
    <row r="3526" spans="4:4" x14ac:dyDescent="0.25">
      <c r="D3526"/>
    </row>
    <row r="3527" spans="4:4" x14ac:dyDescent="0.25">
      <c r="D3527"/>
    </row>
    <row r="3528" spans="4:4" x14ac:dyDescent="0.25">
      <c r="D3528"/>
    </row>
    <row r="3529" spans="4:4" x14ac:dyDescent="0.25">
      <c r="D3529"/>
    </row>
    <row r="3530" spans="4:4" x14ac:dyDescent="0.25">
      <c r="D3530"/>
    </row>
    <row r="3531" spans="4:4" x14ac:dyDescent="0.25">
      <c r="D3531"/>
    </row>
    <row r="3532" spans="4:4" x14ac:dyDescent="0.25">
      <c r="D3532"/>
    </row>
    <row r="3533" spans="4:4" x14ac:dyDescent="0.25">
      <c r="D3533"/>
    </row>
    <row r="3534" spans="4:4" x14ac:dyDescent="0.25">
      <c r="D3534"/>
    </row>
    <row r="3535" spans="4:4" x14ac:dyDescent="0.25">
      <c r="D3535"/>
    </row>
    <row r="3536" spans="4:4" x14ac:dyDescent="0.25">
      <c r="D3536"/>
    </row>
    <row r="3537" spans="4:4" x14ac:dyDescent="0.25">
      <c r="D3537"/>
    </row>
    <row r="3538" spans="4:4" x14ac:dyDescent="0.25">
      <c r="D3538"/>
    </row>
    <row r="3539" spans="4:4" x14ac:dyDescent="0.25">
      <c r="D3539"/>
    </row>
    <row r="3540" spans="4:4" x14ac:dyDescent="0.25">
      <c r="D3540"/>
    </row>
    <row r="3541" spans="4:4" x14ac:dyDescent="0.25">
      <c r="D3541"/>
    </row>
    <row r="3542" spans="4:4" x14ac:dyDescent="0.25">
      <c r="D3542"/>
    </row>
    <row r="3543" spans="4:4" x14ac:dyDescent="0.25">
      <c r="D3543"/>
    </row>
    <row r="3544" spans="4:4" x14ac:dyDescent="0.25">
      <c r="D3544"/>
    </row>
    <row r="3545" spans="4:4" x14ac:dyDescent="0.25">
      <c r="D3545"/>
    </row>
    <row r="3546" spans="4:4" x14ac:dyDescent="0.25">
      <c r="D3546"/>
    </row>
    <row r="3547" spans="4:4" x14ac:dyDescent="0.25">
      <c r="D3547"/>
    </row>
    <row r="3548" spans="4:4" x14ac:dyDescent="0.25">
      <c r="D3548"/>
    </row>
    <row r="3549" spans="4:4" x14ac:dyDescent="0.25">
      <c r="D3549"/>
    </row>
    <row r="3550" spans="4:4" x14ac:dyDescent="0.25">
      <c r="D3550"/>
    </row>
    <row r="3551" spans="4:4" x14ac:dyDescent="0.25">
      <c r="D3551"/>
    </row>
    <row r="3552" spans="4:4" x14ac:dyDescent="0.25">
      <c r="D3552"/>
    </row>
    <row r="3553" spans="4:4" x14ac:dyDescent="0.25">
      <c r="D3553"/>
    </row>
    <row r="3554" spans="4:4" x14ac:dyDescent="0.25">
      <c r="D3554"/>
    </row>
    <row r="3555" spans="4:4" x14ac:dyDescent="0.25">
      <c r="D3555"/>
    </row>
    <row r="3556" spans="4:4" x14ac:dyDescent="0.25">
      <c r="D3556"/>
    </row>
    <row r="3557" spans="4:4" x14ac:dyDescent="0.25">
      <c r="D3557"/>
    </row>
    <row r="3558" spans="4:4" x14ac:dyDescent="0.25">
      <c r="D3558"/>
    </row>
    <row r="3559" spans="4:4" x14ac:dyDescent="0.25">
      <c r="D3559"/>
    </row>
    <row r="3560" spans="4:4" x14ac:dyDescent="0.25">
      <c r="D3560"/>
    </row>
    <row r="3561" spans="4:4" x14ac:dyDescent="0.25">
      <c r="D3561"/>
    </row>
    <row r="3562" spans="4:4" x14ac:dyDescent="0.25">
      <c r="D3562"/>
    </row>
    <row r="3563" spans="4:4" x14ac:dyDescent="0.25">
      <c r="D3563"/>
    </row>
    <row r="3564" spans="4:4" x14ac:dyDescent="0.25">
      <c r="D3564"/>
    </row>
    <row r="3565" spans="4:4" x14ac:dyDescent="0.25">
      <c r="D3565"/>
    </row>
    <row r="3566" spans="4:4" x14ac:dyDescent="0.25">
      <c r="D3566"/>
    </row>
    <row r="3567" spans="4:4" x14ac:dyDescent="0.25">
      <c r="D3567"/>
    </row>
    <row r="3568" spans="4:4" x14ac:dyDescent="0.25">
      <c r="D3568"/>
    </row>
    <row r="3569" spans="4:4" x14ac:dyDescent="0.25">
      <c r="D3569"/>
    </row>
    <row r="3570" spans="4:4" x14ac:dyDescent="0.25">
      <c r="D3570"/>
    </row>
    <row r="3571" spans="4:4" x14ac:dyDescent="0.25">
      <c r="D3571"/>
    </row>
    <row r="3572" spans="4:4" x14ac:dyDescent="0.25">
      <c r="D3572"/>
    </row>
    <row r="3573" spans="4:4" x14ac:dyDescent="0.25">
      <c r="D3573"/>
    </row>
    <row r="3574" spans="4:4" x14ac:dyDescent="0.25">
      <c r="D3574"/>
    </row>
    <row r="3575" spans="4:4" x14ac:dyDescent="0.25">
      <c r="D3575"/>
    </row>
    <row r="3576" spans="4:4" x14ac:dyDescent="0.25">
      <c r="D3576"/>
    </row>
    <row r="3577" spans="4:4" x14ac:dyDescent="0.25">
      <c r="D3577"/>
    </row>
    <row r="3578" spans="4:4" x14ac:dyDescent="0.25">
      <c r="D3578"/>
    </row>
    <row r="3579" spans="4:4" x14ac:dyDescent="0.25">
      <c r="D3579"/>
    </row>
    <row r="3580" spans="4:4" x14ac:dyDescent="0.25">
      <c r="D3580"/>
    </row>
    <row r="3581" spans="4:4" x14ac:dyDescent="0.25">
      <c r="D3581"/>
    </row>
    <row r="3582" spans="4:4" x14ac:dyDescent="0.25">
      <c r="D3582"/>
    </row>
    <row r="3583" spans="4:4" x14ac:dyDescent="0.25">
      <c r="D3583"/>
    </row>
    <row r="3584" spans="4:4" x14ac:dyDescent="0.25">
      <c r="D3584"/>
    </row>
    <row r="3585" spans="4:4" x14ac:dyDescent="0.25">
      <c r="D3585"/>
    </row>
    <row r="3586" spans="4:4" x14ac:dyDescent="0.25">
      <c r="D3586"/>
    </row>
    <row r="3587" spans="4:4" x14ac:dyDescent="0.25">
      <c r="D3587"/>
    </row>
    <row r="3588" spans="4:4" x14ac:dyDescent="0.25">
      <c r="D3588"/>
    </row>
    <row r="3589" spans="4:4" x14ac:dyDescent="0.25">
      <c r="D3589"/>
    </row>
    <row r="3590" spans="4:4" x14ac:dyDescent="0.25">
      <c r="D3590"/>
    </row>
    <row r="3591" spans="4:4" x14ac:dyDescent="0.25">
      <c r="D3591"/>
    </row>
    <row r="3592" spans="4:4" x14ac:dyDescent="0.25">
      <c r="D3592"/>
    </row>
    <row r="3593" spans="4:4" x14ac:dyDescent="0.25">
      <c r="D3593"/>
    </row>
    <row r="3594" spans="4:4" x14ac:dyDescent="0.25">
      <c r="D3594"/>
    </row>
    <row r="3595" spans="4:4" x14ac:dyDescent="0.25">
      <c r="D3595"/>
    </row>
    <row r="3596" spans="4:4" x14ac:dyDescent="0.25">
      <c r="D3596"/>
    </row>
    <row r="3597" spans="4:4" x14ac:dyDescent="0.25">
      <c r="D3597"/>
    </row>
    <row r="3598" spans="4:4" x14ac:dyDescent="0.25">
      <c r="D3598"/>
    </row>
    <row r="3599" spans="4:4" x14ac:dyDescent="0.25">
      <c r="D3599"/>
    </row>
    <row r="3600" spans="4:4" x14ac:dyDescent="0.25">
      <c r="D3600"/>
    </row>
    <row r="3601" spans="4:4" x14ac:dyDescent="0.25">
      <c r="D3601"/>
    </row>
    <row r="3602" spans="4:4" x14ac:dyDescent="0.25">
      <c r="D3602"/>
    </row>
    <row r="3603" spans="4:4" x14ac:dyDescent="0.25">
      <c r="D3603"/>
    </row>
    <row r="3604" spans="4:4" x14ac:dyDescent="0.25">
      <c r="D3604"/>
    </row>
    <row r="3605" spans="4:4" x14ac:dyDescent="0.25">
      <c r="D3605"/>
    </row>
    <row r="3606" spans="4:4" x14ac:dyDescent="0.25">
      <c r="D3606"/>
    </row>
    <row r="3607" spans="4:4" x14ac:dyDescent="0.25">
      <c r="D3607"/>
    </row>
    <row r="3608" spans="4:4" x14ac:dyDescent="0.25">
      <c r="D3608"/>
    </row>
    <row r="3609" spans="4:4" x14ac:dyDescent="0.25">
      <c r="D3609"/>
    </row>
    <row r="3610" spans="4:4" x14ac:dyDescent="0.25">
      <c r="D3610"/>
    </row>
    <row r="3611" spans="4:4" x14ac:dyDescent="0.25">
      <c r="D3611"/>
    </row>
    <row r="3612" spans="4:4" x14ac:dyDescent="0.25">
      <c r="D3612"/>
    </row>
    <row r="3613" spans="4:4" x14ac:dyDescent="0.25">
      <c r="D3613"/>
    </row>
    <row r="3614" spans="4:4" x14ac:dyDescent="0.25">
      <c r="D3614"/>
    </row>
    <row r="3615" spans="4:4" x14ac:dyDescent="0.25">
      <c r="D3615"/>
    </row>
    <row r="3616" spans="4:4" x14ac:dyDescent="0.25">
      <c r="D3616"/>
    </row>
    <row r="3617" spans="4:4" x14ac:dyDescent="0.25">
      <c r="D3617"/>
    </row>
    <row r="3618" spans="4:4" x14ac:dyDescent="0.25">
      <c r="D3618"/>
    </row>
    <row r="3619" spans="4:4" x14ac:dyDescent="0.25">
      <c r="D3619"/>
    </row>
    <row r="3620" spans="4:4" x14ac:dyDescent="0.25">
      <c r="D3620"/>
    </row>
    <row r="3621" spans="4:4" x14ac:dyDescent="0.25">
      <c r="D3621"/>
    </row>
    <row r="3622" spans="4:4" x14ac:dyDescent="0.25">
      <c r="D3622"/>
    </row>
    <row r="3623" spans="4:4" x14ac:dyDescent="0.25">
      <c r="D3623"/>
    </row>
    <row r="3624" spans="4:4" x14ac:dyDescent="0.25">
      <c r="D3624"/>
    </row>
    <row r="3625" spans="4:4" x14ac:dyDescent="0.25">
      <c r="D3625"/>
    </row>
    <row r="3626" spans="4:4" x14ac:dyDescent="0.25">
      <c r="D3626"/>
    </row>
    <row r="3627" spans="4:4" x14ac:dyDescent="0.25">
      <c r="D3627"/>
    </row>
    <row r="3628" spans="4:4" x14ac:dyDescent="0.25">
      <c r="D3628"/>
    </row>
    <row r="3629" spans="4:4" x14ac:dyDescent="0.25">
      <c r="D3629"/>
    </row>
    <row r="3630" spans="4:4" x14ac:dyDescent="0.25">
      <c r="D3630"/>
    </row>
    <row r="3631" spans="4:4" x14ac:dyDescent="0.25">
      <c r="D3631"/>
    </row>
    <row r="3632" spans="4:4" x14ac:dyDescent="0.25">
      <c r="D3632"/>
    </row>
    <row r="3633" spans="4:4" x14ac:dyDescent="0.25">
      <c r="D3633"/>
    </row>
    <row r="3634" spans="4:4" x14ac:dyDescent="0.25">
      <c r="D3634"/>
    </row>
    <row r="3635" spans="4:4" x14ac:dyDescent="0.25">
      <c r="D3635"/>
    </row>
    <row r="3636" spans="4:4" x14ac:dyDescent="0.25">
      <c r="D3636"/>
    </row>
    <row r="3637" spans="4:4" x14ac:dyDescent="0.25">
      <c r="D3637"/>
    </row>
    <row r="3638" spans="4:4" x14ac:dyDescent="0.25">
      <c r="D3638"/>
    </row>
    <row r="3639" spans="4:4" x14ac:dyDescent="0.25">
      <c r="D3639"/>
    </row>
    <row r="3640" spans="4:4" x14ac:dyDescent="0.25">
      <c r="D3640"/>
    </row>
    <row r="3641" spans="4:4" x14ac:dyDescent="0.25">
      <c r="D3641"/>
    </row>
    <row r="3642" spans="4:4" x14ac:dyDescent="0.25">
      <c r="D3642"/>
    </row>
    <row r="3643" spans="4:4" x14ac:dyDescent="0.25">
      <c r="D3643"/>
    </row>
    <row r="3644" spans="4:4" x14ac:dyDescent="0.25">
      <c r="D3644"/>
    </row>
    <row r="3645" spans="4:4" x14ac:dyDescent="0.25">
      <c r="D3645"/>
    </row>
    <row r="3646" spans="4:4" x14ac:dyDescent="0.25">
      <c r="D3646"/>
    </row>
    <row r="3647" spans="4:4" x14ac:dyDescent="0.25">
      <c r="D3647"/>
    </row>
    <row r="3648" spans="4:4" x14ac:dyDescent="0.25">
      <c r="D3648"/>
    </row>
    <row r="3649" spans="4:4" x14ac:dyDescent="0.25">
      <c r="D3649"/>
    </row>
    <row r="3650" spans="4:4" x14ac:dyDescent="0.25">
      <c r="D3650"/>
    </row>
    <row r="3651" spans="4:4" x14ac:dyDescent="0.25">
      <c r="D3651"/>
    </row>
    <row r="3652" spans="4:4" x14ac:dyDescent="0.25">
      <c r="D3652"/>
    </row>
    <row r="3653" spans="4:4" x14ac:dyDescent="0.25">
      <c r="D3653"/>
    </row>
    <row r="3654" spans="4:4" x14ac:dyDescent="0.25">
      <c r="D3654"/>
    </row>
    <row r="3655" spans="4:4" x14ac:dyDescent="0.25">
      <c r="D3655"/>
    </row>
    <row r="3656" spans="4:4" x14ac:dyDescent="0.25">
      <c r="D3656"/>
    </row>
    <row r="3657" spans="4:4" x14ac:dyDescent="0.25">
      <c r="D3657"/>
    </row>
    <row r="3658" spans="4:4" x14ac:dyDescent="0.25">
      <c r="D3658"/>
    </row>
    <row r="3659" spans="4:4" x14ac:dyDescent="0.25">
      <c r="D3659"/>
    </row>
    <row r="3660" spans="4:4" x14ac:dyDescent="0.25">
      <c r="D3660"/>
    </row>
    <row r="3661" spans="4:4" x14ac:dyDescent="0.25">
      <c r="D3661"/>
    </row>
    <row r="3662" spans="4:4" x14ac:dyDescent="0.25">
      <c r="D3662"/>
    </row>
    <row r="3663" spans="4:4" x14ac:dyDescent="0.25">
      <c r="D3663"/>
    </row>
    <row r="3664" spans="4:4" x14ac:dyDescent="0.25">
      <c r="D3664"/>
    </row>
    <row r="3665" spans="4:4" x14ac:dyDescent="0.25">
      <c r="D3665"/>
    </row>
    <row r="3666" spans="4:4" x14ac:dyDescent="0.25">
      <c r="D3666"/>
    </row>
    <row r="3667" spans="4:4" x14ac:dyDescent="0.25">
      <c r="D3667"/>
    </row>
    <row r="3668" spans="4:4" x14ac:dyDescent="0.25">
      <c r="D3668"/>
    </row>
    <row r="3669" spans="4:4" x14ac:dyDescent="0.25">
      <c r="D3669"/>
    </row>
    <row r="3670" spans="4:4" x14ac:dyDescent="0.25">
      <c r="D3670"/>
    </row>
    <row r="3671" spans="4:4" x14ac:dyDescent="0.25">
      <c r="D3671"/>
    </row>
    <row r="3672" spans="4:4" x14ac:dyDescent="0.25">
      <c r="D3672"/>
    </row>
    <row r="3673" spans="4:4" x14ac:dyDescent="0.25">
      <c r="D3673"/>
    </row>
    <row r="3674" spans="4:4" x14ac:dyDescent="0.25">
      <c r="D3674"/>
    </row>
    <row r="3675" spans="4:4" x14ac:dyDescent="0.25">
      <c r="D3675"/>
    </row>
    <row r="3676" spans="4:4" x14ac:dyDescent="0.25">
      <c r="D3676"/>
    </row>
    <row r="3677" spans="4:4" x14ac:dyDescent="0.25">
      <c r="D3677"/>
    </row>
    <row r="3678" spans="4:4" x14ac:dyDescent="0.25">
      <c r="D3678"/>
    </row>
    <row r="3679" spans="4:4" x14ac:dyDescent="0.25">
      <c r="D3679"/>
    </row>
    <row r="3680" spans="4:4" x14ac:dyDescent="0.25">
      <c r="D3680"/>
    </row>
    <row r="3681" spans="4:4" x14ac:dyDescent="0.25">
      <c r="D3681"/>
    </row>
    <row r="3682" spans="4:4" x14ac:dyDescent="0.25">
      <c r="D3682"/>
    </row>
    <row r="3683" spans="4:4" x14ac:dyDescent="0.25">
      <c r="D3683"/>
    </row>
    <row r="3684" spans="4:4" x14ac:dyDescent="0.25">
      <c r="D3684"/>
    </row>
    <row r="3685" spans="4:4" x14ac:dyDescent="0.25">
      <c r="D3685"/>
    </row>
    <row r="3686" spans="4:4" x14ac:dyDescent="0.25">
      <c r="D3686"/>
    </row>
    <row r="3687" spans="4:4" x14ac:dyDescent="0.25">
      <c r="D3687"/>
    </row>
    <row r="3688" spans="4:4" x14ac:dyDescent="0.25">
      <c r="D3688"/>
    </row>
    <row r="3689" spans="4:4" x14ac:dyDescent="0.25">
      <c r="D3689"/>
    </row>
    <row r="3690" spans="4:4" x14ac:dyDescent="0.25">
      <c r="D3690"/>
    </row>
    <row r="3691" spans="4:4" x14ac:dyDescent="0.25">
      <c r="D3691"/>
    </row>
    <row r="3692" spans="4:4" x14ac:dyDescent="0.25">
      <c r="D3692"/>
    </row>
    <row r="3693" spans="4:4" x14ac:dyDescent="0.25">
      <c r="D3693"/>
    </row>
    <row r="3694" spans="4:4" x14ac:dyDescent="0.25">
      <c r="D3694"/>
    </row>
    <row r="3695" spans="4:4" x14ac:dyDescent="0.25">
      <c r="D3695"/>
    </row>
    <row r="3696" spans="4:4" x14ac:dyDescent="0.25">
      <c r="D3696"/>
    </row>
    <row r="3697" spans="4:4" x14ac:dyDescent="0.25">
      <c r="D3697"/>
    </row>
    <row r="3698" spans="4:4" x14ac:dyDescent="0.25">
      <c r="D3698"/>
    </row>
    <row r="3699" spans="4:4" x14ac:dyDescent="0.25">
      <c r="D3699"/>
    </row>
    <row r="3700" spans="4:4" x14ac:dyDescent="0.25">
      <c r="D3700"/>
    </row>
    <row r="3701" spans="4:4" x14ac:dyDescent="0.25">
      <c r="D3701"/>
    </row>
    <row r="3702" spans="4:4" x14ac:dyDescent="0.25">
      <c r="D3702"/>
    </row>
    <row r="3703" spans="4:4" x14ac:dyDescent="0.25">
      <c r="D3703"/>
    </row>
    <row r="3704" spans="4:4" x14ac:dyDescent="0.25">
      <c r="D3704"/>
    </row>
    <row r="3705" spans="4:4" x14ac:dyDescent="0.25">
      <c r="D3705"/>
    </row>
    <row r="3706" spans="4:4" x14ac:dyDescent="0.25">
      <c r="D3706"/>
    </row>
    <row r="3707" spans="4:4" x14ac:dyDescent="0.25">
      <c r="D3707"/>
    </row>
    <row r="3708" spans="4:4" x14ac:dyDescent="0.25">
      <c r="D3708"/>
    </row>
    <row r="3709" spans="4:4" x14ac:dyDescent="0.25">
      <c r="D3709"/>
    </row>
    <row r="3710" spans="4:4" x14ac:dyDescent="0.25">
      <c r="D3710"/>
    </row>
    <row r="3711" spans="4:4" x14ac:dyDescent="0.25">
      <c r="D3711"/>
    </row>
    <row r="3712" spans="4:4" x14ac:dyDescent="0.25">
      <c r="D3712"/>
    </row>
    <row r="3713" spans="4:4" x14ac:dyDescent="0.25">
      <c r="D3713"/>
    </row>
    <row r="3714" spans="4:4" x14ac:dyDescent="0.25">
      <c r="D3714"/>
    </row>
    <row r="3715" spans="4:4" x14ac:dyDescent="0.25">
      <c r="D3715"/>
    </row>
    <row r="3716" spans="4:4" x14ac:dyDescent="0.25">
      <c r="D3716"/>
    </row>
    <row r="3717" spans="4:4" x14ac:dyDescent="0.25">
      <c r="D3717"/>
    </row>
    <row r="3718" spans="4:4" x14ac:dyDescent="0.25">
      <c r="D3718"/>
    </row>
    <row r="3719" spans="4:4" x14ac:dyDescent="0.25">
      <c r="D3719"/>
    </row>
    <row r="3720" spans="4:4" x14ac:dyDescent="0.25">
      <c r="D3720"/>
    </row>
    <row r="3721" spans="4:4" x14ac:dyDescent="0.25">
      <c r="D3721"/>
    </row>
    <row r="3722" spans="4:4" x14ac:dyDescent="0.25">
      <c r="D3722"/>
    </row>
    <row r="3723" spans="4:4" x14ac:dyDescent="0.25">
      <c r="D3723"/>
    </row>
    <row r="3724" spans="4:4" x14ac:dyDescent="0.25">
      <c r="D3724"/>
    </row>
    <row r="3725" spans="4:4" x14ac:dyDescent="0.25">
      <c r="D3725"/>
    </row>
    <row r="3726" spans="4:4" x14ac:dyDescent="0.25">
      <c r="D3726"/>
    </row>
    <row r="3727" spans="4:4" x14ac:dyDescent="0.25">
      <c r="D3727"/>
    </row>
    <row r="3728" spans="4:4" x14ac:dyDescent="0.25">
      <c r="D3728"/>
    </row>
    <row r="3729" spans="4:4" x14ac:dyDescent="0.25">
      <c r="D3729"/>
    </row>
    <row r="3730" spans="4:4" x14ac:dyDescent="0.25">
      <c r="D3730"/>
    </row>
    <row r="3731" spans="4:4" x14ac:dyDescent="0.25">
      <c r="D3731"/>
    </row>
    <row r="3732" spans="4:4" x14ac:dyDescent="0.25">
      <c r="D3732"/>
    </row>
    <row r="3733" spans="4:4" x14ac:dyDescent="0.25">
      <c r="D3733"/>
    </row>
    <row r="3734" spans="4:4" x14ac:dyDescent="0.25">
      <c r="D3734"/>
    </row>
    <row r="3735" spans="4:4" x14ac:dyDescent="0.25">
      <c r="D3735"/>
    </row>
    <row r="3736" spans="4:4" x14ac:dyDescent="0.25">
      <c r="D3736"/>
    </row>
    <row r="3737" spans="4:4" x14ac:dyDescent="0.25">
      <c r="D3737"/>
    </row>
    <row r="3738" spans="4:4" x14ac:dyDescent="0.25">
      <c r="D3738"/>
    </row>
    <row r="3739" spans="4:4" x14ac:dyDescent="0.25">
      <c r="D3739"/>
    </row>
    <row r="3740" spans="4:4" x14ac:dyDescent="0.25">
      <c r="D3740"/>
    </row>
    <row r="3741" spans="4:4" x14ac:dyDescent="0.25">
      <c r="D3741"/>
    </row>
    <row r="3742" spans="4:4" x14ac:dyDescent="0.25">
      <c r="D3742"/>
    </row>
    <row r="3743" spans="4:4" x14ac:dyDescent="0.25">
      <c r="D3743"/>
    </row>
    <row r="3744" spans="4:4" x14ac:dyDescent="0.25">
      <c r="D3744"/>
    </row>
    <row r="3745" spans="4:4" x14ac:dyDescent="0.25">
      <c r="D3745"/>
    </row>
    <row r="3746" spans="4:4" x14ac:dyDescent="0.25">
      <c r="D3746"/>
    </row>
    <row r="3747" spans="4:4" x14ac:dyDescent="0.25">
      <c r="D3747"/>
    </row>
    <row r="3748" spans="4:4" x14ac:dyDescent="0.25">
      <c r="D3748"/>
    </row>
    <row r="3749" spans="4:4" x14ac:dyDescent="0.25">
      <c r="D3749"/>
    </row>
    <row r="3750" spans="4:4" x14ac:dyDescent="0.25">
      <c r="D3750"/>
    </row>
    <row r="3751" spans="4:4" x14ac:dyDescent="0.25">
      <c r="D3751"/>
    </row>
    <row r="3752" spans="4:4" x14ac:dyDescent="0.25">
      <c r="D3752"/>
    </row>
    <row r="3753" spans="4:4" x14ac:dyDescent="0.25">
      <c r="D3753"/>
    </row>
    <row r="3754" spans="4:4" x14ac:dyDescent="0.25">
      <c r="D3754"/>
    </row>
    <row r="3755" spans="4:4" x14ac:dyDescent="0.25">
      <c r="D3755"/>
    </row>
    <row r="3756" spans="4:4" x14ac:dyDescent="0.25">
      <c r="D3756"/>
    </row>
    <row r="3757" spans="4:4" x14ac:dyDescent="0.25">
      <c r="D3757"/>
    </row>
    <row r="3758" spans="4:4" x14ac:dyDescent="0.25">
      <c r="D3758"/>
    </row>
    <row r="3759" spans="4:4" x14ac:dyDescent="0.25">
      <c r="D3759"/>
    </row>
    <row r="3760" spans="4:4" x14ac:dyDescent="0.25">
      <c r="D3760"/>
    </row>
    <row r="3761" spans="4:4" x14ac:dyDescent="0.25">
      <c r="D3761"/>
    </row>
    <row r="3762" spans="4:4" x14ac:dyDescent="0.25">
      <c r="D3762"/>
    </row>
    <row r="3763" spans="4:4" x14ac:dyDescent="0.25">
      <c r="D3763"/>
    </row>
    <row r="3764" spans="4:4" x14ac:dyDescent="0.25">
      <c r="D3764"/>
    </row>
    <row r="3765" spans="4:4" x14ac:dyDescent="0.25">
      <c r="D3765"/>
    </row>
    <row r="3766" spans="4:4" x14ac:dyDescent="0.25">
      <c r="D3766"/>
    </row>
    <row r="3767" spans="4:4" x14ac:dyDescent="0.25">
      <c r="D3767"/>
    </row>
    <row r="3768" spans="4:4" x14ac:dyDescent="0.25">
      <c r="D3768"/>
    </row>
    <row r="3769" spans="4:4" x14ac:dyDescent="0.25">
      <c r="D3769"/>
    </row>
    <row r="3770" spans="4:4" x14ac:dyDescent="0.25">
      <c r="D3770"/>
    </row>
    <row r="3771" spans="4:4" x14ac:dyDescent="0.25">
      <c r="D3771"/>
    </row>
    <row r="3772" spans="4:4" x14ac:dyDescent="0.25">
      <c r="D3772"/>
    </row>
    <row r="3773" spans="4:4" x14ac:dyDescent="0.25">
      <c r="D3773"/>
    </row>
    <row r="3774" spans="4:4" x14ac:dyDescent="0.25">
      <c r="D3774"/>
    </row>
    <row r="3775" spans="4:4" x14ac:dyDescent="0.25">
      <c r="D3775"/>
    </row>
    <row r="3776" spans="4:4" x14ac:dyDescent="0.25">
      <c r="D3776"/>
    </row>
    <row r="3777" spans="4:4" x14ac:dyDescent="0.25">
      <c r="D3777"/>
    </row>
    <row r="3778" spans="4:4" x14ac:dyDescent="0.25">
      <c r="D3778"/>
    </row>
    <row r="3779" spans="4:4" x14ac:dyDescent="0.25">
      <c r="D3779"/>
    </row>
    <row r="3780" spans="4:4" x14ac:dyDescent="0.25">
      <c r="D3780"/>
    </row>
    <row r="3781" spans="4:4" x14ac:dyDescent="0.25">
      <c r="D3781"/>
    </row>
    <row r="3782" spans="4:4" x14ac:dyDescent="0.25">
      <c r="D3782"/>
    </row>
    <row r="3783" spans="4:4" x14ac:dyDescent="0.25">
      <c r="D3783"/>
    </row>
    <row r="3784" spans="4:4" x14ac:dyDescent="0.25">
      <c r="D3784"/>
    </row>
    <row r="3785" spans="4:4" x14ac:dyDescent="0.25">
      <c r="D3785"/>
    </row>
    <row r="3786" spans="4:4" x14ac:dyDescent="0.25">
      <c r="D3786"/>
    </row>
    <row r="3787" spans="4:4" x14ac:dyDescent="0.25">
      <c r="D3787"/>
    </row>
    <row r="3788" spans="4:4" x14ac:dyDescent="0.25">
      <c r="D3788"/>
    </row>
    <row r="3789" spans="4:4" x14ac:dyDescent="0.25">
      <c r="D3789"/>
    </row>
    <row r="3790" spans="4:4" x14ac:dyDescent="0.25">
      <c r="D3790"/>
    </row>
    <row r="3791" spans="4:4" x14ac:dyDescent="0.25">
      <c r="D3791"/>
    </row>
    <row r="3792" spans="4:4" x14ac:dyDescent="0.25">
      <c r="D3792"/>
    </row>
    <row r="3793" spans="4:4" x14ac:dyDescent="0.25">
      <c r="D3793"/>
    </row>
    <row r="3794" spans="4:4" x14ac:dyDescent="0.25">
      <c r="D3794"/>
    </row>
    <row r="3795" spans="4:4" x14ac:dyDescent="0.25">
      <c r="D3795"/>
    </row>
    <row r="3796" spans="4:4" x14ac:dyDescent="0.25">
      <c r="D3796"/>
    </row>
    <row r="3797" spans="4:4" x14ac:dyDescent="0.25">
      <c r="D3797"/>
    </row>
    <row r="3798" spans="4:4" x14ac:dyDescent="0.25">
      <c r="D3798"/>
    </row>
    <row r="3799" spans="4:4" x14ac:dyDescent="0.25">
      <c r="D3799"/>
    </row>
    <row r="3800" spans="4:4" x14ac:dyDescent="0.25">
      <c r="D3800"/>
    </row>
    <row r="3801" spans="4:4" x14ac:dyDescent="0.25">
      <c r="D3801"/>
    </row>
    <row r="3802" spans="4:4" x14ac:dyDescent="0.25">
      <c r="D3802"/>
    </row>
    <row r="3803" spans="4:4" x14ac:dyDescent="0.25">
      <c r="D3803"/>
    </row>
    <row r="3804" spans="4:4" x14ac:dyDescent="0.25">
      <c r="D3804"/>
    </row>
    <row r="3805" spans="4:4" x14ac:dyDescent="0.25">
      <c r="D3805"/>
    </row>
    <row r="3806" spans="4:4" x14ac:dyDescent="0.25">
      <c r="D3806"/>
    </row>
    <row r="3807" spans="4:4" x14ac:dyDescent="0.25">
      <c r="D3807"/>
    </row>
    <row r="3808" spans="4:4" x14ac:dyDescent="0.25">
      <c r="D3808"/>
    </row>
    <row r="3809" spans="4:4" x14ac:dyDescent="0.25">
      <c r="D3809"/>
    </row>
    <row r="3810" spans="4:4" x14ac:dyDescent="0.25">
      <c r="D3810"/>
    </row>
    <row r="3811" spans="4:4" x14ac:dyDescent="0.25">
      <c r="D3811"/>
    </row>
    <row r="3812" spans="4:4" x14ac:dyDescent="0.25">
      <c r="D3812"/>
    </row>
    <row r="3813" spans="4:4" x14ac:dyDescent="0.25">
      <c r="D3813"/>
    </row>
    <row r="3814" spans="4:4" x14ac:dyDescent="0.25">
      <c r="D3814"/>
    </row>
    <row r="3815" spans="4:4" x14ac:dyDescent="0.25">
      <c r="D3815"/>
    </row>
    <row r="3816" spans="4:4" x14ac:dyDescent="0.25">
      <c r="D3816"/>
    </row>
    <row r="3817" spans="4:4" x14ac:dyDescent="0.25">
      <c r="D3817"/>
    </row>
    <row r="3818" spans="4:4" x14ac:dyDescent="0.25">
      <c r="D3818"/>
    </row>
    <row r="3819" spans="4:4" x14ac:dyDescent="0.25">
      <c r="D3819"/>
    </row>
    <row r="3820" spans="4:4" x14ac:dyDescent="0.25">
      <c r="D3820"/>
    </row>
    <row r="3821" spans="4:4" x14ac:dyDescent="0.25">
      <c r="D3821"/>
    </row>
    <row r="3822" spans="4:4" x14ac:dyDescent="0.25">
      <c r="D3822"/>
    </row>
    <row r="3823" spans="4:4" x14ac:dyDescent="0.25">
      <c r="D3823"/>
    </row>
    <row r="3824" spans="4:4" x14ac:dyDescent="0.25">
      <c r="D3824"/>
    </row>
    <row r="3825" spans="4:4" x14ac:dyDescent="0.25">
      <c r="D3825"/>
    </row>
    <row r="3826" spans="4:4" x14ac:dyDescent="0.25">
      <c r="D3826"/>
    </row>
    <row r="3827" spans="4:4" x14ac:dyDescent="0.25">
      <c r="D3827"/>
    </row>
    <row r="3828" spans="4:4" x14ac:dyDescent="0.25">
      <c r="D3828"/>
    </row>
    <row r="3829" spans="4:4" x14ac:dyDescent="0.25">
      <c r="D3829"/>
    </row>
    <row r="3830" spans="4:4" x14ac:dyDescent="0.25">
      <c r="D3830"/>
    </row>
    <row r="3831" spans="4:4" x14ac:dyDescent="0.25">
      <c r="D3831"/>
    </row>
    <row r="3832" spans="4:4" x14ac:dyDescent="0.25">
      <c r="D3832"/>
    </row>
    <row r="3833" spans="4:4" x14ac:dyDescent="0.25">
      <c r="D3833"/>
    </row>
    <row r="3834" spans="4:4" x14ac:dyDescent="0.25">
      <c r="D3834"/>
    </row>
    <row r="3835" spans="4:4" x14ac:dyDescent="0.25">
      <c r="D3835"/>
    </row>
    <row r="3836" spans="4:4" x14ac:dyDescent="0.25">
      <c r="D3836"/>
    </row>
    <row r="3837" spans="4:4" x14ac:dyDescent="0.25">
      <c r="D3837"/>
    </row>
    <row r="3838" spans="4:4" x14ac:dyDescent="0.25">
      <c r="D3838"/>
    </row>
    <row r="3839" spans="4:4" x14ac:dyDescent="0.25">
      <c r="D3839"/>
    </row>
    <row r="3840" spans="4:4" x14ac:dyDescent="0.25">
      <c r="D3840"/>
    </row>
    <row r="3841" spans="4:4" x14ac:dyDescent="0.25">
      <c r="D3841"/>
    </row>
    <row r="3842" spans="4:4" x14ac:dyDescent="0.25">
      <c r="D3842"/>
    </row>
    <row r="3843" spans="4:4" x14ac:dyDescent="0.25">
      <c r="D3843"/>
    </row>
    <row r="3844" spans="4:4" x14ac:dyDescent="0.25">
      <c r="D3844"/>
    </row>
    <row r="3845" spans="4:4" x14ac:dyDescent="0.25">
      <c r="D3845"/>
    </row>
    <row r="3846" spans="4:4" x14ac:dyDescent="0.25">
      <c r="D3846"/>
    </row>
    <row r="3847" spans="4:4" x14ac:dyDescent="0.25">
      <c r="D3847"/>
    </row>
    <row r="3848" spans="4:4" x14ac:dyDescent="0.25">
      <c r="D3848"/>
    </row>
    <row r="3849" spans="4:4" x14ac:dyDescent="0.25">
      <c r="D3849"/>
    </row>
    <row r="3850" spans="4:4" x14ac:dyDescent="0.25">
      <c r="D3850"/>
    </row>
    <row r="3851" spans="4:4" x14ac:dyDescent="0.25">
      <c r="D3851"/>
    </row>
    <row r="3852" spans="4:4" x14ac:dyDescent="0.25">
      <c r="D3852"/>
    </row>
    <row r="3853" spans="4:4" x14ac:dyDescent="0.25">
      <c r="D3853"/>
    </row>
    <row r="3854" spans="4:4" x14ac:dyDescent="0.25">
      <c r="D3854"/>
    </row>
    <row r="3855" spans="4:4" x14ac:dyDescent="0.25">
      <c r="D3855"/>
    </row>
    <row r="3856" spans="4:4" x14ac:dyDescent="0.25">
      <c r="D3856"/>
    </row>
    <row r="3857" spans="4:4" x14ac:dyDescent="0.25">
      <c r="D3857"/>
    </row>
    <row r="3858" spans="4:4" x14ac:dyDescent="0.25">
      <c r="D3858"/>
    </row>
    <row r="3859" spans="4:4" x14ac:dyDescent="0.25">
      <c r="D3859"/>
    </row>
    <row r="3860" spans="4:4" x14ac:dyDescent="0.25">
      <c r="D3860"/>
    </row>
    <row r="3861" spans="4:4" x14ac:dyDescent="0.25">
      <c r="D3861"/>
    </row>
    <row r="3862" spans="4:4" x14ac:dyDescent="0.25">
      <c r="D3862"/>
    </row>
    <row r="3863" spans="4:4" x14ac:dyDescent="0.25">
      <c r="D3863"/>
    </row>
    <row r="3864" spans="4:4" x14ac:dyDescent="0.25">
      <c r="D3864"/>
    </row>
    <row r="3865" spans="4:4" x14ac:dyDescent="0.25">
      <c r="D3865"/>
    </row>
    <row r="3866" spans="4:4" x14ac:dyDescent="0.25">
      <c r="D3866"/>
    </row>
    <row r="3867" spans="4:4" x14ac:dyDescent="0.25">
      <c r="D3867"/>
    </row>
    <row r="3868" spans="4:4" x14ac:dyDescent="0.25">
      <c r="D3868"/>
    </row>
    <row r="3869" spans="4:4" x14ac:dyDescent="0.25">
      <c r="D3869"/>
    </row>
    <row r="3870" spans="4:4" x14ac:dyDescent="0.25">
      <c r="D3870"/>
    </row>
    <row r="3871" spans="4:4" x14ac:dyDescent="0.25">
      <c r="D3871"/>
    </row>
    <row r="3872" spans="4:4" x14ac:dyDescent="0.25">
      <c r="D3872"/>
    </row>
    <row r="3873" spans="4:4" x14ac:dyDescent="0.25">
      <c r="D3873"/>
    </row>
    <row r="3874" spans="4:4" x14ac:dyDescent="0.25">
      <c r="D3874"/>
    </row>
    <row r="3875" spans="4:4" x14ac:dyDescent="0.25">
      <c r="D3875"/>
    </row>
    <row r="3876" spans="4:4" x14ac:dyDescent="0.25">
      <c r="D3876"/>
    </row>
    <row r="3877" spans="4:4" x14ac:dyDescent="0.25">
      <c r="D3877"/>
    </row>
    <row r="3878" spans="4:4" x14ac:dyDescent="0.25">
      <c r="D3878"/>
    </row>
    <row r="3879" spans="4:4" x14ac:dyDescent="0.25">
      <c r="D3879"/>
    </row>
    <row r="3880" spans="4:4" x14ac:dyDescent="0.25">
      <c r="D3880"/>
    </row>
    <row r="3881" spans="4:4" x14ac:dyDescent="0.25">
      <c r="D3881"/>
    </row>
    <row r="3882" spans="4:4" x14ac:dyDescent="0.25">
      <c r="D3882"/>
    </row>
    <row r="3883" spans="4:4" x14ac:dyDescent="0.25">
      <c r="D3883"/>
    </row>
    <row r="3884" spans="4:4" x14ac:dyDescent="0.25">
      <c r="D3884"/>
    </row>
    <row r="3885" spans="4:4" x14ac:dyDescent="0.25">
      <c r="D3885"/>
    </row>
    <row r="3886" spans="4:4" x14ac:dyDescent="0.25">
      <c r="D3886"/>
    </row>
    <row r="3887" spans="4:4" x14ac:dyDescent="0.25">
      <c r="D3887"/>
    </row>
    <row r="3888" spans="4:4" x14ac:dyDescent="0.25">
      <c r="D3888"/>
    </row>
    <row r="3889" spans="4:4" x14ac:dyDescent="0.25">
      <c r="D3889"/>
    </row>
    <row r="3890" spans="4:4" x14ac:dyDescent="0.25">
      <c r="D3890"/>
    </row>
    <row r="3891" spans="4:4" x14ac:dyDescent="0.25">
      <c r="D3891"/>
    </row>
    <row r="3892" spans="4:4" x14ac:dyDescent="0.25">
      <c r="D3892"/>
    </row>
    <row r="3893" spans="4:4" x14ac:dyDescent="0.25">
      <c r="D3893"/>
    </row>
    <row r="3894" spans="4:4" x14ac:dyDescent="0.25">
      <c r="D3894"/>
    </row>
    <row r="3895" spans="4:4" x14ac:dyDescent="0.25">
      <c r="D3895"/>
    </row>
    <row r="3896" spans="4:4" x14ac:dyDescent="0.25">
      <c r="D3896"/>
    </row>
    <row r="3897" spans="4:4" x14ac:dyDescent="0.25">
      <c r="D3897"/>
    </row>
    <row r="3898" spans="4:4" x14ac:dyDescent="0.25">
      <c r="D3898"/>
    </row>
    <row r="3899" spans="4:4" x14ac:dyDescent="0.25">
      <c r="D3899"/>
    </row>
    <row r="3900" spans="4:4" x14ac:dyDescent="0.25">
      <c r="D3900"/>
    </row>
    <row r="3901" spans="4:4" x14ac:dyDescent="0.25">
      <c r="D3901"/>
    </row>
    <row r="3902" spans="4:4" x14ac:dyDescent="0.25">
      <c r="D3902"/>
    </row>
    <row r="3903" spans="4:4" x14ac:dyDescent="0.25">
      <c r="D3903"/>
    </row>
    <row r="3904" spans="4:4" x14ac:dyDescent="0.25">
      <c r="D3904"/>
    </row>
    <row r="3905" spans="4:4" x14ac:dyDescent="0.25">
      <c r="D3905"/>
    </row>
    <row r="3906" spans="4:4" x14ac:dyDescent="0.25">
      <c r="D3906"/>
    </row>
    <row r="3907" spans="4:4" x14ac:dyDescent="0.25">
      <c r="D3907"/>
    </row>
    <row r="3908" spans="4:4" x14ac:dyDescent="0.25">
      <c r="D3908"/>
    </row>
    <row r="3909" spans="4:4" x14ac:dyDescent="0.25">
      <c r="D3909"/>
    </row>
    <row r="3910" spans="4:4" x14ac:dyDescent="0.25">
      <c r="D3910"/>
    </row>
    <row r="3911" spans="4:4" x14ac:dyDescent="0.25">
      <c r="D3911"/>
    </row>
    <row r="3912" spans="4:4" x14ac:dyDescent="0.25">
      <c r="D3912"/>
    </row>
    <row r="3913" spans="4:4" x14ac:dyDescent="0.25">
      <c r="D3913"/>
    </row>
    <row r="3914" spans="4:4" x14ac:dyDescent="0.25">
      <c r="D3914"/>
    </row>
    <row r="3915" spans="4:4" x14ac:dyDescent="0.25">
      <c r="D3915"/>
    </row>
    <row r="3916" spans="4:4" x14ac:dyDescent="0.25">
      <c r="D3916"/>
    </row>
    <row r="3917" spans="4:4" x14ac:dyDescent="0.25">
      <c r="D3917"/>
    </row>
    <row r="3918" spans="4:4" x14ac:dyDescent="0.25">
      <c r="D3918"/>
    </row>
    <row r="3919" spans="4:4" x14ac:dyDescent="0.25">
      <c r="D3919"/>
    </row>
    <row r="3920" spans="4:4" x14ac:dyDescent="0.25">
      <c r="D3920"/>
    </row>
    <row r="3921" spans="4:4" x14ac:dyDescent="0.25">
      <c r="D3921"/>
    </row>
    <row r="3922" spans="4:4" x14ac:dyDescent="0.25">
      <c r="D3922"/>
    </row>
    <row r="3923" spans="4:4" x14ac:dyDescent="0.25">
      <c r="D3923"/>
    </row>
    <row r="3924" spans="4:4" x14ac:dyDescent="0.25">
      <c r="D3924"/>
    </row>
    <row r="3925" spans="4:4" x14ac:dyDescent="0.25">
      <c r="D3925"/>
    </row>
    <row r="3926" spans="4:4" x14ac:dyDescent="0.25">
      <c r="D3926"/>
    </row>
    <row r="3927" spans="4:4" x14ac:dyDescent="0.25">
      <c r="D3927"/>
    </row>
    <row r="3928" spans="4:4" x14ac:dyDescent="0.25">
      <c r="D3928"/>
    </row>
    <row r="3929" spans="4:4" x14ac:dyDescent="0.25">
      <c r="D3929"/>
    </row>
    <row r="3930" spans="4:4" x14ac:dyDescent="0.25">
      <c r="D3930"/>
    </row>
    <row r="3931" spans="4:4" x14ac:dyDescent="0.25">
      <c r="D3931"/>
    </row>
    <row r="3932" spans="4:4" x14ac:dyDescent="0.25">
      <c r="D3932"/>
    </row>
    <row r="3933" spans="4:4" x14ac:dyDescent="0.25">
      <c r="D3933"/>
    </row>
    <row r="3934" spans="4:4" x14ac:dyDescent="0.25">
      <c r="D3934"/>
    </row>
    <row r="3935" spans="4:4" x14ac:dyDescent="0.25">
      <c r="D3935"/>
    </row>
    <row r="3936" spans="4:4" x14ac:dyDescent="0.25">
      <c r="D3936"/>
    </row>
    <row r="3937" spans="4:4" x14ac:dyDescent="0.25">
      <c r="D3937"/>
    </row>
    <row r="3938" spans="4:4" x14ac:dyDescent="0.25">
      <c r="D3938"/>
    </row>
    <row r="3939" spans="4:4" x14ac:dyDescent="0.25">
      <c r="D3939"/>
    </row>
    <row r="3940" spans="4:4" x14ac:dyDescent="0.25">
      <c r="D3940"/>
    </row>
    <row r="3941" spans="4:4" x14ac:dyDescent="0.25">
      <c r="D3941"/>
    </row>
    <row r="3942" spans="4:4" x14ac:dyDescent="0.25">
      <c r="D3942"/>
    </row>
    <row r="3943" spans="4:4" x14ac:dyDescent="0.25">
      <c r="D3943"/>
    </row>
    <row r="3944" spans="4:4" x14ac:dyDescent="0.25">
      <c r="D3944"/>
    </row>
    <row r="3945" spans="4:4" x14ac:dyDescent="0.25">
      <c r="D3945"/>
    </row>
    <row r="3946" spans="4:4" x14ac:dyDescent="0.25">
      <c r="D3946"/>
    </row>
    <row r="3947" spans="4:4" x14ac:dyDescent="0.25">
      <c r="D3947"/>
    </row>
    <row r="3948" spans="4:4" x14ac:dyDescent="0.25">
      <c r="D3948"/>
    </row>
    <row r="3949" spans="4:4" x14ac:dyDescent="0.25">
      <c r="D3949"/>
    </row>
    <row r="3950" spans="4:4" x14ac:dyDescent="0.25">
      <c r="D3950"/>
    </row>
    <row r="3951" spans="4:4" x14ac:dyDescent="0.25">
      <c r="D3951"/>
    </row>
    <row r="3952" spans="4:4" x14ac:dyDescent="0.25">
      <c r="D3952"/>
    </row>
    <row r="3953" spans="4:4" x14ac:dyDescent="0.25">
      <c r="D3953"/>
    </row>
    <row r="3954" spans="4:4" x14ac:dyDescent="0.25">
      <c r="D3954"/>
    </row>
    <row r="3955" spans="4:4" x14ac:dyDescent="0.25">
      <c r="D3955"/>
    </row>
    <row r="3956" spans="4:4" x14ac:dyDescent="0.25">
      <c r="D3956"/>
    </row>
    <row r="3957" spans="4:4" x14ac:dyDescent="0.25">
      <c r="D3957"/>
    </row>
    <row r="3958" spans="4:4" x14ac:dyDescent="0.25">
      <c r="D3958"/>
    </row>
    <row r="3959" spans="4:4" x14ac:dyDescent="0.25">
      <c r="D3959"/>
    </row>
    <row r="3960" spans="4:4" x14ac:dyDescent="0.25">
      <c r="D3960"/>
    </row>
    <row r="3961" spans="4:4" x14ac:dyDescent="0.25">
      <c r="D3961"/>
    </row>
    <row r="3962" spans="4:4" x14ac:dyDescent="0.25">
      <c r="D3962"/>
    </row>
    <row r="3963" spans="4:4" x14ac:dyDescent="0.25">
      <c r="D3963"/>
    </row>
    <row r="3964" spans="4:4" x14ac:dyDescent="0.25">
      <c r="D3964"/>
    </row>
    <row r="3965" spans="4:4" x14ac:dyDescent="0.25">
      <c r="D3965"/>
    </row>
    <row r="3966" spans="4:4" x14ac:dyDescent="0.25">
      <c r="D3966"/>
    </row>
    <row r="3967" spans="4:4" x14ac:dyDescent="0.25">
      <c r="D3967"/>
    </row>
    <row r="3968" spans="4:4" x14ac:dyDescent="0.25">
      <c r="D3968"/>
    </row>
    <row r="3969" spans="4:4" x14ac:dyDescent="0.25">
      <c r="D3969"/>
    </row>
    <row r="3970" spans="4:4" x14ac:dyDescent="0.25">
      <c r="D3970"/>
    </row>
    <row r="3971" spans="4:4" x14ac:dyDescent="0.25">
      <c r="D3971"/>
    </row>
    <row r="3972" spans="4:4" x14ac:dyDescent="0.25">
      <c r="D3972"/>
    </row>
    <row r="3973" spans="4:4" x14ac:dyDescent="0.25">
      <c r="D3973"/>
    </row>
    <row r="3974" spans="4:4" x14ac:dyDescent="0.25">
      <c r="D3974"/>
    </row>
    <row r="3975" spans="4:4" x14ac:dyDescent="0.25">
      <c r="D3975"/>
    </row>
    <row r="3976" spans="4:4" x14ac:dyDescent="0.25">
      <c r="D3976"/>
    </row>
    <row r="3977" spans="4:4" x14ac:dyDescent="0.25">
      <c r="D3977"/>
    </row>
    <row r="3978" spans="4:4" x14ac:dyDescent="0.25">
      <c r="D3978"/>
    </row>
    <row r="3979" spans="4:4" x14ac:dyDescent="0.25">
      <c r="D3979"/>
    </row>
    <row r="3980" spans="4:4" x14ac:dyDescent="0.25">
      <c r="D3980"/>
    </row>
    <row r="3981" spans="4:4" x14ac:dyDescent="0.25">
      <c r="D3981"/>
    </row>
    <row r="3982" spans="4:4" x14ac:dyDescent="0.25">
      <c r="D3982"/>
    </row>
    <row r="3983" spans="4:4" x14ac:dyDescent="0.25">
      <c r="D3983"/>
    </row>
    <row r="3984" spans="4:4" x14ac:dyDescent="0.25">
      <c r="D3984"/>
    </row>
    <row r="3985" spans="4:4" x14ac:dyDescent="0.25">
      <c r="D3985"/>
    </row>
    <row r="3986" spans="4:4" x14ac:dyDescent="0.25">
      <c r="D3986"/>
    </row>
    <row r="3987" spans="4:4" x14ac:dyDescent="0.25">
      <c r="D3987"/>
    </row>
    <row r="3988" spans="4:4" x14ac:dyDescent="0.25">
      <c r="D3988"/>
    </row>
    <row r="3989" spans="4:4" x14ac:dyDescent="0.25">
      <c r="D3989"/>
    </row>
    <row r="3990" spans="4:4" x14ac:dyDescent="0.25">
      <c r="D3990"/>
    </row>
    <row r="3991" spans="4:4" x14ac:dyDescent="0.25">
      <c r="D3991"/>
    </row>
    <row r="3992" spans="4:4" x14ac:dyDescent="0.25">
      <c r="D3992"/>
    </row>
    <row r="3993" spans="4:4" x14ac:dyDescent="0.25">
      <c r="D3993"/>
    </row>
    <row r="3994" spans="4:4" x14ac:dyDescent="0.25">
      <c r="D3994"/>
    </row>
    <row r="3995" spans="4:4" x14ac:dyDescent="0.25">
      <c r="D3995"/>
    </row>
    <row r="3996" spans="4:4" x14ac:dyDescent="0.25">
      <c r="D3996"/>
    </row>
    <row r="3997" spans="4:4" x14ac:dyDescent="0.25">
      <c r="D3997"/>
    </row>
    <row r="3998" spans="4:4" x14ac:dyDescent="0.25">
      <c r="D3998"/>
    </row>
    <row r="3999" spans="4:4" x14ac:dyDescent="0.25">
      <c r="D3999"/>
    </row>
    <row r="4000" spans="4:4" x14ac:dyDescent="0.25">
      <c r="D4000"/>
    </row>
    <row r="4001" spans="4:4" x14ac:dyDescent="0.25">
      <c r="D4001"/>
    </row>
    <row r="4002" spans="4:4" x14ac:dyDescent="0.25">
      <c r="D4002"/>
    </row>
    <row r="4003" spans="4:4" x14ac:dyDescent="0.25">
      <c r="D4003"/>
    </row>
    <row r="4004" spans="4:4" x14ac:dyDescent="0.25">
      <c r="D4004"/>
    </row>
    <row r="4005" spans="4:4" x14ac:dyDescent="0.25">
      <c r="D4005"/>
    </row>
    <row r="4006" spans="4:4" x14ac:dyDescent="0.25">
      <c r="D4006"/>
    </row>
    <row r="4007" spans="4:4" x14ac:dyDescent="0.25">
      <c r="D4007"/>
    </row>
    <row r="4008" spans="4:4" x14ac:dyDescent="0.25">
      <c r="D4008"/>
    </row>
    <row r="4009" spans="4:4" x14ac:dyDescent="0.25">
      <c r="D4009"/>
    </row>
    <row r="4010" spans="4:4" x14ac:dyDescent="0.25">
      <c r="D4010"/>
    </row>
    <row r="4011" spans="4:4" x14ac:dyDescent="0.25">
      <c r="D4011"/>
    </row>
    <row r="4012" spans="4:4" x14ac:dyDescent="0.25">
      <c r="D4012"/>
    </row>
    <row r="4013" spans="4:4" x14ac:dyDescent="0.25">
      <c r="D4013"/>
    </row>
    <row r="4014" spans="4:4" x14ac:dyDescent="0.25">
      <c r="D4014"/>
    </row>
    <row r="4015" spans="4:4" x14ac:dyDescent="0.25">
      <c r="D4015"/>
    </row>
    <row r="4016" spans="4:4" x14ac:dyDescent="0.25">
      <c r="D4016"/>
    </row>
    <row r="4017" spans="4:4" x14ac:dyDescent="0.25">
      <c r="D4017"/>
    </row>
    <row r="4018" spans="4:4" x14ac:dyDescent="0.25">
      <c r="D4018"/>
    </row>
    <row r="4019" spans="4:4" x14ac:dyDescent="0.25">
      <c r="D4019"/>
    </row>
    <row r="4020" spans="4:4" x14ac:dyDescent="0.25">
      <c r="D4020"/>
    </row>
    <row r="4021" spans="4:4" x14ac:dyDescent="0.25">
      <c r="D4021"/>
    </row>
    <row r="4022" spans="4:4" x14ac:dyDescent="0.25">
      <c r="D4022"/>
    </row>
    <row r="4023" spans="4:4" x14ac:dyDescent="0.25">
      <c r="D4023"/>
    </row>
    <row r="4024" spans="4:4" x14ac:dyDescent="0.25">
      <c r="D4024"/>
    </row>
    <row r="4025" spans="4:4" x14ac:dyDescent="0.25">
      <c r="D4025"/>
    </row>
    <row r="4026" spans="4:4" x14ac:dyDescent="0.25">
      <c r="D4026"/>
    </row>
    <row r="4027" spans="4:4" x14ac:dyDescent="0.25">
      <c r="D4027"/>
    </row>
    <row r="4028" spans="4:4" x14ac:dyDescent="0.25">
      <c r="D4028"/>
    </row>
    <row r="4029" spans="4:4" x14ac:dyDescent="0.25">
      <c r="D4029"/>
    </row>
    <row r="4030" spans="4:4" x14ac:dyDescent="0.25">
      <c r="D4030"/>
    </row>
    <row r="4031" spans="4:4" x14ac:dyDescent="0.25">
      <c r="D4031"/>
    </row>
    <row r="4032" spans="4:4" x14ac:dyDescent="0.25">
      <c r="D4032"/>
    </row>
    <row r="4033" spans="4:4" x14ac:dyDescent="0.25">
      <c r="D4033"/>
    </row>
    <row r="4034" spans="4:4" x14ac:dyDescent="0.25">
      <c r="D4034"/>
    </row>
    <row r="4035" spans="4:4" x14ac:dyDescent="0.25">
      <c r="D4035"/>
    </row>
    <row r="4036" spans="4:4" x14ac:dyDescent="0.25">
      <c r="D4036"/>
    </row>
    <row r="4037" spans="4:4" x14ac:dyDescent="0.25">
      <c r="D4037"/>
    </row>
    <row r="4038" spans="4:4" x14ac:dyDescent="0.25">
      <c r="D4038"/>
    </row>
    <row r="4039" spans="4:4" x14ac:dyDescent="0.25">
      <c r="D4039"/>
    </row>
    <row r="4040" spans="4:4" x14ac:dyDescent="0.25">
      <c r="D4040"/>
    </row>
    <row r="4041" spans="4:4" x14ac:dyDescent="0.25">
      <c r="D4041"/>
    </row>
    <row r="4042" spans="4:4" x14ac:dyDescent="0.25">
      <c r="D4042"/>
    </row>
    <row r="4043" spans="4:4" x14ac:dyDescent="0.25">
      <c r="D4043"/>
    </row>
    <row r="4044" spans="4:4" x14ac:dyDescent="0.25">
      <c r="D4044"/>
    </row>
    <row r="4045" spans="4:4" x14ac:dyDescent="0.25">
      <c r="D4045"/>
    </row>
    <row r="4046" spans="4:4" x14ac:dyDescent="0.25">
      <c r="D4046"/>
    </row>
    <row r="4047" spans="4:4" x14ac:dyDescent="0.25">
      <c r="D4047"/>
    </row>
    <row r="4048" spans="4:4" x14ac:dyDescent="0.25">
      <c r="D4048"/>
    </row>
    <row r="4049" spans="4:4" x14ac:dyDescent="0.25">
      <c r="D4049"/>
    </row>
    <row r="4050" spans="4:4" x14ac:dyDescent="0.25">
      <c r="D4050"/>
    </row>
    <row r="4051" spans="4:4" x14ac:dyDescent="0.25">
      <c r="D4051"/>
    </row>
    <row r="4052" spans="4:4" x14ac:dyDescent="0.25">
      <c r="D4052"/>
    </row>
    <row r="4053" spans="4:4" x14ac:dyDescent="0.25">
      <c r="D4053"/>
    </row>
    <row r="4054" spans="4:4" x14ac:dyDescent="0.25">
      <c r="D4054"/>
    </row>
    <row r="4055" spans="4:4" x14ac:dyDescent="0.25">
      <c r="D4055"/>
    </row>
    <row r="4056" spans="4:4" x14ac:dyDescent="0.25">
      <c r="D4056"/>
    </row>
    <row r="4057" spans="4:4" x14ac:dyDescent="0.25">
      <c r="D4057"/>
    </row>
    <row r="4058" spans="4:4" x14ac:dyDescent="0.25">
      <c r="D4058"/>
    </row>
    <row r="4059" spans="4:4" x14ac:dyDescent="0.25">
      <c r="D4059"/>
    </row>
    <row r="4060" spans="4:4" x14ac:dyDescent="0.25">
      <c r="D4060"/>
    </row>
    <row r="4061" spans="4:4" x14ac:dyDescent="0.25">
      <c r="D4061"/>
    </row>
    <row r="4062" spans="4:4" x14ac:dyDescent="0.25">
      <c r="D4062"/>
    </row>
    <row r="4063" spans="4:4" x14ac:dyDescent="0.25">
      <c r="D4063"/>
    </row>
    <row r="4064" spans="4:4" x14ac:dyDescent="0.25">
      <c r="D4064"/>
    </row>
    <row r="4065" spans="4:4" x14ac:dyDescent="0.25">
      <c r="D4065"/>
    </row>
    <row r="4066" spans="4:4" x14ac:dyDescent="0.25">
      <c r="D4066"/>
    </row>
    <row r="4067" spans="4:4" x14ac:dyDescent="0.25">
      <c r="D4067"/>
    </row>
    <row r="4068" spans="4:4" x14ac:dyDescent="0.25">
      <c r="D4068"/>
    </row>
    <row r="4069" spans="4:4" x14ac:dyDescent="0.25">
      <c r="D4069"/>
    </row>
    <row r="4070" spans="4:4" x14ac:dyDescent="0.25">
      <c r="D4070"/>
    </row>
    <row r="4071" spans="4:4" x14ac:dyDescent="0.25">
      <c r="D4071"/>
    </row>
    <row r="4072" spans="4:4" x14ac:dyDescent="0.25">
      <c r="D4072"/>
    </row>
    <row r="4073" spans="4:4" x14ac:dyDescent="0.25">
      <c r="D4073"/>
    </row>
    <row r="4074" spans="4:4" x14ac:dyDescent="0.25">
      <c r="D4074"/>
    </row>
    <row r="4075" spans="4:4" x14ac:dyDescent="0.25">
      <c r="D4075"/>
    </row>
    <row r="4076" spans="4:4" x14ac:dyDescent="0.25">
      <c r="D4076"/>
    </row>
    <row r="4077" spans="4:4" x14ac:dyDescent="0.25">
      <c r="D4077"/>
    </row>
    <row r="4078" spans="4:4" x14ac:dyDescent="0.25">
      <c r="D4078"/>
    </row>
    <row r="4079" spans="4:4" x14ac:dyDescent="0.25">
      <c r="D4079"/>
    </row>
    <row r="4080" spans="4:4" x14ac:dyDescent="0.25">
      <c r="D4080"/>
    </row>
    <row r="4081" spans="4:4" x14ac:dyDescent="0.25">
      <c r="D4081"/>
    </row>
    <row r="4082" spans="4:4" x14ac:dyDescent="0.25">
      <c r="D4082"/>
    </row>
    <row r="4083" spans="4:4" x14ac:dyDescent="0.25">
      <c r="D4083"/>
    </row>
    <row r="4084" spans="4:4" x14ac:dyDescent="0.25">
      <c r="D4084"/>
    </row>
    <row r="4085" spans="4:4" x14ac:dyDescent="0.25">
      <c r="D4085"/>
    </row>
    <row r="4086" spans="4:4" x14ac:dyDescent="0.25">
      <c r="D4086"/>
    </row>
    <row r="4087" spans="4:4" x14ac:dyDescent="0.25">
      <c r="D4087"/>
    </row>
    <row r="4088" spans="4:4" x14ac:dyDescent="0.25">
      <c r="D4088"/>
    </row>
    <row r="4089" spans="4:4" x14ac:dyDescent="0.25">
      <c r="D4089"/>
    </row>
    <row r="4090" spans="4:4" x14ac:dyDescent="0.25">
      <c r="D4090"/>
    </row>
    <row r="4091" spans="4:4" x14ac:dyDescent="0.25">
      <c r="D4091"/>
    </row>
    <row r="4092" spans="4:4" x14ac:dyDescent="0.25">
      <c r="D4092"/>
    </row>
    <row r="4093" spans="4:4" x14ac:dyDescent="0.25">
      <c r="D4093"/>
    </row>
    <row r="4094" spans="4:4" x14ac:dyDescent="0.25">
      <c r="D4094"/>
    </row>
    <row r="4095" spans="4:4" x14ac:dyDescent="0.25">
      <c r="D4095"/>
    </row>
    <row r="4096" spans="4:4" x14ac:dyDescent="0.25">
      <c r="D4096"/>
    </row>
    <row r="4097" spans="4:4" x14ac:dyDescent="0.25">
      <c r="D4097"/>
    </row>
    <row r="4098" spans="4:4" x14ac:dyDescent="0.25">
      <c r="D4098"/>
    </row>
    <row r="4099" spans="4:4" x14ac:dyDescent="0.25">
      <c r="D4099"/>
    </row>
    <row r="4100" spans="4:4" x14ac:dyDescent="0.25">
      <c r="D4100"/>
    </row>
    <row r="4101" spans="4:4" x14ac:dyDescent="0.25">
      <c r="D4101"/>
    </row>
    <row r="4102" spans="4:4" x14ac:dyDescent="0.25">
      <c r="D4102"/>
    </row>
    <row r="4103" spans="4:4" x14ac:dyDescent="0.25">
      <c r="D4103"/>
    </row>
    <row r="4104" spans="4:4" x14ac:dyDescent="0.25">
      <c r="D4104"/>
    </row>
    <row r="4105" spans="4:4" x14ac:dyDescent="0.25">
      <c r="D4105"/>
    </row>
    <row r="4106" spans="4:4" x14ac:dyDescent="0.25">
      <c r="D4106"/>
    </row>
    <row r="4107" spans="4:4" x14ac:dyDescent="0.25">
      <c r="D4107"/>
    </row>
    <row r="4108" spans="4:4" x14ac:dyDescent="0.25">
      <c r="D4108"/>
    </row>
    <row r="4109" spans="4:4" x14ac:dyDescent="0.25">
      <c r="D4109"/>
    </row>
    <row r="4110" spans="4:4" x14ac:dyDescent="0.25">
      <c r="D4110"/>
    </row>
    <row r="4111" spans="4:4" x14ac:dyDescent="0.25">
      <c r="D4111"/>
    </row>
    <row r="4112" spans="4:4" x14ac:dyDescent="0.25">
      <c r="D4112"/>
    </row>
    <row r="4113" spans="4:4" x14ac:dyDescent="0.25">
      <c r="D4113"/>
    </row>
    <row r="4114" spans="4:4" x14ac:dyDescent="0.25">
      <c r="D4114"/>
    </row>
    <row r="4115" spans="4:4" x14ac:dyDescent="0.25">
      <c r="D4115"/>
    </row>
    <row r="4116" spans="4:4" x14ac:dyDescent="0.25">
      <c r="D4116"/>
    </row>
    <row r="4117" spans="4:4" x14ac:dyDescent="0.25">
      <c r="D4117"/>
    </row>
    <row r="4118" spans="4:4" x14ac:dyDescent="0.25">
      <c r="D4118"/>
    </row>
    <row r="4119" spans="4:4" x14ac:dyDescent="0.25">
      <c r="D4119"/>
    </row>
    <row r="4120" spans="4:4" x14ac:dyDescent="0.25">
      <c r="D4120"/>
    </row>
    <row r="4121" spans="4:4" x14ac:dyDescent="0.25">
      <c r="D4121"/>
    </row>
    <row r="4122" spans="4:4" x14ac:dyDescent="0.25">
      <c r="D4122"/>
    </row>
    <row r="4123" spans="4:4" x14ac:dyDescent="0.25">
      <c r="D4123"/>
    </row>
    <row r="4124" spans="4:4" x14ac:dyDescent="0.25">
      <c r="D4124"/>
    </row>
    <row r="4125" spans="4:4" x14ac:dyDescent="0.25">
      <c r="D4125"/>
    </row>
    <row r="4126" spans="4:4" x14ac:dyDescent="0.25">
      <c r="D4126"/>
    </row>
    <row r="4127" spans="4:4" x14ac:dyDescent="0.25">
      <c r="D4127"/>
    </row>
    <row r="4128" spans="4:4" x14ac:dyDescent="0.25">
      <c r="D4128"/>
    </row>
    <row r="4129" spans="4:4" x14ac:dyDescent="0.25">
      <c r="D4129"/>
    </row>
    <row r="4130" spans="4:4" x14ac:dyDescent="0.25">
      <c r="D4130"/>
    </row>
    <row r="4131" spans="4:4" x14ac:dyDescent="0.25">
      <c r="D4131"/>
    </row>
    <row r="4132" spans="4:4" x14ac:dyDescent="0.25">
      <c r="D4132"/>
    </row>
    <row r="4133" spans="4:4" x14ac:dyDescent="0.25">
      <c r="D4133"/>
    </row>
    <row r="4134" spans="4:4" x14ac:dyDescent="0.25">
      <c r="D4134"/>
    </row>
    <row r="4135" spans="4:4" x14ac:dyDescent="0.25">
      <c r="D4135"/>
    </row>
    <row r="4136" spans="4:4" x14ac:dyDescent="0.25">
      <c r="D4136"/>
    </row>
    <row r="4137" spans="4:4" x14ac:dyDescent="0.25">
      <c r="D4137"/>
    </row>
    <row r="4138" spans="4:4" x14ac:dyDescent="0.25">
      <c r="D4138"/>
    </row>
    <row r="4139" spans="4:4" x14ac:dyDescent="0.25">
      <c r="D4139"/>
    </row>
    <row r="4140" spans="4:4" x14ac:dyDescent="0.25">
      <c r="D4140"/>
    </row>
    <row r="4141" spans="4:4" x14ac:dyDescent="0.25">
      <c r="D4141"/>
    </row>
    <row r="4142" spans="4:4" x14ac:dyDescent="0.25">
      <c r="D4142"/>
    </row>
    <row r="4143" spans="4:4" x14ac:dyDescent="0.25">
      <c r="D4143"/>
    </row>
    <row r="4144" spans="4:4" x14ac:dyDescent="0.25">
      <c r="D4144"/>
    </row>
    <row r="4145" spans="4:4" x14ac:dyDescent="0.25">
      <c r="D4145"/>
    </row>
    <row r="4146" spans="4:4" x14ac:dyDescent="0.25">
      <c r="D4146"/>
    </row>
    <row r="4147" spans="4:4" x14ac:dyDescent="0.25">
      <c r="D4147"/>
    </row>
    <row r="4148" spans="4:4" x14ac:dyDescent="0.25">
      <c r="D4148"/>
    </row>
    <row r="4149" spans="4:4" x14ac:dyDescent="0.25">
      <c r="D4149"/>
    </row>
    <row r="4150" spans="4:4" x14ac:dyDescent="0.25">
      <c r="D4150"/>
    </row>
    <row r="4151" spans="4:4" x14ac:dyDescent="0.25">
      <c r="D4151"/>
    </row>
    <row r="4152" spans="4:4" x14ac:dyDescent="0.25">
      <c r="D4152"/>
    </row>
    <row r="4153" spans="4:4" x14ac:dyDescent="0.25">
      <c r="D4153"/>
    </row>
    <row r="4154" spans="4:4" x14ac:dyDescent="0.25">
      <c r="D4154"/>
    </row>
    <row r="4155" spans="4:4" x14ac:dyDescent="0.25">
      <c r="D4155"/>
    </row>
    <row r="4156" spans="4:4" x14ac:dyDescent="0.25">
      <c r="D4156"/>
    </row>
    <row r="4157" spans="4:4" x14ac:dyDescent="0.25">
      <c r="D4157"/>
    </row>
    <row r="4158" spans="4:4" x14ac:dyDescent="0.25">
      <c r="D4158"/>
    </row>
    <row r="4159" spans="4:4" x14ac:dyDescent="0.25">
      <c r="D4159"/>
    </row>
    <row r="4160" spans="4:4" x14ac:dyDescent="0.25">
      <c r="D4160"/>
    </row>
    <row r="4161" spans="4:4" x14ac:dyDescent="0.25">
      <c r="D4161"/>
    </row>
    <row r="4162" spans="4:4" x14ac:dyDescent="0.25">
      <c r="D4162"/>
    </row>
    <row r="4163" spans="4:4" x14ac:dyDescent="0.25">
      <c r="D4163"/>
    </row>
    <row r="4164" spans="4:4" x14ac:dyDescent="0.25">
      <c r="D4164"/>
    </row>
    <row r="4165" spans="4:4" x14ac:dyDescent="0.25">
      <c r="D4165"/>
    </row>
    <row r="4166" spans="4:4" x14ac:dyDescent="0.25">
      <c r="D4166"/>
    </row>
    <row r="4167" spans="4:4" x14ac:dyDescent="0.25">
      <c r="D4167"/>
    </row>
    <row r="4168" spans="4:4" x14ac:dyDescent="0.25">
      <c r="D4168"/>
    </row>
    <row r="4169" spans="4:4" x14ac:dyDescent="0.25">
      <c r="D4169"/>
    </row>
    <row r="4170" spans="4:4" x14ac:dyDescent="0.25">
      <c r="D4170"/>
    </row>
    <row r="4171" spans="4:4" x14ac:dyDescent="0.25">
      <c r="D4171"/>
    </row>
    <row r="4172" spans="4:4" x14ac:dyDescent="0.25">
      <c r="D4172"/>
    </row>
    <row r="4173" spans="4:4" x14ac:dyDescent="0.25">
      <c r="D4173"/>
    </row>
    <row r="4174" spans="4:4" x14ac:dyDescent="0.25">
      <c r="D4174"/>
    </row>
    <row r="4175" spans="4:4" x14ac:dyDescent="0.25">
      <c r="D4175"/>
    </row>
    <row r="4176" spans="4:4" x14ac:dyDescent="0.25">
      <c r="D4176"/>
    </row>
    <row r="4177" spans="4:4" x14ac:dyDescent="0.25">
      <c r="D4177"/>
    </row>
    <row r="4178" spans="4:4" x14ac:dyDescent="0.25">
      <c r="D4178"/>
    </row>
    <row r="4179" spans="4:4" x14ac:dyDescent="0.25">
      <c r="D4179"/>
    </row>
    <row r="4180" spans="4:4" x14ac:dyDescent="0.25">
      <c r="D4180"/>
    </row>
    <row r="4181" spans="4:4" x14ac:dyDescent="0.25">
      <c r="D4181"/>
    </row>
    <row r="4182" spans="4:4" x14ac:dyDescent="0.25">
      <c r="D4182"/>
    </row>
    <row r="4183" spans="4:4" x14ac:dyDescent="0.25">
      <c r="D4183"/>
    </row>
    <row r="4184" spans="4:4" x14ac:dyDescent="0.25">
      <c r="D4184"/>
    </row>
    <row r="4185" spans="4:4" x14ac:dyDescent="0.25">
      <c r="D4185"/>
    </row>
    <row r="4186" spans="4:4" x14ac:dyDescent="0.25">
      <c r="D4186"/>
    </row>
    <row r="4187" spans="4:4" x14ac:dyDescent="0.25">
      <c r="D4187"/>
    </row>
    <row r="4188" spans="4:4" x14ac:dyDescent="0.25">
      <c r="D4188"/>
    </row>
    <row r="4189" spans="4:4" x14ac:dyDescent="0.25">
      <c r="D4189"/>
    </row>
    <row r="4190" spans="4:4" x14ac:dyDescent="0.25">
      <c r="D4190"/>
    </row>
    <row r="4191" spans="4:4" x14ac:dyDescent="0.25">
      <c r="D4191"/>
    </row>
    <row r="4192" spans="4:4" x14ac:dyDescent="0.25">
      <c r="D4192"/>
    </row>
    <row r="4193" spans="4:4" x14ac:dyDescent="0.25">
      <c r="D4193"/>
    </row>
    <row r="4194" spans="4:4" x14ac:dyDescent="0.25">
      <c r="D4194"/>
    </row>
    <row r="4195" spans="4:4" x14ac:dyDescent="0.25">
      <c r="D4195"/>
    </row>
    <row r="4196" spans="4:4" x14ac:dyDescent="0.25">
      <c r="D4196"/>
    </row>
    <row r="4197" spans="4:4" x14ac:dyDescent="0.25">
      <c r="D4197"/>
    </row>
    <row r="4198" spans="4:4" x14ac:dyDescent="0.25">
      <c r="D4198"/>
    </row>
    <row r="4199" spans="4:4" x14ac:dyDescent="0.25">
      <c r="D4199"/>
    </row>
    <row r="4200" spans="4:4" x14ac:dyDescent="0.25">
      <c r="D4200"/>
    </row>
    <row r="4201" spans="4:4" x14ac:dyDescent="0.25">
      <c r="D4201"/>
    </row>
    <row r="4202" spans="4:4" x14ac:dyDescent="0.25">
      <c r="D4202"/>
    </row>
    <row r="4203" spans="4:4" x14ac:dyDescent="0.25">
      <c r="D4203"/>
    </row>
    <row r="4204" spans="4:4" x14ac:dyDescent="0.25">
      <c r="D4204"/>
    </row>
    <row r="4205" spans="4:4" x14ac:dyDescent="0.25">
      <c r="D4205"/>
    </row>
    <row r="4206" spans="4:4" x14ac:dyDescent="0.25">
      <c r="D4206"/>
    </row>
    <row r="4207" spans="4:4" x14ac:dyDescent="0.25">
      <c r="D4207"/>
    </row>
    <row r="4208" spans="4:4" x14ac:dyDescent="0.25">
      <c r="D4208"/>
    </row>
    <row r="4209" spans="4:4" x14ac:dyDescent="0.25">
      <c r="D4209"/>
    </row>
    <row r="4210" spans="4:4" x14ac:dyDescent="0.25">
      <c r="D4210"/>
    </row>
    <row r="4211" spans="4:4" x14ac:dyDescent="0.25">
      <c r="D4211"/>
    </row>
    <row r="4212" spans="4:4" x14ac:dyDescent="0.25">
      <c r="D4212"/>
    </row>
    <row r="4213" spans="4:4" x14ac:dyDescent="0.25">
      <c r="D4213"/>
    </row>
    <row r="4214" spans="4:4" x14ac:dyDescent="0.25">
      <c r="D4214"/>
    </row>
    <row r="4215" spans="4:4" x14ac:dyDescent="0.25">
      <c r="D4215"/>
    </row>
    <row r="4216" spans="4:4" x14ac:dyDescent="0.25">
      <c r="D4216"/>
    </row>
    <row r="4217" spans="4:4" x14ac:dyDescent="0.25">
      <c r="D4217"/>
    </row>
    <row r="4218" spans="4:4" x14ac:dyDescent="0.25">
      <c r="D4218"/>
    </row>
    <row r="4219" spans="4:4" x14ac:dyDescent="0.25">
      <c r="D4219"/>
    </row>
    <row r="4220" spans="4:4" x14ac:dyDescent="0.25">
      <c r="D4220"/>
    </row>
    <row r="4221" spans="4:4" x14ac:dyDescent="0.25">
      <c r="D4221"/>
    </row>
    <row r="4222" spans="4:4" x14ac:dyDescent="0.25">
      <c r="D4222"/>
    </row>
    <row r="4223" spans="4:4" x14ac:dyDescent="0.25">
      <c r="D4223"/>
    </row>
    <row r="4224" spans="4:4" x14ac:dyDescent="0.25">
      <c r="D4224"/>
    </row>
    <row r="4225" spans="4:4" x14ac:dyDescent="0.25">
      <c r="D4225"/>
    </row>
    <row r="4226" spans="4:4" x14ac:dyDescent="0.25">
      <c r="D4226"/>
    </row>
    <row r="4227" spans="4:4" x14ac:dyDescent="0.25">
      <c r="D4227"/>
    </row>
    <row r="4228" spans="4:4" x14ac:dyDescent="0.25">
      <c r="D4228"/>
    </row>
    <row r="4229" spans="4:4" x14ac:dyDescent="0.25">
      <c r="D4229"/>
    </row>
    <row r="4230" spans="4:4" x14ac:dyDescent="0.25">
      <c r="D4230"/>
    </row>
    <row r="4231" spans="4:4" x14ac:dyDescent="0.25">
      <c r="D4231"/>
    </row>
    <row r="4232" spans="4:4" x14ac:dyDescent="0.25">
      <c r="D4232"/>
    </row>
    <row r="4233" spans="4:4" x14ac:dyDescent="0.25">
      <c r="D4233"/>
    </row>
    <row r="4234" spans="4:4" x14ac:dyDescent="0.25">
      <c r="D4234"/>
    </row>
    <row r="4235" spans="4:4" x14ac:dyDescent="0.25">
      <c r="D4235"/>
    </row>
    <row r="4236" spans="4:4" x14ac:dyDescent="0.25">
      <c r="D4236"/>
    </row>
    <row r="4237" spans="4:4" x14ac:dyDescent="0.25">
      <c r="D4237"/>
    </row>
    <row r="4238" spans="4:4" x14ac:dyDescent="0.25">
      <c r="D4238"/>
    </row>
    <row r="4239" spans="4:4" x14ac:dyDescent="0.25">
      <c r="D4239"/>
    </row>
    <row r="4240" spans="4:4" x14ac:dyDescent="0.25">
      <c r="D4240"/>
    </row>
    <row r="4241" spans="4:4" x14ac:dyDescent="0.25">
      <c r="D4241"/>
    </row>
    <row r="4242" spans="4:4" x14ac:dyDescent="0.25">
      <c r="D4242"/>
    </row>
    <row r="4243" spans="4:4" x14ac:dyDescent="0.25">
      <c r="D4243"/>
    </row>
    <row r="4244" spans="4:4" x14ac:dyDescent="0.25">
      <c r="D4244"/>
    </row>
    <row r="4245" spans="4:4" x14ac:dyDescent="0.25">
      <c r="D4245"/>
    </row>
    <row r="4246" spans="4:4" x14ac:dyDescent="0.25">
      <c r="D4246"/>
    </row>
    <row r="4247" spans="4:4" x14ac:dyDescent="0.25">
      <c r="D4247"/>
    </row>
    <row r="4248" spans="4:4" x14ac:dyDescent="0.25">
      <c r="D4248"/>
    </row>
    <row r="4249" spans="4:4" x14ac:dyDescent="0.25">
      <c r="D4249"/>
    </row>
    <row r="4250" spans="4:4" x14ac:dyDescent="0.25">
      <c r="D4250"/>
    </row>
    <row r="4251" spans="4:4" x14ac:dyDescent="0.25">
      <c r="D4251"/>
    </row>
    <row r="4252" spans="4:4" x14ac:dyDescent="0.25">
      <c r="D4252"/>
    </row>
    <row r="4253" spans="4:4" x14ac:dyDescent="0.25">
      <c r="D4253"/>
    </row>
    <row r="4254" spans="4:4" x14ac:dyDescent="0.25">
      <c r="D4254"/>
    </row>
    <row r="4255" spans="4:4" x14ac:dyDescent="0.25">
      <c r="D4255"/>
    </row>
    <row r="4256" spans="4:4" x14ac:dyDescent="0.25">
      <c r="D4256"/>
    </row>
    <row r="4257" spans="4:4" x14ac:dyDescent="0.25">
      <c r="D4257"/>
    </row>
    <row r="4258" spans="4:4" x14ac:dyDescent="0.25">
      <c r="D4258"/>
    </row>
    <row r="4259" spans="4:4" x14ac:dyDescent="0.25">
      <c r="D4259"/>
    </row>
    <row r="4260" spans="4:4" x14ac:dyDescent="0.25">
      <c r="D4260"/>
    </row>
    <row r="4261" spans="4:4" x14ac:dyDescent="0.25">
      <c r="D4261"/>
    </row>
    <row r="4262" spans="4:4" x14ac:dyDescent="0.25">
      <c r="D4262"/>
    </row>
    <row r="4263" spans="4:4" x14ac:dyDescent="0.25">
      <c r="D4263"/>
    </row>
    <row r="4264" spans="4:4" x14ac:dyDescent="0.25">
      <c r="D4264"/>
    </row>
    <row r="4265" spans="4:4" x14ac:dyDescent="0.25">
      <c r="D4265"/>
    </row>
    <row r="4266" spans="4:4" x14ac:dyDescent="0.25">
      <c r="D4266"/>
    </row>
    <row r="4267" spans="4:4" x14ac:dyDescent="0.25">
      <c r="D4267"/>
    </row>
    <row r="4268" spans="4:4" x14ac:dyDescent="0.25">
      <c r="D4268"/>
    </row>
    <row r="4269" spans="4:4" x14ac:dyDescent="0.25">
      <c r="D4269"/>
    </row>
    <row r="4270" spans="4:4" x14ac:dyDescent="0.25">
      <c r="D4270"/>
    </row>
    <row r="4271" spans="4:4" x14ac:dyDescent="0.25">
      <c r="D4271"/>
    </row>
    <row r="4272" spans="4:4" x14ac:dyDescent="0.25">
      <c r="D4272"/>
    </row>
    <row r="4273" spans="4:4" x14ac:dyDescent="0.25">
      <c r="D4273"/>
    </row>
    <row r="4274" spans="4:4" x14ac:dyDescent="0.25">
      <c r="D4274"/>
    </row>
    <row r="4275" spans="4:4" x14ac:dyDescent="0.25">
      <c r="D4275"/>
    </row>
    <row r="4276" spans="4:4" x14ac:dyDescent="0.25">
      <c r="D4276"/>
    </row>
    <row r="4277" spans="4:4" x14ac:dyDescent="0.25">
      <c r="D4277"/>
    </row>
    <row r="4278" spans="4:4" x14ac:dyDescent="0.25">
      <c r="D4278"/>
    </row>
    <row r="4279" spans="4:4" x14ac:dyDescent="0.25">
      <c r="D4279"/>
    </row>
    <row r="4280" spans="4:4" x14ac:dyDescent="0.25">
      <c r="D4280"/>
    </row>
    <row r="4281" spans="4:4" x14ac:dyDescent="0.25">
      <c r="D4281"/>
    </row>
    <row r="4282" spans="4:4" x14ac:dyDescent="0.25">
      <c r="D4282"/>
    </row>
    <row r="4283" spans="4:4" x14ac:dyDescent="0.25">
      <c r="D4283"/>
    </row>
    <row r="4284" spans="4:4" x14ac:dyDescent="0.25">
      <c r="D4284"/>
    </row>
    <row r="4285" spans="4:4" x14ac:dyDescent="0.25">
      <c r="D4285"/>
    </row>
    <row r="4286" spans="4:4" x14ac:dyDescent="0.25">
      <c r="D4286"/>
    </row>
    <row r="4287" spans="4:4" x14ac:dyDescent="0.25">
      <c r="D4287"/>
    </row>
    <row r="4288" spans="4:4" x14ac:dyDescent="0.25">
      <c r="D4288"/>
    </row>
    <row r="4289" spans="4:4" x14ac:dyDescent="0.25">
      <c r="D4289"/>
    </row>
    <row r="4290" spans="4:4" x14ac:dyDescent="0.25">
      <c r="D4290"/>
    </row>
    <row r="4291" spans="4:4" x14ac:dyDescent="0.25">
      <c r="D4291"/>
    </row>
    <row r="4292" spans="4:4" x14ac:dyDescent="0.25">
      <c r="D4292"/>
    </row>
    <row r="4293" spans="4:4" x14ac:dyDescent="0.25">
      <c r="D4293"/>
    </row>
    <row r="4294" spans="4:4" x14ac:dyDescent="0.25">
      <c r="D4294"/>
    </row>
    <row r="4295" spans="4:4" x14ac:dyDescent="0.25">
      <c r="D4295"/>
    </row>
    <row r="4296" spans="4:4" x14ac:dyDescent="0.25">
      <c r="D4296"/>
    </row>
    <row r="4297" spans="4:4" x14ac:dyDescent="0.25">
      <c r="D4297"/>
    </row>
    <row r="4298" spans="4:4" x14ac:dyDescent="0.25">
      <c r="D4298"/>
    </row>
    <row r="4299" spans="4:4" x14ac:dyDescent="0.25">
      <c r="D4299"/>
    </row>
    <row r="4300" spans="4:4" x14ac:dyDescent="0.25">
      <c r="D4300"/>
    </row>
    <row r="4301" spans="4:4" x14ac:dyDescent="0.25">
      <c r="D4301"/>
    </row>
    <row r="4302" spans="4:4" x14ac:dyDescent="0.25">
      <c r="D4302"/>
    </row>
    <row r="4303" spans="4:4" x14ac:dyDescent="0.25">
      <c r="D4303"/>
    </row>
    <row r="4304" spans="4:4" x14ac:dyDescent="0.25">
      <c r="D4304"/>
    </row>
    <row r="4305" spans="4:4" x14ac:dyDescent="0.25">
      <c r="D4305"/>
    </row>
    <row r="4306" spans="4:4" x14ac:dyDescent="0.25">
      <c r="D4306"/>
    </row>
    <row r="4307" spans="4:4" x14ac:dyDescent="0.25">
      <c r="D4307"/>
    </row>
    <row r="4308" spans="4:4" x14ac:dyDescent="0.25">
      <c r="D4308"/>
    </row>
    <row r="4309" spans="4:4" x14ac:dyDescent="0.25">
      <c r="D4309"/>
    </row>
    <row r="4310" spans="4:4" x14ac:dyDescent="0.25">
      <c r="D4310"/>
    </row>
    <row r="4311" spans="4:4" x14ac:dyDescent="0.25">
      <c r="D4311"/>
    </row>
    <row r="4312" spans="4:4" x14ac:dyDescent="0.25">
      <c r="D4312"/>
    </row>
    <row r="4313" spans="4:4" x14ac:dyDescent="0.25">
      <c r="D4313"/>
    </row>
    <row r="4314" spans="4:4" x14ac:dyDescent="0.25">
      <c r="D4314"/>
    </row>
    <row r="4315" spans="4:4" x14ac:dyDescent="0.25">
      <c r="D4315"/>
    </row>
    <row r="4316" spans="4:4" x14ac:dyDescent="0.25">
      <c r="D4316"/>
    </row>
    <row r="4317" spans="4:4" x14ac:dyDescent="0.25">
      <c r="D4317"/>
    </row>
    <row r="4318" spans="4:4" x14ac:dyDescent="0.25">
      <c r="D4318"/>
    </row>
    <row r="4319" spans="4:4" x14ac:dyDescent="0.25">
      <c r="D4319"/>
    </row>
    <row r="4320" spans="4:4" x14ac:dyDescent="0.25">
      <c r="D4320"/>
    </row>
    <row r="4321" spans="4:4" x14ac:dyDescent="0.25">
      <c r="D4321"/>
    </row>
    <row r="4322" spans="4:4" x14ac:dyDescent="0.25">
      <c r="D4322"/>
    </row>
    <row r="4323" spans="4:4" x14ac:dyDescent="0.25">
      <c r="D4323"/>
    </row>
    <row r="4324" spans="4:4" x14ac:dyDescent="0.25">
      <c r="D4324"/>
    </row>
    <row r="4325" spans="4:4" x14ac:dyDescent="0.25">
      <c r="D4325"/>
    </row>
    <row r="4326" spans="4:4" x14ac:dyDescent="0.25">
      <c r="D4326"/>
    </row>
    <row r="4327" spans="4:4" x14ac:dyDescent="0.25">
      <c r="D4327"/>
    </row>
    <row r="4328" spans="4:4" x14ac:dyDescent="0.25">
      <c r="D4328"/>
    </row>
    <row r="4329" spans="4:4" x14ac:dyDescent="0.25">
      <c r="D4329"/>
    </row>
    <row r="4330" spans="4:4" x14ac:dyDescent="0.25">
      <c r="D4330"/>
    </row>
    <row r="4331" spans="4:4" x14ac:dyDescent="0.25">
      <c r="D4331"/>
    </row>
    <row r="4332" spans="4:4" x14ac:dyDescent="0.25">
      <c r="D4332"/>
    </row>
    <row r="4333" spans="4:4" x14ac:dyDescent="0.25">
      <c r="D4333"/>
    </row>
    <row r="4334" spans="4:4" x14ac:dyDescent="0.25">
      <c r="D4334"/>
    </row>
    <row r="4335" spans="4:4" x14ac:dyDescent="0.25">
      <c r="D4335"/>
    </row>
    <row r="4336" spans="4:4" x14ac:dyDescent="0.25">
      <c r="D4336"/>
    </row>
    <row r="4337" spans="4:4" x14ac:dyDescent="0.25">
      <c r="D4337"/>
    </row>
    <row r="4338" spans="4:4" x14ac:dyDescent="0.25">
      <c r="D4338"/>
    </row>
    <row r="4339" spans="4:4" x14ac:dyDescent="0.25">
      <c r="D4339"/>
    </row>
    <row r="4340" spans="4:4" x14ac:dyDescent="0.25">
      <c r="D4340"/>
    </row>
    <row r="4341" spans="4:4" x14ac:dyDescent="0.25">
      <c r="D4341"/>
    </row>
    <row r="4342" spans="4:4" x14ac:dyDescent="0.25">
      <c r="D4342"/>
    </row>
    <row r="4343" spans="4:4" x14ac:dyDescent="0.25">
      <c r="D4343"/>
    </row>
    <row r="4344" spans="4:4" x14ac:dyDescent="0.25">
      <c r="D4344"/>
    </row>
    <row r="4345" spans="4:4" x14ac:dyDescent="0.25">
      <c r="D4345"/>
    </row>
    <row r="4346" spans="4:4" x14ac:dyDescent="0.25">
      <c r="D4346"/>
    </row>
    <row r="4347" spans="4:4" x14ac:dyDescent="0.25">
      <c r="D4347"/>
    </row>
    <row r="4348" spans="4:4" x14ac:dyDescent="0.25">
      <c r="D4348"/>
    </row>
    <row r="4349" spans="4:4" x14ac:dyDescent="0.25">
      <c r="D4349"/>
    </row>
    <row r="4350" spans="4:4" x14ac:dyDescent="0.25">
      <c r="D4350"/>
    </row>
    <row r="4351" spans="4:4" x14ac:dyDescent="0.25">
      <c r="D4351"/>
    </row>
    <row r="4352" spans="4:4" x14ac:dyDescent="0.25">
      <c r="D4352"/>
    </row>
    <row r="4353" spans="4:4" x14ac:dyDescent="0.25">
      <c r="D4353"/>
    </row>
    <row r="4354" spans="4:4" x14ac:dyDescent="0.25">
      <c r="D4354"/>
    </row>
    <row r="4355" spans="4:4" x14ac:dyDescent="0.25">
      <c r="D4355"/>
    </row>
    <row r="4356" spans="4:4" x14ac:dyDescent="0.25">
      <c r="D4356"/>
    </row>
    <row r="4357" spans="4:4" x14ac:dyDescent="0.25">
      <c r="D4357"/>
    </row>
    <row r="4358" spans="4:4" x14ac:dyDescent="0.25">
      <c r="D4358"/>
    </row>
    <row r="4359" spans="4:4" x14ac:dyDescent="0.25">
      <c r="D4359"/>
    </row>
    <row r="4360" spans="4:4" x14ac:dyDescent="0.25">
      <c r="D4360"/>
    </row>
    <row r="4361" spans="4:4" x14ac:dyDescent="0.25">
      <c r="D4361"/>
    </row>
    <row r="4362" spans="4:4" x14ac:dyDescent="0.25">
      <c r="D4362"/>
    </row>
    <row r="4363" spans="4:4" x14ac:dyDescent="0.25">
      <c r="D4363"/>
    </row>
    <row r="4364" spans="4:4" x14ac:dyDescent="0.25">
      <c r="D4364"/>
    </row>
    <row r="4365" spans="4:4" x14ac:dyDescent="0.25">
      <c r="D4365"/>
    </row>
    <row r="4366" spans="4:4" x14ac:dyDescent="0.25">
      <c r="D4366"/>
    </row>
    <row r="4367" spans="4:4" x14ac:dyDescent="0.25">
      <c r="D4367"/>
    </row>
    <row r="4368" spans="4:4" x14ac:dyDescent="0.25">
      <c r="D4368"/>
    </row>
    <row r="4369" spans="4:4" x14ac:dyDescent="0.25">
      <c r="D4369"/>
    </row>
    <row r="4370" spans="4:4" x14ac:dyDescent="0.25">
      <c r="D4370"/>
    </row>
    <row r="4371" spans="4:4" x14ac:dyDescent="0.25">
      <c r="D4371"/>
    </row>
    <row r="4372" spans="4:4" x14ac:dyDescent="0.25">
      <c r="D4372"/>
    </row>
    <row r="4373" spans="4:4" x14ac:dyDescent="0.25">
      <c r="D4373"/>
    </row>
    <row r="4374" spans="4:4" x14ac:dyDescent="0.25">
      <c r="D4374"/>
    </row>
    <row r="4375" spans="4:4" x14ac:dyDescent="0.25">
      <c r="D4375"/>
    </row>
    <row r="4376" spans="4:4" x14ac:dyDescent="0.25">
      <c r="D4376"/>
    </row>
    <row r="4377" spans="4:4" x14ac:dyDescent="0.25">
      <c r="D4377"/>
    </row>
    <row r="4378" spans="4:4" x14ac:dyDescent="0.25">
      <c r="D4378"/>
    </row>
    <row r="4379" spans="4:4" x14ac:dyDescent="0.25">
      <c r="D4379"/>
    </row>
    <row r="4380" spans="4:4" x14ac:dyDescent="0.25">
      <c r="D4380"/>
    </row>
    <row r="4381" spans="4:4" x14ac:dyDescent="0.25">
      <c r="D4381"/>
    </row>
    <row r="4382" spans="4:4" x14ac:dyDescent="0.25">
      <c r="D4382"/>
    </row>
    <row r="4383" spans="4:4" x14ac:dyDescent="0.25">
      <c r="D4383"/>
    </row>
    <row r="4384" spans="4:4" x14ac:dyDescent="0.25">
      <c r="D4384"/>
    </row>
    <row r="4385" spans="4:4" x14ac:dyDescent="0.25">
      <c r="D4385"/>
    </row>
    <row r="4386" spans="4:4" x14ac:dyDescent="0.25">
      <c r="D4386"/>
    </row>
    <row r="4387" spans="4:4" x14ac:dyDescent="0.25">
      <c r="D4387"/>
    </row>
    <row r="4388" spans="4:4" x14ac:dyDescent="0.25">
      <c r="D4388"/>
    </row>
    <row r="4389" spans="4:4" x14ac:dyDescent="0.25">
      <c r="D4389"/>
    </row>
    <row r="4390" spans="4:4" x14ac:dyDescent="0.25">
      <c r="D4390"/>
    </row>
    <row r="4391" spans="4:4" x14ac:dyDescent="0.25">
      <c r="D4391"/>
    </row>
    <row r="4392" spans="4:4" x14ac:dyDescent="0.25">
      <c r="D4392"/>
    </row>
    <row r="4393" spans="4:4" x14ac:dyDescent="0.25">
      <c r="D4393"/>
    </row>
    <row r="4394" spans="4:4" x14ac:dyDescent="0.25">
      <c r="D4394"/>
    </row>
    <row r="4395" spans="4:4" x14ac:dyDescent="0.25">
      <c r="D4395"/>
    </row>
    <row r="4396" spans="4:4" x14ac:dyDescent="0.25">
      <c r="D4396"/>
    </row>
    <row r="4397" spans="4:4" x14ac:dyDescent="0.25">
      <c r="D4397"/>
    </row>
    <row r="4398" spans="4:4" x14ac:dyDescent="0.25">
      <c r="D4398"/>
    </row>
    <row r="4399" spans="4:4" x14ac:dyDescent="0.25">
      <c r="D4399"/>
    </row>
    <row r="4400" spans="4:4" x14ac:dyDescent="0.25">
      <c r="D4400"/>
    </row>
    <row r="4401" spans="4:4" x14ac:dyDescent="0.25">
      <c r="D4401"/>
    </row>
    <row r="4402" spans="4:4" x14ac:dyDescent="0.25">
      <c r="D4402"/>
    </row>
    <row r="4403" spans="4:4" x14ac:dyDescent="0.25">
      <c r="D4403"/>
    </row>
    <row r="4404" spans="4:4" x14ac:dyDescent="0.25">
      <c r="D4404"/>
    </row>
    <row r="4405" spans="4:4" x14ac:dyDescent="0.25">
      <c r="D4405"/>
    </row>
    <row r="4406" spans="4:4" x14ac:dyDescent="0.25">
      <c r="D4406"/>
    </row>
    <row r="4407" spans="4:4" x14ac:dyDescent="0.25">
      <c r="D4407"/>
    </row>
    <row r="4408" spans="4:4" x14ac:dyDescent="0.25">
      <c r="D4408"/>
    </row>
    <row r="4409" spans="4:4" x14ac:dyDescent="0.25">
      <c r="D4409"/>
    </row>
    <row r="4410" spans="4:4" x14ac:dyDescent="0.25">
      <c r="D4410"/>
    </row>
    <row r="4411" spans="4:4" x14ac:dyDescent="0.25">
      <c r="D4411"/>
    </row>
    <row r="4412" spans="4:4" x14ac:dyDescent="0.25">
      <c r="D4412"/>
    </row>
    <row r="4413" spans="4:4" x14ac:dyDescent="0.25">
      <c r="D4413"/>
    </row>
    <row r="4414" spans="4:4" x14ac:dyDescent="0.25">
      <c r="D4414"/>
    </row>
    <row r="4415" spans="4:4" x14ac:dyDescent="0.25">
      <c r="D4415"/>
    </row>
    <row r="4416" spans="4:4" x14ac:dyDescent="0.25">
      <c r="D4416"/>
    </row>
    <row r="4417" spans="4:4" x14ac:dyDescent="0.25">
      <c r="D4417"/>
    </row>
    <row r="4418" spans="4:4" x14ac:dyDescent="0.25">
      <c r="D4418"/>
    </row>
    <row r="4419" spans="4:4" x14ac:dyDescent="0.25">
      <c r="D4419"/>
    </row>
    <row r="4420" spans="4:4" x14ac:dyDescent="0.25">
      <c r="D4420"/>
    </row>
    <row r="4421" spans="4:4" x14ac:dyDescent="0.25">
      <c r="D4421"/>
    </row>
    <row r="4422" spans="4:4" x14ac:dyDescent="0.25">
      <c r="D4422"/>
    </row>
    <row r="4423" spans="4:4" x14ac:dyDescent="0.25">
      <c r="D4423"/>
    </row>
    <row r="4424" spans="4:4" x14ac:dyDescent="0.25">
      <c r="D4424"/>
    </row>
    <row r="4425" spans="4:4" x14ac:dyDescent="0.25">
      <c r="D4425"/>
    </row>
    <row r="4426" spans="4:4" x14ac:dyDescent="0.25">
      <c r="D4426"/>
    </row>
    <row r="4427" spans="4:4" x14ac:dyDescent="0.25">
      <c r="D4427"/>
    </row>
    <row r="4428" spans="4:4" x14ac:dyDescent="0.25">
      <c r="D4428"/>
    </row>
    <row r="4429" spans="4:4" x14ac:dyDescent="0.25">
      <c r="D4429"/>
    </row>
    <row r="4430" spans="4:4" x14ac:dyDescent="0.25">
      <c r="D4430"/>
    </row>
    <row r="4431" spans="4:4" x14ac:dyDescent="0.25">
      <c r="D4431"/>
    </row>
    <row r="4432" spans="4:4" x14ac:dyDescent="0.25">
      <c r="D4432"/>
    </row>
    <row r="4433" spans="4:4" x14ac:dyDescent="0.25">
      <c r="D4433"/>
    </row>
    <row r="4434" spans="4:4" x14ac:dyDescent="0.25">
      <c r="D4434"/>
    </row>
    <row r="4435" spans="4:4" x14ac:dyDescent="0.25">
      <c r="D4435"/>
    </row>
    <row r="4436" spans="4:4" x14ac:dyDescent="0.25">
      <c r="D4436"/>
    </row>
    <row r="4437" spans="4:4" x14ac:dyDescent="0.25">
      <c r="D4437"/>
    </row>
    <row r="4438" spans="4:4" x14ac:dyDescent="0.25">
      <c r="D4438"/>
    </row>
    <row r="4439" spans="4:4" x14ac:dyDescent="0.25">
      <c r="D4439"/>
    </row>
    <row r="4440" spans="4:4" x14ac:dyDescent="0.25">
      <c r="D4440"/>
    </row>
    <row r="4441" spans="4:4" x14ac:dyDescent="0.25">
      <c r="D4441"/>
    </row>
    <row r="4442" spans="4:4" x14ac:dyDescent="0.25">
      <c r="D4442"/>
    </row>
    <row r="4443" spans="4:4" x14ac:dyDescent="0.25">
      <c r="D4443"/>
    </row>
    <row r="4444" spans="4:4" x14ac:dyDescent="0.25">
      <c r="D4444"/>
    </row>
    <row r="4445" spans="4:4" x14ac:dyDescent="0.25">
      <c r="D4445"/>
    </row>
    <row r="4446" spans="4:4" x14ac:dyDescent="0.25">
      <c r="D4446"/>
    </row>
    <row r="4447" spans="4:4" x14ac:dyDescent="0.25">
      <c r="D4447"/>
    </row>
    <row r="4448" spans="4:4" x14ac:dyDescent="0.25">
      <c r="D4448"/>
    </row>
    <row r="4449" spans="4:4" x14ac:dyDescent="0.25">
      <c r="D4449"/>
    </row>
    <row r="4450" spans="4:4" x14ac:dyDescent="0.25">
      <c r="D4450"/>
    </row>
    <row r="4451" spans="4:4" x14ac:dyDescent="0.25">
      <c r="D4451"/>
    </row>
    <row r="4452" spans="4:4" x14ac:dyDescent="0.25">
      <c r="D4452"/>
    </row>
    <row r="4453" spans="4:4" x14ac:dyDescent="0.25">
      <c r="D4453"/>
    </row>
    <row r="4454" spans="4:4" x14ac:dyDescent="0.25">
      <c r="D4454"/>
    </row>
    <row r="4455" spans="4:4" x14ac:dyDescent="0.25">
      <c r="D4455"/>
    </row>
    <row r="4456" spans="4:4" x14ac:dyDescent="0.25">
      <c r="D4456"/>
    </row>
    <row r="4457" spans="4:4" x14ac:dyDescent="0.25">
      <c r="D4457"/>
    </row>
    <row r="4458" spans="4:4" x14ac:dyDescent="0.25">
      <c r="D4458"/>
    </row>
    <row r="4459" spans="4:4" x14ac:dyDescent="0.25">
      <c r="D4459"/>
    </row>
    <row r="4460" spans="4:4" x14ac:dyDescent="0.25">
      <c r="D4460"/>
    </row>
    <row r="4461" spans="4:4" x14ac:dyDescent="0.25">
      <c r="D4461"/>
    </row>
    <row r="4462" spans="4:4" x14ac:dyDescent="0.25">
      <c r="D4462"/>
    </row>
    <row r="4463" spans="4:4" x14ac:dyDescent="0.25">
      <c r="D4463"/>
    </row>
    <row r="4464" spans="4:4" x14ac:dyDescent="0.25">
      <c r="D4464"/>
    </row>
    <row r="4465" spans="4:4" x14ac:dyDescent="0.25">
      <c r="D4465"/>
    </row>
    <row r="4466" spans="4:4" x14ac:dyDescent="0.25">
      <c r="D4466"/>
    </row>
    <row r="4467" spans="4:4" x14ac:dyDescent="0.25">
      <c r="D4467"/>
    </row>
    <row r="4468" spans="4:4" x14ac:dyDescent="0.25">
      <c r="D4468"/>
    </row>
    <row r="4469" spans="4:4" x14ac:dyDescent="0.25">
      <c r="D4469"/>
    </row>
    <row r="4470" spans="4:4" x14ac:dyDescent="0.25">
      <c r="D4470"/>
    </row>
    <row r="4471" spans="4:4" x14ac:dyDescent="0.25">
      <c r="D4471"/>
    </row>
    <row r="4472" spans="4:4" x14ac:dyDescent="0.25">
      <c r="D4472"/>
    </row>
    <row r="4473" spans="4:4" x14ac:dyDescent="0.25">
      <c r="D4473"/>
    </row>
    <row r="4474" spans="4:4" x14ac:dyDescent="0.25">
      <c r="D4474"/>
    </row>
    <row r="4475" spans="4:4" x14ac:dyDescent="0.25">
      <c r="D4475"/>
    </row>
    <row r="4476" spans="4:4" x14ac:dyDescent="0.25">
      <c r="D4476"/>
    </row>
    <row r="4477" spans="4:4" x14ac:dyDescent="0.25">
      <c r="D4477"/>
    </row>
    <row r="4478" spans="4:4" x14ac:dyDescent="0.25">
      <c r="D4478"/>
    </row>
    <row r="4479" spans="4:4" x14ac:dyDescent="0.25">
      <c r="D4479"/>
    </row>
    <row r="4480" spans="4:4" x14ac:dyDescent="0.25">
      <c r="D4480"/>
    </row>
    <row r="4481" spans="4:4" x14ac:dyDescent="0.25">
      <c r="D4481"/>
    </row>
    <row r="4482" spans="4:4" x14ac:dyDescent="0.25">
      <c r="D4482"/>
    </row>
    <row r="4483" spans="4:4" x14ac:dyDescent="0.25">
      <c r="D4483"/>
    </row>
    <row r="4484" spans="4:4" x14ac:dyDescent="0.25">
      <c r="D4484"/>
    </row>
    <row r="4485" spans="4:4" x14ac:dyDescent="0.25">
      <c r="D4485"/>
    </row>
    <row r="4486" spans="4:4" x14ac:dyDescent="0.25">
      <c r="D4486"/>
    </row>
    <row r="4487" spans="4:4" x14ac:dyDescent="0.25">
      <c r="D4487"/>
    </row>
    <row r="4488" spans="4:4" x14ac:dyDescent="0.25">
      <c r="D4488"/>
    </row>
    <row r="4489" spans="4:4" x14ac:dyDescent="0.25">
      <c r="D4489"/>
    </row>
    <row r="4490" spans="4:4" x14ac:dyDescent="0.25">
      <c r="D4490"/>
    </row>
    <row r="4491" spans="4:4" x14ac:dyDescent="0.25">
      <c r="D4491"/>
    </row>
    <row r="4492" spans="4:4" x14ac:dyDescent="0.25">
      <c r="D4492"/>
    </row>
    <row r="4493" spans="4:4" x14ac:dyDescent="0.25">
      <c r="D4493"/>
    </row>
    <row r="4494" spans="4:4" x14ac:dyDescent="0.25">
      <c r="D4494"/>
    </row>
    <row r="4495" spans="4:4" x14ac:dyDescent="0.25">
      <c r="D4495"/>
    </row>
    <row r="4496" spans="4:4" x14ac:dyDescent="0.25">
      <c r="D4496"/>
    </row>
    <row r="4497" spans="4:4" x14ac:dyDescent="0.25">
      <c r="D4497"/>
    </row>
    <row r="4498" spans="4:4" x14ac:dyDescent="0.25">
      <c r="D4498"/>
    </row>
    <row r="4499" spans="4:4" x14ac:dyDescent="0.25">
      <c r="D4499"/>
    </row>
    <row r="4500" spans="4:4" x14ac:dyDescent="0.25">
      <c r="D4500"/>
    </row>
    <row r="4501" spans="4:4" x14ac:dyDescent="0.25">
      <c r="D4501"/>
    </row>
    <row r="4502" spans="4:4" x14ac:dyDescent="0.25">
      <c r="D4502"/>
    </row>
    <row r="4503" spans="4:4" x14ac:dyDescent="0.25">
      <c r="D4503"/>
    </row>
    <row r="4504" spans="4:4" x14ac:dyDescent="0.25">
      <c r="D4504"/>
    </row>
    <row r="4505" spans="4:4" x14ac:dyDescent="0.25">
      <c r="D4505"/>
    </row>
    <row r="4506" spans="4:4" x14ac:dyDescent="0.25">
      <c r="D4506"/>
    </row>
    <row r="4507" spans="4:4" x14ac:dyDescent="0.25">
      <c r="D4507"/>
    </row>
    <row r="4508" spans="4:4" x14ac:dyDescent="0.25">
      <c r="D4508"/>
    </row>
    <row r="4509" spans="4:4" x14ac:dyDescent="0.25">
      <c r="D4509"/>
    </row>
    <row r="4510" spans="4:4" x14ac:dyDescent="0.25">
      <c r="D4510"/>
    </row>
    <row r="4511" spans="4:4" x14ac:dyDescent="0.25">
      <c r="D4511"/>
    </row>
    <row r="4512" spans="4:4" x14ac:dyDescent="0.25">
      <c r="D4512"/>
    </row>
    <row r="4513" spans="4:4" x14ac:dyDescent="0.25">
      <c r="D4513"/>
    </row>
    <row r="4514" spans="4:4" x14ac:dyDescent="0.25">
      <c r="D4514"/>
    </row>
    <row r="4515" spans="4:4" x14ac:dyDescent="0.25">
      <c r="D4515"/>
    </row>
    <row r="4516" spans="4:4" x14ac:dyDescent="0.25">
      <c r="D4516"/>
    </row>
    <row r="4517" spans="4:4" x14ac:dyDescent="0.25">
      <c r="D4517"/>
    </row>
    <row r="4518" spans="4:4" x14ac:dyDescent="0.25">
      <c r="D4518"/>
    </row>
    <row r="4519" spans="4:4" x14ac:dyDescent="0.25">
      <c r="D4519"/>
    </row>
    <row r="4520" spans="4:4" x14ac:dyDescent="0.25">
      <c r="D4520"/>
    </row>
    <row r="4521" spans="4:4" x14ac:dyDescent="0.25">
      <c r="D4521"/>
    </row>
    <row r="4522" spans="4:4" x14ac:dyDescent="0.25">
      <c r="D4522"/>
    </row>
    <row r="4523" spans="4:4" x14ac:dyDescent="0.25">
      <c r="D4523"/>
    </row>
    <row r="4524" spans="4:4" x14ac:dyDescent="0.25">
      <c r="D4524"/>
    </row>
    <row r="4525" spans="4:4" x14ac:dyDescent="0.25">
      <c r="D4525"/>
    </row>
    <row r="4526" spans="4:4" x14ac:dyDescent="0.25">
      <c r="D4526"/>
    </row>
    <row r="4527" spans="4:4" x14ac:dyDescent="0.25">
      <c r="D4527"/>
    </row>
    <row r="4528" spans="4:4" x14ac:dyDescent="0.25">
      <c r="D4528"/>
    </row>
    <row r="4529" spans="4:4" x14ac:dyDescent="0.25">
      <c r="D4529"/>
    </row>
    <row r="4530" spans="4:4" x14ac:dyDescent="0.25">
      <c r="D4530"/>
    </row>
    <row r="4531" spans="4:4" x14ac:dyDescent="0.25">
      <c r="D4531"/>
    </row>
    <row r="4532" spans="4:4" x14ac:dyDescent="0.25">
      <c r="D4532"/>
    </row>
    <row r="4533" spans="4:4" x14ac:dyDescent="0.25">
      <c r="D4533"/>
    </row>
    <row r="4534" spans="4:4" x14ac:dyDescent="0.25">
      <c r="D4534"/>
    </row>
    <row r="4535" spans="4:4" x14ac:dyDescent="0.25">
      <c r="D4535"/>
    </row>
    <row r="4536" spans="4:4" x14ac:dyDescent="0.25">
      <c r="D4536"/>
    </row>
    <row r="4537" spans="4:4" x14ac:dyDescent="0.25">
      <c r="D4537"/>
    </row>
    <row r="4538" spans="4:4" x14ac:dyDescent="0.25">
      <c r="D4538"/>
    </row>
    <row r="4539" spans="4:4" x14ac:dyDescent="0.25">
      <c r="D4539"/>
    </row>
    <row r="4540" spans="4:4" x14ac:dyDescent="0.25">
      <c r="D4540"/>
    </row>
    <row r="4541" spans="4:4" x14ac:dyDescent="0.25">
      <c r="D4541"/>
    </row>
    <row r="4542" spans="4:4" x14ac:dyDescent="0.25">
      <c r="D4542"/>
    </row>
    <row r="4543" spans="4:4" x14ac:dyDescent="0.25">
      <c r="D4543"/>
    </row>
    <row r="4544" spans="4:4" x14ac:dyDescent="0.25">
      <c r="D4544"/>
    </row>
    <row r="4545" spans="4:4" x14ac:dyDescent="0.25">
      <c r="D4545"/>
    </row>
    <row r="4546" spans="4:4" x14ac:dyDescent="0.25">
      <c r="D4546"/>
    </row>
    <row r="4547" spans="4:4" x14ac:dyDescent="0.25">
      <c r="D4547"/>
    </row>
    <row r="4548" spans="4:4" x14ac:dyDescent="0.25">
      <c r="D4548"/>
    </row>
    <row r="4549" spans="4:4" x14ac:dyDescent="0.25">
      <c r="D4549"/>
    </row>
    <row r="4550" spans="4:4" x14ac:dyDescent="0.25">
      <c r="D4550"/>
    </row>
    <row r="4551" spans="4:4" x14ac:dyDescent="0.25">
      <c r="D4551"/>
    </row>
    <row r="4552" spans="4:4" x14ac:dyDescent="0.25">
      <c r="D4552"/>
    </row>
    <row r="4553" spans="4:4" x14ac:dyDescent="0.25">
      <c r="D4553"/>
    </row>
    <row r="4554" spans="4:4" x14ac:dyDescent="0.25">
      <c r="D4554"/>
    </row>
    <row r="4555" spans="4:4" x14ac:dyDescent="0.25">
      <c r="D4555"/>
    </row>
    <row r="4556" spans="4:4" x14ac:dyDescent="0.25">
      <c r="D4556"/>
    </row>
    <row r="4557" spans="4:4" x14ac:dyDescent="0.25">
      <c r="D4557"/>
    </row>
    <row r="4558" spans="4:4" x14ac:dyDescent="0.25">
      <c r="D4558"/>
    </row>
    <row r="4559" spans="4:4" x14ac:dyDescent="0.25">
      <c r="D4559"/>
    </row>
    <row r="4560" spans="4:4" x14ac:dyDescent="0.25">
      <c r="D4560"/>
    </row>
    <row r="4561" spans="4:4" x14ac:dyDescent="0.25">
      <c r="D4561"/>
    </row>
    <row r="4562" spans="4:4" x14ac:dyDescent="0.25">
      <c r="D4562"/>
    </row>
    <row r="4563" spans="4:4" x14ac:dyDescent="0.25">
      <c r="D4563"/>
    </row>
    <row r="4564" spans="4:4" x14ac:dyDescent="0.25">
      <c r="D4564"/>
    </row>
    <row r="4565" spans="4:4" x14ac:dyDescent="0.25">
      <c r="D4565"/>
    </row>
    <row r="4566" spans="4:4" x14ac:dyDescent="0.25">
      <c r="D4566"/>
    </row>
    <row r="4567" spans="4:4" x14ac:dyDescent="0.25">
      <c r="D4567"/>
    </row>
    <row r="4568" spans="4:4" x14ac:dyDescent="0.25">
      <c r="D4568"/>
    </row>
    <row r="4569" spans="4:4" x14ac:dyDescent="0.25">
      <c r="D4569"/>
    </row>
    <row r="4570" spans="4:4" x14ac:dyDescent="0.25">
      <c r="D4570"/>
    </row>
    <row r="4571" spans="4:4" x14ac:dyDescent="0.25">
      <c r="D4571"/>
    </row>
    <row r="4572" spans="4:4" x14ac:dyDescent="0.25">
      <c r="D4572"/>
    </row>
    <row r="4573" spans="4:4" x14ac:dyDescent="0.25">
      <c r="D4573"/>
    </row>
    <row r="4574" spans="4:4" x14ac:dyDescent="0.25">
      <c r="D4574"/>
    </row>
    <row r="4575" spans="4:4" x14ac:dyDescent="0.25">
      <c r="D4575"/>
    </row>
    <row r="4576" spans="4:4" x14ac:dyDescent="0.25">
      <c r="D4576"/>
    </row>
    <row r="4577" spans="4:4" x14ac:dyDescent="0.25">
      <c r="D4577"/>
    </row>
    <row r="4578" spans="4:4" x14ac:dyDescent="0.25">
      <c r="D4578"/>
    </row>
    <row r="4579" spans="4:4" x14ac:dyDescent="0.25">
      <c r="D4579"/>
    </row>
    <row r="4580" spans="4:4" x14ac:dyDescent="0.25">
      <c r="D4580"/>
    </row>
    <row r="4581" spans="4:4" x14ac:dyDescent="0.25">
      <c r="D4581"/>
    </row>
    <row r="4582" spans="4:4" x14ac:dyDescent="0.25">
      <c r="D4582"/>
    </row>
    <row r="4583" spans="4:4" x14ac:dyDescent="0.25">
      <c r="D4583"/>
    </row>
    <row r="4584" spans="4:4" x14ac:dyDescent="0.25">
      <c r="D4584"/>
    </row>
    <row r="4585" spans="4:4" x14ac:dyDescent="0.25">
      <c r="D4585"/>
    </row>
    <row r="4586" spans="4:4" x14ac:dyDescent="0.25">
      <c r="D4586"/>
    </row>
    <row r="4587" spans="4:4" x14ac:dyDescent="0.25">
      <c r="D4587"/>
    </row>
    <row r="4588" spans="4:4" x14ac:dyDescent="0.25">
      <c r="D4588"/>
    </row>
    <row r="4589" spans="4:4" x14ac:dyDescent="0.25">
      <c r="D4589"/>
    </row>
    <row r="4590" spans="4:4" x14ac:dyDescent="0.25">
      <c r="D4590"/>
    </row>
    <row r="4591" spans="4:4" x14ac:dyDescent="0.25">
      <c r="D4591"/>
    </row>
    <row r="4592" spans="4:4" x14ac:dyDescent="0.25">
      <c r="D4592"/>
    </row>
    <row r="4593" spans="4:4" x14ac:dyDescent="0.25">
      <c r="D4593"/>
    </row>
    <row r="4594" spans="4:4" x14ac:dyDescent="0.25">
      <c r="D4594"/>
    </row>
    <row r="4595" spans="4:4" x14ac:dyDescent="0.25">
      <c r="D4595"/>
    </row>
    <row r="4596" spans="4:4" x14ac:dyDescent="0.25">
      <c r="D4596"/>
    </row>
    <row r="4597" spans="4:4" x14ac:dyDescent="0.25">
      <c r="D4597"/>
    </row>
    <row r="4598" spans="4:4" x14ac:dyDescent="0.25">
      <c r="D4598"/>
    </row>
    <row r="4599" spans="4:4" x14ac:dyDescent="0.25">
      <c r="D4599"/>
    </row>
    <row r="4600" spans="4:4" x14ac:dyDescent="0.25">
      <c r="D4600"/>
    </row>
    <row r="4601" spans="4:4" x14ac:dyDescent="0.25">
      <c r="D4601"/>
    </row>
    <row r="4602" spans="4:4" x14ac:dyDescent="0.25">
      <c r="D4602"/>
    </row>
    <row r="4603" spans="4:4" x14ac:dyDescent="0.25">
      <c r="D4603"/>
    </row>
    <row r="4604" spans="4:4" x14ac:dyDescent="0.25">
      <c r="D4604"/>
    </row>
    <row r="4605" spans="4:4" x14ac:dyDescent="0.25">
      <c r="D4605"/>
    </row>
    <row r="4606" spans="4:4" x14ac:dyDescent="0.25">
      <c r="D4606"/>
    </row>
    <row r="4607" spans="4:4" x14ac:dyDescent="0.25">
      <c r="D4607"/>
    </row>
    <row r="4608" spans="4:4" x14ac:dyDescent="0.25">
      <c r="D4608"/>
    </row>
    <row r="4609" spans="4:4" x14ac:dyDescent="0.25">
      <c r="D4609"/>
    </row>
    <row r="4610" spans="4:4" x14ac:dyDescent="0.25">
      <c r="D4610"/>
    </row>
    <row r="4611" spans="4:4" x14ac:dyDescent="0.25">
      <c r="D4611"/>
    </row>
    <row r="4612" spans="4:4" x14ac:dyDescent="0.25">
      <c r="D4612"/>
    </row>
    <row r="4613" spans="4:4" x14ac:dyDescent="0.25">
      <c r="D4613"/>
    </row>
    <row r="4614" spans="4:4" x14ac:dyDescent="0.25">
      <c r="D4614"/>
    </row>
    <row r="4615" spans="4:4" x14ac:dyDescent="0.25">
      <c r="D4615"/>
    </row>
    <row r="4616" spans="4:4" x14ac:dyDescent="0.25">
      <c r="D4616"/>
    </row>
    <row r="4617" spans="4:4" x14ac:dyDescent="0.25">
      <c r="D4617"/>
    </row>
    <row r="4618" spans="4:4" x14ac:dyDescent="0.25">
      <c r="D4618"/>
    </row>
    <row r="4619" spans="4:4" x14ac:dyDescent="0.25">
      <c r="D4619"/>
    </row>
    <row r="4620" spans="4:4" x14ac:dyDescent="0.25">
      <c r="D4620"/>
    </row>
    <row r="4621" spans="4:4" x14ac:dyDescent="0.25">
      <c r="D4621"/>
    </row>
    <row r="4622" spans="4:4" x14ac:dyDescent="0.25">
      <c r="D4622"/>
    </row>
    <row r="4623" spans="4:4" x14ac:dyDescent="0.25">
      <c r="D4623"/>
    </row>
    <row r="4624" spans="4:4" x14ac:dyDescent="0.25">
      <c r="D4624"/>
    </row>
    <row r="4625" spans="4:4" x14ac:dyDescent="0.25">
      <c r="D4625"/>
    </row>
    <row r="4626" spans="4:4" x14ac:dyDescent="0.25">
      <c r="D4626"/>
    </row>
    <row r="4627" spans="4:4" x14ac:dyDescent="0.25">
      <c r="D4627"/>
    </row>
    <row r="4628" spans="4:4" x14ac:dyDescent="0.25">
      <c r="D4628"/>
    </row>
    <row r="4629" spans="4:4" x14ac:dyDescent="0.25">
      <c r="D4629"/>
    </row>
    <row r="4630" spans="4:4" x14ac:dyDescent="0.25">
      <c r="D4630"/>
    </row>
    <row r="4631" spans="4:4" x14ac:dyDescent="0.25">
      <c r="D4631"/>
    </row>
    <row r="4632" spans="4:4" x14ac:dyDescent="0.25">
      <c r="D4632"/>
    </row>
    <row r="4633" spans="4:4" x14ac:dyDescent="0.25">
      <c r="D4633"/>
    </row>
    <row r="4634" spans="4:4" x14ac:dyDescent="0.25">
      <c r="D4634"/>
    </row>
    <row r="4635" spans="4:4" x14ac:dyDescent="0.25">
      <c r="D4635"/>
    </row>
    <row r="4636" spans="4:4" x14ac:dyDescent="0.25">
      <c r="D4636"/>
    </row>
    <row r="4637" spans="4:4" x14ac:dyDescent="0.25">
      <c r="D4637"/>
    </row>
    <row r="4638" spans="4:4" x14ac:dyDescent="0.25">
      <c r="D4638"/>
    </row>
    <row r="4639" spans="4:4" x14ac:dyDescent="0.25">
      <c r="D4639"/>
    </row>
    <row r="4640" spans="4:4" x14ac:dyDescent="0.25">
      <c r="D4640"/>
    </row>
    <row r="4641" spans="4:4" x14ac:dyDescent="0.25">
      <c r="D4641"/>
    </row>
    <row r="4642" spans="4:4" x14ac:dyDescent="0.25">
      <c r="D4642"/>
    </row>
    <row r="4643" spans="4:4" x14ac:dyDescent="0.25">
      <c r="D4643"/>
    </row>
    <row r="4644" spans="4:4" x14ac:dyDescent="0.25">
      <c r="D4644"/>
    </row>
    <row r="4645" spans="4:4" x14ac:dyDescent="0.25">
      <c r="D4645"/>
    </row>
    <row r="4646" spans="4:4" x14ac:dyDescent="0.25">
      <c r="D4646"/>
    </row>
    <row r="4647" spans="4:4" x14ac:dyDescent="0.25">
      <c r="D4647"/>
    </row>
    <row r="4648" spans="4:4" x14ac:dyDescent="0.25">
      <c r="D4648"/>
    </row>
    <row r="4649" spans="4:4" x14ac:dyDescent="0.25">
      <c r="D4649"/>
    </row>
    <row r="4650" spans="4:4" x14ac:dyDescent="0.25">
      <c r="D4650"/>
    </row>
    <row r="4651" spans="4:4" x14ac:dyDescent="0.25">
      <c r="D4651"/>
    </row>
    <row r="4652" spans="4:4" x14ac:dyDescent="0.25">
      <c r="D4652"/>
    </row>
    <row r="4653" spans="4:4" x14ac:dyDescent="0.25">
      <c r="D4653"/>
    </row>
    <row r="4654" spans="4:4" x14ac:dyDescent="0.25">
      <c r="D4654"/>
    </row>
    <row r="4655" spans="4:4" x14ac:dyDescent="0.25">
      <c r="D4655"/>
    </row>
    <row r="4656" spans="4:4" x14ac:dyDescent="0.25">
      <c r="D4656"/>
    </row>
    <row r="4657" spans="4:4" x14ac:dyDescent="0.25">
      <c r="D4657"/>
    </row>
    <row r="4658" spans="4:4" x14ac:dyDescent="0.25">
      <c r="D4658"/>
    </row>
    <row r="4659" spans="4:4" x14ac:dyDescent="0.25">
      <c r="D4659"/>
    </row>
    <row r="4660" spans="4:4" x14ac:dyDescent="0.25">
      <c r="D4660"/>
    </row>
    <row r="4661" spans="4:4" x14ac:dyDescent="0.25">
      <c r="D4661"/>
    </row>
    <row r="4662" spans="4:4" x14ac:dyDescent="0.25">
      <c r="D4662"/>
    </row>
    <row r="4663" spans="4:4" x14ac:dyDescent="0.25">
      <c r="D4663"/>
    </row>
    <row r="4664" spans="4:4" x14ac:dyDescent="0.25">
      <c r="D4664"/>
    </row>
    <row r="4665" spans="4:4" x14ac:dyDescent="0.25">
      <c r="D4665"/>
    </row>
    <row r="4666" spans="4:4" x14ac:dyDescent="0.25">
      <c r="D4666"/>
    </row>
    <row r="4667" spans="4:4" x14ac:dyDescent="0.25">
      <c r="D4667"/>
    </row>
    <row r="4668" spans="4:4" x14ac:dyDescent="0.25">
      <c r="D4668"/>
    </row>
    <row r="4669" spans="4:4" x14ac:dyDescent="0.25">
      <c r="D4669"/>
    </row>
    <row r="4670" spans="4:4" x14ac:dyDescent="0.25">
      <c r="D4670"/>
    </row>
    <row r="4671" spans="4:4" x14ac:dyDescent="0.25">
      <c r="D4671"/>
    </row>
    <row r="4672" spans="4:4" x14ac:dyDescent="0.25">
      <c r="D4672"/>
    </row>
    <row r="4673" spans="4:4" x14ac:dyDescent="0.25">
      <c r="D4673"/>
    </row>
    <row r="4674" spans="4:4" x14ac:dyDescent="0.25">
      <c r="D4674"/>
    </row>
    <row r="4675" spans="4:4" x14ac:dyDescent="0.25">
      <c r="D4675"/>
    </row>
    <row r="4676" spans="4:4" x14ac:dyDescent="0.25">
      <c r="D4676"/>
    </row>
    <row r="4677" spans="4:4" x14ac:dyDescent="0.25">
      <c r="D4677"/>
    </row>
    <row r="4678" spans="4:4" x14ac:dyDescent="0.25">
      <c r="D4678"/>
    </row>
    <row r="4679" spans="4:4" x14ac:dyDescent="0.25">
      <c r="D4679"/>
    </row>
    <row r="4680" spans="4:4" x14ac:dyDescent="0.25">
      <c r="D4680"/>
    </row>
    <row r="4681" spans="4:4" x14ac:dyDescent="0.25">
      <c r="D4681"/>
    </row>
    <row r="4682" spans="4:4" x14ac:dyDescent="0.25">
      <c r="D4682"/>
    </row>
    <row r="4683" spans="4:4" x14ac:dyDescent="0.25">
      <c r="D4683"/>
    </row>
    <row r="4684" spans="4:4" x14ac:dyDescent="0.25">
      <c r="D4684"/>
    </row>
    <row r="4685" spans="4:4" x14ac:dyDescent="0.25">
      <c r="D4685"/>
    </row>
    <row r="4686" spans="4:4" x14ac:dyDescent="0.25">
      <c r="D4686"/>
    </row>
    <row r="4687" spans="4:4" x14ac:dyDescent="0.25">
      <c r="D4687"/>
    </row>
    <row r="4688" spans="4:4" x14ac:dyDescent="0.25">
      <c r="D4688"/>
    </row>
    <row r="4689" spans="4:4" x14ac:dyDescent="0.25">
      <c r="D4689"/>
    </row>
    <row r="4690" spans="4:4" x14ac:dyDescent="0.25">
      <c r="D4690"/>
    </row>
    <row r="4691" spans="4:4" x14ac:dyDescent="0.25">
      <c r="D4691"/>
    </row>
    <row r="4692" spans="4:4" x14ac:dyDescent="0.25">
      <c r="D4692"/>
    </row>
    <row r="4693" spans="4:4" x14ac:dyDescent="0.25">
      <c r="D4693"/>
    </row>
    <row r="4694" spans="4:4" x14ac:dyDescent="0.25">
      <c r="D4694"/>
    </row>
    <row r="4695" spans="4:4" x14ac:dyDescent="0.25">
      <c r="D4695"/>
    </row>
    <row r="4696" spans="4:4" x14ac:dyDescent="0.25">
      <c r="D4696"/>
    </row>
    <row r="4697" spans="4:4" x14ac:dyDescent="0.25">
      <c r="D4697"/>
    </row>
    <row r="4698" spans="4:4" x14ac:dyDescent="0.25">
      <c r="D4698"/>
    </row>
    <row r="4699" spans="4:4" x14ac:dyDescent="0.25">
      <c r="D4699"/>
    </row>
    <row r="4700" spans="4:4" x14ac:dyDescent="0.25">
      <c r="D4700"/>
    </row>
    <row r="4701" spans="4:4" x14ac:dyDescent="0.25">
      <c r="D4701"/>
    </row>
    <row r="4702" spans="4:4" x14ac:dyDescent="0.25">
      <c r="D4702"/>
    </row>
    <row r="4703" spans="4:4" x14ac:dyDescent="0.25">
      <c r="D4703"/>
    </row>
    <row r="4704" spans="4:4" x14ac:dyDescent="0.25">
      <c r="D4704"/>
    </row>
    <row r="4705" spans="4:4" x14ac:dyDescent="0.25">
      <c r="D4705"/>
    </row>
    <row r="4706" spans="4:4" x14ac:dyDescent="0.25">
      <c r="D4706"/>
    </row>
    <row r="4707" spans="4:4" x14ac:dyDescent="0.25">
      <c r="D4707"/>
    </row>
    <row r="4708" spans="4:4" x14ac:dyDescent="0.25">
      <c r="D4708"/>
    </row>
    <row r="4709" spans="4:4" x14ac:dyDescent="0.25">
      <c r="D4709"/>
    </row>
    <row r="4710" spans="4:4" x14ac:dyDescent="0.25">
      <c r="D4710"/>
    </row>
    <row r="4711" spans="4:4" x14ac:dyDescent="0.25">
      <c r="D4711"/>
    </row>
    <row r="4712" spans="4:4" x14ac:dyDescent="0.25">
      <c r="D4712"/>
    </row>
    <row r="4713" spans="4:4" x14ac:dyDescent="0.25">
      <c r="D4713"/>
    </row>
    <row r="4714" spans="4:4" x14ac:dyDescent="0.25">
      <c r="D4714"/>
    </row>
    <row r="4715" spans="4:4" x14ac:dyDescent="0.25">
      <c r="D4715"/>
    </row>
    <row r="4716" spans="4:4" x14ac:dyDescent="0.25">
      <c r="D4716"/>
    </row>
    <row r="4717" spans="4:4" x14ac:dyDescent="0.25">
      <c r="D4717"/>
    </row>
    <row r="4718" spans="4:4" x14ac:dyDescent="0.25">
      <c r="D4718"/>
    </row>
    <row r="4719" spans="4:4" x14ac:dyDescent="0.25">
      <c r="D4719"/>
    </row>
    <row r="4720" spans="4:4" x14ac:dyDescent="0.25">
      <c r="D4720"/>
    </row>
    <row r="4721" spans="4:4" x14ac:dyDescent="0.25">
      <c r="D4721"/>
    </row>
    <row r="4722" spans="4:4" x14ac:dyDescent="0.25">
      <c r="D4722"/>
    </row>
    <row r="4723" spans="4:4" x14ac:dyDescent="0.25">
      <c r="D4723"/>
    </row>
    <row r="4724" spans="4:4" x14ac:dyDescent="0.25">
      <c r="D4724"/>
    </row>
    <row r="4725" spans="4:4" x14ac:dyDescent="0.25">
      <c r="D4725"/>
    </row>
    <row r="4726" spans="4:4" x14ac:dyDescent="0.25">
      <c r="D4726"/>
    </row>
    <row r="4727" spans="4:4" x14ac:dyDescent="0.25">
      <c r="D4727"/>
    </row>
    <row r="4728" spans="4:4" x14ac:dyDescent="0.25">
      <c r="D4728"/>
    </row>
    <row r="4729" spans="4:4" x14ac:dyDescent="0.25">
      <c r="D4729"/>
    </row>
    <row r="4730" spans="4:4" x14ac:dyDescent="0.25">
      <c r="D4730"/>
    </row>
    <row r="4731" spans="4:4" x14ac:dyDescent="0.25">
      <c r="D4731"/>
    </row>
    <row r="4732" spans="4:4" x14ac:dyDescent="0.25">
      <c r="D4732"/>
    </row>
    <row r="4733" spans="4:4" x14ac:dyDescent="0.25">
      <c r="D4733"/>
    </row>
    <row r="4734" spans="4:4" x14ac:dyDescent="0.25">
      <c r="D4734"/>
    </row>
    <row r="4735" spans="4:4" x14ac:dyDescent="0.25">
      <c r="D4735"/>
    </row>
    <row r="4736" spans="4:4" x14ac:dyDescent="0.25">
      <c r="D4736"/>
    </row>
    <row r="4737" spans="4:4" x14ac:dyDescent="0.25">
      <c r="D4737"/>
    </row>
    <row r="4738" spans="4:4" x14ac:dyDescent="0.25">
      <c r="D4738"/>
    </row>
    <row r="4739" spans="4:4" x14ac:dyDescent="0.25">
      <c r="D4739"/>
    </row>
    <row r="4740" spans="4:4" x14ac:dyDescent="0.25">
      <c r="D4740"/>
    </row>
    <row r="4741" spans="4:4" x14ac:dyDescent="0.25">
      <c r="D4741"/>
    </row>
    <row r="4742" spans="4:4" x14ac:dyDescent="0.25">
      <c r="D4742"/>
    </row>
    <row r="4743" spans="4:4" x14ac:dyDescent="0.25">
      <c r="D4743"/>
    </row>
    <row r="4744" spans="4:4" x14ac:dyDescent="0.25">
      <c r="D4744"/>
    </row>
    <row r="4745" spans="4:4" x14ac:dyDescent="0.25">
      <c r="D4745"/>
    </row>
    <row r="4746" spans="4:4" x14ac:dyDescent="0.25">
      <c r="D4746"/>
    </row>
    <row r="4747" spans="4:4" x14ac:dyDescent="0.25">
      <c r="D4747"/>
    </row>
    <row r="4748" spans="4:4" x14ac:dyDescent="0.25">
      <c r="D4748"/>
    </row>
    <row r="4749" spans="4:4" x14ac:dyDescent="0.25">
      <c r="D4749"/>
    </row>
    <row r="4750" spans="4:4" x14ac:dyDescent="0.25">
      <c r="D4750"/>
    </row>
    <row r="4751" spans="4:4" x14ac:dyDescent="0.25">
      <c r="D4751"/>
    </row>
    <row r="4752" spans="4:4" x14ac:dyDescent="0.25">
      <c r="D4752"/>
    </row>
    <row r="4753" spans="4:4" x14ac:dyDescent="0.25">
      <c r="D4753"/>
    </row>
    <row r="4754" spans="4:4" x14ac:dyDescent="0.25">
      <c r="D4754"/>
    </row>
    <row r="4755" spans="4:4" x14ac:dyDescent="0.25">
      <c r="D4755"/>
    </row>
    <row r="4756" spans="4:4" x14ac:dyDescent="0.25">
      <c r="D4756"/>
    </row>
    <row r="4757" spans="4:4" x14ac:dyDescent="0.25">
      <c r="D4757"/>
    </row>
    <row r="4758" spans="4:4" x14ac:dyDescent="0.25">
      <c r="D4758"/>
    </row>
    <row r="4759" spans="4:4" x14ac:dyDescent="0.25">
      <c r="D4759"/>
    </row>
    <row r="4760" spans="4:4" x14ac:dyDescent="0.25">
      <c r="D4760"/>
    </row>
    <row r="4761" spans="4:4" x14ac:dyDescent="0.25">
      <c r="D4761"/>
    </row>
    <row r="4762" spans="4:4" x14ac:dyDescent="0.25">
      <c r="D4762"/>
    </row>
    <row r="4763" spans="4:4" x14ac:dyDescent="0.25">
      <c r="D4763"/>
    </row>
    <row r="4764" spans="4:4" x14ac:dyDescent="0.25">
      <c r="D4764"/>
    </row>
    <row r="4765" spans="4:4" x14ac:dyDescent="0.25">
      <c r="D4765"/>
    </row>
    <row r="4766" spans="4:4" x14ac:dyDescent="0.25">
      <c r="D4766"/>
    </row>
    <row r="4767" spans="4:4" x14ac:dyDescent="0.25">
      <c r="D4767"/>
    </row>
    <row r="4768" spans="4:4" x14ac:dyDescent="0.25">
      <c r="D4768"/>
    </row>
    <row r="4769" spans="4:4" x14ac:dyDescent="0.25">
      <c r="D4769"/>
    </row>
    <row r="4770" spans="4:4" x14ac:dyDescent="0.25">
      <c r="D4770"/>
    </row>
    <row r="4771" spans="4:4" x14ac:dyDescent="0.25">
      <c r="D4771"/>
    </row>
    <row r="4772" spans="4:4" x14ac:dyDescent="0.25">
      <c r="D4772"/>
    </row>
    <row r="4773" spans="4:4" x14ac:dyDescent="0.25">
      <c r="D4773"/>
    </row>
    <row r="4774" spans="4:4" x14ac:dyDescent="0.25">
      <c r="D4774"/>
    </row>
    <row r="4775" spans="4:4" x14ac:dyDescent="0.25">
      <c r="D4775"/>
    </row>
    <row r="4776" spans="4:4" x14ac:dyDescent="0.25">
      <c r="D4776"/>
    </row>
    <row r="4777" spans="4:4" x14ac:dyDescent="0.25">
      <c r="D4777"/>
    </row>
    <row r="4778" spans="4:4" x14ac:dyDescent="0.25">
      <c r="D4778"/>
    </row>
    <row r="4779" spans="4:4" x14ac:dyDescent="0.25">
      <c r="D4779"/>
    </row>
    <row r="4780" spans="4:4" x14ac:dyDescent="0.25">
      <c r="D4780"/>
    </row>
    <row r="4781" spans="4:4" x14ac:dyDescent="0.25">
      <c r="D4781"/>
    </row>
    <row r="4782" spans="4:4" x14ac:dyDescent="0.25">
      <c r="D4782"/>
    </row>
    <row r="4783" spans="4:4" x14ac:dyDescent="0.25">
      <c r="D4783"/>
    </row>
    <row r="4784" spans="4:4" x14ac:dyDescent="0.25">
      <c r="D4784"/>
    </row>
    <row r="4785" spans="4:4" x14ac:dyDescent="0.25">
      <c r="D4785"/>
    </row>
    <row r="4786" spans="4:4" x14ac:dyDescent="0.25">
      <c r="D4786"/>
    </row>
    <row r="4787" spans="4:4" x14ac:dyDescent="0.25">
      <c r="D4787"/>
    </row>
    <row r="4788" spans="4:4" x14ac:dyDescent="0.25">
      <c r="D4788"/>
    </row>
    <row r="4789" spans="4:4" x14ac:dyDescent="0.25">
      <c r="D4789"/>
    </row>
    <row r="4790" spans="4:4" x14ac:dyDescent="0.25">
      <c r="D4790"/>
    </row>
    <row r="4791" spans="4:4" x14ac:dyDescent="0.25">
      <c r="D4791"/>
    </row>
    <row r="4792" spans="4:4" x14ac:dyDescent="0.25">
      <c r="D4792"/>
    </row>
    <row r="4793" spans="4:4" x14ac:dyDescent="0.25">
      <c r="D4793"/>
    </row>
    <row r="4794" spans="4:4" x14ac:dyDescent="0.25">
      <c r="D4794"/>
    </row>
    <row r="4795" spans="4:4" x14ac:dyDescent="0.25">
      <c r="D4795"/>
    </row>
    <row r="4796" spans="4:4" x14ac:dyDescent="0.25">
      <c r="D4796"/>
    </row>
    <row r="4797" spans="4:4" x14ac:dyDescent="0.25">
      <c r="D4797"/>
    </row>
    <row r="4798" spans="4:4" x14ac:dyDescent="0.25">
      <c r="D4798"/>
    </row>
    <row r="4799" spans="4:4" x14ac:dyDescent="0.25">
      <c r="D4799"/>
    </row>
    <row r="4800" spans="4:4" x14ac:dyDescent="0.25">
      <c r="D4800"/>
    </row>
    <row r="4801" spans="4:4" x14ac:dyDescent="0.25">
      <c r="D4801"/>
    </row>
    <row r="4802" spans="4:4" x14ac:dyDescent="0.25">
      <c r="D4802"/>
    </row>
    <row r="4803" spans="4:4" x14ac:dyDescent="0.25">
      <c r="D4803"/>
    </row>
    <row r="4804" spans="4:4" x14ac:dyDescent="0.25">
      <c r="D4804"/>
    </row>
    <row r="4805" spans="4:4" x14ac:dyDescent="0.25">
      <c r="D4805"/>
    </row>
    <row r="4806" spans="4:4" x14ac:dyDescent="0.25">
      <c r="D4806"/>
    </row>
    <row r="4807" spans="4:4" x14ac:dyDescent="0.25">
      <c r="D4807"/>
    </row>
    <row r="4808" spans="4:4" x14ac:dyDescent="0.25">
      <c r="D4808"/>
    </row>
    <row r="4809" spans="4:4" x14ac:dyDescent="0.25">
      <c r="D4809"/>
    </row>
    <row r="4810" spans="4:4" x14ac:dyDescent="0.25">
      <c r="D4810"/>
    </row>
    <row r="4811" spans="4:4" x14ac:dyDescent="0.25">
      <c r="D4811"/>
    </row>
    <row r="4812" spans="4:4" x14ac:dyDescent="0.25">
      <c r="D4812"/>
    </row>
    <row r="4813" spans="4:4" x14ac:dyDescent="0.25">
      <c r="D4813"/>
    </row>
    <row r="4814" spans="4:4" x14ac:dyDescent="0.25">
      <c r="D4814"/>
    </row>
    <row r="4815" spans="4:4" x14ac:dyDescent="0.25">
      <c r="D4815"/>
    </row>
    <row r="4816" spans="4:4" x14ac:dyDescent="0.25">
      <c r="D4816"/>
    </row>
    <row r="4817" spans="4:4" x14ac:dyDescent="0.25">
      <c r="D4817"/>
    </row>
    <row r="4818" spans="4:4" x14ac:dyDescent="0.25">
      <c r="D4818"/>
    </row>
    <row r="4819" spans="4:4" x14ac:dyDescent="0.25">
      <c r="D4819"/>
    </row>
    <row r="4820" spans="4:4" x14ac:dyDescent="0.25">
      <c r="D4820"/>
    </row>
    <row r="4821" spans="4:4" x14ac:dyDescent="0.25">
      <c r="D4821"/>
    </row>
    <row r="4822" spans="4:4" x14ac:dyDescent="0.25">
      <c r="D4822"/>
    </row>
    <row r="4823" spans="4:4" x14ac:dyDescent="0.25">
      <c r="D4823"/>
    </row>
    <row r="4824" spans="4:4" x14ac:dyDescent="0.25">
      <c r="D4824"/>
    </row>
    <row r="4825" spans="4:4" x14ac:dyDescent="0.25">
      <c r="D4825"/>
    </row>
    <row r="4826" spans="4:4" x14ac:dyDescent="0.25">
      <c r="D4826"/>
    </row>
    <row r="4827" spans="4:4" x14ac:dyDescent="0.25">
      <c r="D4827"/>
    </row>
    <row r="4828" spans="4:4" x14ac:dyDescent="0.25">
      <c r="D4828"/>
    </row>
    <row r="4829" spans="4:4" x14ac:dyDescent="0.25">
      <c r="D4829"/>
    </row>
    <row r="4830" spans="4:4" x14ac:dyDescent="0.25">
      <c r="D4830"/>
    </row>
    <row r="4831" spans="4:4" x14ac:dyDescent="0.25">
      <c r="D4831"/>
    </row>
    <row r="4832" spans="4:4" x14ac:dyDescent="0.25">
      <c r="D4832"/>
    </row>
    <row r="4833" spans="4:4" x14ac:dyDescent="0.25">
      <c r="D4833"/>
    </row>
    <row r="4834" spans="4:4" x14ac:dyDescent="0.25">
      <c r="D4834"/>
    </row>
    <row r="4835" spans="4:4" x14ac:dyDescent="0.25">
      <c r="D4835"/>
    </row>
    <row r="4836" spans="4:4" x14ac:dyDescent="0.25">
      <c r="D4836"/>
    </row>
    <row r="4837" spans="4:4" x14ac:dyDescent="0.25">
      <c r="D4837"/>
    </row>
    <row r="4838" spans="4:4" x14ac:dyDescent="0.25">
      <c r="D4838"/>
    </row>
    <row r="4839" spans="4:4" x14ac:dyDescent="0.25">
      <c r="D4839"/>
    </row>
    <row r="4840" spans="4:4" x14ac:dyDescent="0.25">
      <c r="D4840"/>
    </row>
    <row r="4841" spans="4:4" x14ac:dyDescent="0.25">
      <c r="D4841"/>
    </row>
    <row r="4842" spans="4:4" x14ac:dyDescent="0.25">
      <c r="D4842"/>
    </row>
    <row r="4843" spans="4:4" x14ac:dyDescent="0.25">
      <c r="D4843"/>
    </row>
    <row r="4844" spans="4:4" x14ac:dyDescent="0.25">
      <c r="D4844"/>
    </row>
    <row r="4845" spans="4:4" x14ac:dyDescent="0.25">
      <c r="D4845"/>
    </row>
    <row r="4846" spans="4:4" x14ac:dyDescent="0.25">
      <c r="D4846"/>
    </row>
    <row r="4847" spans="4:4" x14ac:dyDescent="0.25">
      <c r="D4847"/>
    </row>
    <row r="4848" spans="4:4" x14ac:dyDescent="0.25">
      <c r="D4848"/>
    </row>
    <row r="4849" spans="4:4" x14ac:dyDescent="0.25">
      <c r="D4849"/>
    </row>
    <row r="4850" spans="4:4" x14ac:dyDescent="0.25">
      <c r="D4850"/>
    </row>
    <row r="4851" spans="4:4" x14ac:dyDescent="0.25">
      <c r="D4851"/>
    </row>
    <row r="4852" spans="4:4" x14ac:dyDescent="0.25">
      <c r="D4852"/>
    </row>
    <row r="4853" spans="4:4" x14ac:dyDescent="0.25">
      <c r="D4853"/>
    </row>
    <row r="4854" spans="4:4" x14ac:dyDescent="0.25">
      <c r="D4854"/>
    </row>
    <row r="4855" spans="4:4" x14ac:dyDescent="0.25">
      <c r="D4855"/>
    </row>
    <row r="4856" spans="4:4" x14ac:dyDescent="0.25">
      <c r="D4856"/>
    </row>
    <row r="4857" spans="4:4" x14ac:dyDescent="0.25">
      <c r="D4857"/>
    </row>
    <row r="4858" spans="4:4" x14ac:dyDescent="0.25">
      <c r="D4858"/>
    </row>
    <row r="4859" spans="4:4" x14ac:dyDescent="0.25">
      <c r="D4859"/>
    </row>
    <row r="4860" spans="4:4" x14ac:dyDescent="0.25">
      <c r="D4860"/>
    </row>
    <row r="4861" spans="4:4" x14ac:dyDescent="0.25">
      <c r="D4861"/>
    </row>
    <row r="4862" spans="4:4" x14ac:dyDescent="0.25">
      <c r="D4862"/>
    </row>
    <row r="4863" spans="4:4" x14ac:dyDescent="0.25">
      <c r="D4863"/>
    </row>
    <row r="4864" spans="4:4" x14ac:dyDescent="0.25">
      <c r="D4864"/>
    </row>
    <row r="4865" spans="4:4" x14ac:dyDescent="0.25">
      <c r="D4865"/>
    </row>
    <row r="4866" spans="4:4" x14ac:dyDescent="0.25">
      <c r="D4866"/>
    </row>
    <row r="4867" spans="4:4" x14ac:dyDescent="0.25">
      <c r="D4867"/>
    </row>
    <row r="4868" spans="4:4" x14ac:dyDescent="0.25">
      <c r="D4868"/>
    </row>
    <row r="4869" spans="4:4" x14ac:dyDescent="0.25">
      <c r="D4869"/>
    </row>
    <row r="4870" spans="4:4" x14ac:dyDescent="0.25">
      <c r="D4870"/>
    </row>
    <row r="4871" spans="4:4" x14ac:dyDescent="0.25">
      <c r="D4871"/>
    </row>
    <row r="4872" spans="4:4" x14ac:dyDescent="0.25">
      <c r="D4872"/>
    </row>
    <row r="4873" spans="4:4" x14ac:dyDescent="0.25">
      <c r="D4873"/>
    </row>
    <row r="4874" spans="4:4" x14ac:dyDescent="0.25">
      <c r="D4874"/>
    </row>
    <row r="4875" spans="4:4" x14ac:dyDescent="0.25">
      <c r="D4875"/>
    </row>
    <row r="4876" spans="4:4" x14ac:dyDescent="0.25">
      <c r="D4876"/>
    </row>
    <row r="4877" spans="4:4" x14ac:dyDescent="0.25">
      <c r="D4877"/>
    </row>
    <row r="4878" spans="4:4" x14ac:dyDescent="0.25">
      <c r="D4878"/>
    </row>
    <row r="4879" spans="4:4" x14ac:dyDescent="0.25">
      <c r="D4879"/>
    </row>
    <row r="4880" spans="4:4" x14ac:dyDescent="0.25">
      <c r="D4880"/>
    </row>
    <row r="4881" spans="4:4" x14ac:dyDescent="0.25">
      <c r="D4881"/>
    </row>
    <row r="4882" spans="4:4" x14ac:dyDescent="0.25">
      <c r="D4882"/>
    </row>
    <row r="4883" spans="4:4" x14ac:dyDescent="0.25">
      <c r="D4883"/>
    </row>
    <row r="4884" spans="4:4" x14ac:dyDescent="0.25">
      <c r="D4884"/>
    </row>
    <row r="4885" spans="4:4" x14ac:dyDescent="0.25">
      <c r="D4885"/>
    </row>
    <row r="4886" spans="4:4" x14ac:dyDescent="0.25">
      <c r="D4886"/>
    </row>
    <row r="4887" spans="4:4" x14ac:dyDescent="0.25">
      <c r="D4887"/>
    </row>
    <row r="4888" spans="4:4" x14ac:dyDescent="0.25">
      <c r="D4888"/>
    </row>
    <row r="4889" spans="4:4" x14ac:dyDescent="0.25">
      <c r="D4889"/>
    </row>
    <row r="4890" spans="4:4" x14ac:dyDescent="0.25">
      <c r="D4890"/>
    </row>
    <row r="4891" spans="4:4" x14ac:dyDescent="0.25">
      <c r="D4891"/>
    </row>
    <row r="4892" spans="4:4" x14ac:dyDescent="0.25">
      <c r="D4892"/>
    </row>
    <row r="4893" spans="4:4" x14ac:dyDescent="0.25">
      <c r="D4893"/>
    </row>
    <row r="4894" spans="4:4" x14ac:dyDescent="0.25">
      <c r="D4894"/>
    </row>
    <row r="4895" spans="4:4" x14ac:dyDescent="0.25">
      <c r="D4895"/>
    </row>
    <row r="4896" spans="4:4" x14ac:dyDescent="0.25">
      <c r="D4896"/>
    </row>
    <row r="4897" spans="4:4" x14ac:dyDescent="0.25">
      <c r="D4897"/>
    </row>
    <row r="4898" spans="4:4" x14ac:dyDescent="0.25">
      <c r="D4898"/>
    </row>
    <row r="4899" spans="4:4" x14ac:dyDescent="0.25">
      <c r="D4899"/>
    </row>
    <row r="4900" spans="4:4" x14ac:dyDescent="0.25">
      <c r="D4900"/>
    </row>
    <row r="4901" spans="4:4" x14ac:dyDescent="0.25">
      <c r="D4901"/>
    </row>
    <row r="4902" spans="4:4" x14ac:dyDescent="0.25">
      <c r="D4902"/>
    </row>
    <row r="4903" spans="4:4" x14ac:dyDescent="0.25">
      <c r="D4903"/>
    </row>
    <row r="4904" spans="4:4" x14ac:dyDescent="0.25">
      <c r="D4904"/>
    </row>
    <row r="4905" spans="4:4" x14ac:dyDescent="0.25">
      <c r="D4905"/>
    </row>
    <row r="4906" spans="4:4" x14ac:dyDescent="0.25">
      <c r="D4906"/>
    </row>
    <row r="4907" spans="4:4" x14ac:dyDescent="0.25">
      <c r="D4907"/>
    </row>
    <row r="4908" spans="4:4" x14ac:dyDescent="0.25">
      <c r="D4908"/>
    </row>
    <row r="4909" spans="4:4" x14ac:dyDescent="0.25">
      <c r="D4909"/>
    </row>
    <row r="4910" spans="4:4" x14ac:dyDescent="0.25">
      <c r="D4910"/>
    </row>
    <row r="4911" spans="4:4" x14ac:dyDescent="0.25">
      <c r="D4911"/>
    </row>
    <row r="4912" spans="4:4" x14ac:dyDescent="0.25">
      <c r="D4912"/>
    </row>
    <row r="4913" spans="4:4" x14ac:dyDescent="0.25">
      <c r="D4913"/>
    </row>
    <row r="4914" spans="4:4" x14ac:dyDescent="0.25">
      <c r="D4914"/>
    </row>
    <row r="4915" spans="4:4" x14ac:dyDescent="0.25">
      <c r="D4915"/>
    </row>
    <row r="4916" spans="4:4" x14ac:dyDescent="0.25">
      <c r="D4916"/>
    </row>
    <row r="4917" spans="4:4" x14ac:dyDescent="0.25">
      <c r="D4917"/>
    </row>
    <row r="4918" spans="4:4" x14ac:dyDescent="0.25">
      <c r="D4918"/>
    </row>
    <row r="4919" spans="4:4" x14ac:dyDescent="0.25">
      <c r="D4919"/>
    </row>
    <row r="4920" spans="4:4" x14ac:dyDescent="0.25">
      <c r="D4920"/>
    </row>
    <row r="4921" spans="4:4" x14ac:dyDescent="0.25">
      <c r="D4921"/>
    </row>
    <row r="4922" spans="4:4" x14ac:dyDescent="0.25">
      <c r="D4922"/>
    </row>
    <row r="4923" spans="4:4" x14ac:dyDescent="0.25">
      <c r="D4923"/>
    </row>
    <row r="4924" spans="4:4" x14ac:dyDescent="0.25">
      <c r="D4924"/>
    </row>
    <row r="4925" spans="4:4" x14ac:dyDescent="0.25">
      <c r="D4925"/>
    </row>
    <row r="4926" spans="4:4" x14ac:dyDescent="0.25">
      <c r="D4926"/>
    </row>
    <row r="4927" spans="4:4" x14ac:dyDescent="0.25">
      <c r="D4927"/>
    </row>
    <row r="4928" spans="4:4" x14ac:dyDescent="0.25">
      <c r="D4928"/>
    </row>
    <row r="4929" spans="4:4" x14ac:dyDescent="0.25">
      <c r="D4929"/>
    </row>
    <row r="4930" spans="4:4" x14ac:dyDescent="0.25">
      <c r="D4930"/>
    </row>
    <row r="4931" spans="4:4" x14ac:dyDescent="0.25">
      <c r="D4931"/>
    </row>
    <row r="4932" spans="4:4" x14ac:dyDescent="0.25">
      <c r="D4932"/>
    </row>
    <row r="4933" spans="4:4" x14ac:dyDescent="0.25">
      <c r="D4933"/>
    </row>
    <row r="4934" spans="4:4" x14ac:dyDescent="0.25">
      <c r="D4934"/>
    </row>
    <row r="4935" spans="4:4" x14ac:dyDescent="0.25">
      <c r="D4935"/>
    </row>
    <row r="4936" spans="4:4" x14ac:dyDescent="0.25">
      <c r="D4936"/>
    </row>
    <row r="4937" spans="4:4" x14ac:dyDescent="0.25">
      <c r="D4937"/>
    </row>
    <row r="4938" spans="4:4" x14ac:dyDescent="0.25">
      <c r="D4938"/>
    </row>
    <row r="4939" spans="4:4" x14ac:dyDescent="0.25">
      <c r="D4939"/>
    </row>
    <row r="4940" spans="4:4" x14ac:dyDescent="0.25">
      <c r="D4940"/>
    </row>
    <row r="4941" spans="4:4" x14ac:dyDescent="0.25">
      <c r="D4941"/>
    </row>
    <row r="4942" spans="4:4" x14ac:dyDescent="0.25">
      <c r="D4942"/>
    </row>
    <row r="4943" spans="4:4" x14ac:dyDescent="0.25">
      <c r="D4943"/>
    </row>
    <row r="4944" spans="4:4" x14ac:dyDescent="0.25">
      <c r="D4944"/>
    </row>
    <row r="4945" spans="4:4" x14ac:dyDescent="0.25">
      <c r="D4945"/>
    </row>
    <row r="4946" spans="4:4" x14ac:dyDescent="0.25">
      <c r="D4946"/>
    </row>
    <row r="4947" spans="4:4" x14ac:dyDescent="0.25">
      <c r="D4947"/>
    </row>
    <row r="4948" spans="4:4" x14ac:dyDescent="0.25">
      <c r="D4948"/>
    </row>
    <row r="4949" spans="4:4" x14ac:dyDescent="0.25">
      <c r="D4949"/>
    </row>
    <row r="4950" spans="4:4" x14ac:dyDescent="0.25">
      <c r="D4950"/>
    </row>
    <row r="4951" spans="4:4" x14ac:dyDescent="0.25">
      <c r="D4951"/>
    </row>
    <row r="4952" spans="4:4" x14ac:dyDescent="0.25">
      <c r="D4952"/>
    </row>
    <row r="4953" spans="4:4" x14ac:dyDescent="0.25">
      <c r="D4953"/>
    </row>
    <row r="4954" spans="4:4" x14ac:dyDescent="0.25">
      <c r="D4954"/>
    </row>
    <row r="4955" spans="4:4" x14ac:dyDescent="0.25">
      <c r="D4955"/>
    </row>
    <row r="4956" spans="4:4" x14ac:dyDescent="0.25">
      <c r="D4956"/>
    </row>
    <row r="4957" spans="4:4" x14ac:dyDescent="0.25">
      <c r="D4957"/>
    </row>
    <row r="4958" spans="4:4" x14ac:dyDescent="0.25">
      <c r="D4958"/>
    </row>
    <row r="4959" spans="4:4" x14ac:dyDescent="0.25">
      <c r="D4959"/>
    </row>
    <row r="4960" spans="4:4" x14ac:dyDescent="0.25">
      <c r="D4960"/>
    </row>
    <row r="4961" spans="4:4" x14ac:dyDescent="0.25">
      <c r="D4961"/>
    </row>
    <row r="4962" spans="4:4" x14ac:dyDescent="0.25">
      <c r="D4962"/>
    </row>
    <row r="4963" spans="4:4" x14ac:dyDescent="0.25">
      <c r="D4963"/>
    </row>
    <row r="4964" spans="4:4" x14ac:dyDescent="0.25">
      <c r="D4964"/>
    </row>
    <row r="4965" spans="4:4" x14ac:dyDescent="0.25">
      <c r="D4965"/>
    </row>
    <row r="4966" spans="4:4" x14ac:dyDescent="0.25">
      <c r="D4966"/>
    </row>
    <row r="4967" spans="4:4" x14ac:dyDescent="0.25">
      <c r="D4967"/>
    </row>
    <row r="4968" spans="4:4" x14ac:dyDescent="0.25">
      <c r="D4968"/>
    </row>
    <row r="4969" spans="4:4" x14ac:dyDescent="0.25">
      <c r="D4969"/>
    </row>
    <row r="4970" spans="4:4" x14ac:dyDescent="0.25">
      <c r="D4970"/>
    </row>
    <row r="4971" spans="4:4" x14ac:dyDescent="0.25">
      <c r="D4971"/>
    </row>
    <row r="4972" spans="4:4" x14ac:dyDescent="0.25">
      <c r="D4972"/>
    </row>
    <row r="4973" spans="4:4" x14ac:dyDescent="0.25">
      <c r="D4973"/>
    </row>
    <row r="4974" spans="4:4" x14ac:dyDescent="0.25">
      <c r="D4974"/>
    </row>
    <row r="4975" spans="4:4" x14ac:dyDescent="0.25">
      <c r="D4975"/>
    </row>
    <row r="4976" spans="4:4" x14ac:dyDescent="0.25">
      <c r="D4976"/>
    </row>
    <row r="4977" spans="4:4" x14ac:dyDescent="0.25">
      <c r="D4977"/>
    </row>
    <row r="4978" spans="4:4" x14ac:dyDescent="0.25">
      <c r="D4978"/>
    </row>
    <row r="4979" spans="4:4" x14ac:dyDescent="0.25">
      <c r="D4979"/>
    </row>
    <row r="4980" spans="4:4" x14ac:dyDescent="0.25">
      <c r="D4980"/>
    </row>
    <row r="4981" spans="4:4" x14ac:dyDescent="0.25">
      <c r="D4981"/>
    </row>
    <row r="4982" spans="4:4" x14ac:dyDescent="0.25">
      <c r="D4982"/>
    </row>
    <row r="4983" spans="4:4" x14ac:dyDescent="0.25">
      <c r="D4983"/>
    </row>
    <row r="4984" spans="4:4" x14ac:dyDescent="0.25">
      <c r="D4984"/>
    </row>
    <row r="4985" spans="4:4" x14ac:dyDescent="0.25">
      <c r="D4985"/>
    </row>
    <row r="4986" spans="4:4" x14ac:dyDescent="0.25">
      <c r="D4986"/>
    </row>
    <row r="4987" spans="4:4" x14ac:dyDescent="0.25">
      <c r="D4987"/>
    </row>
    <row r="4988" spans="4:4" x14ac:dyDescent="0.25">
      <c r="D4988"/>
    </row>
    <row r="4989" spans="4:4" x14ac:dyDescent="0.25">
      <c r="D4989"/>
    </row>
    <row r="4990" spans="4:4" x14ac:dyDescent="0.25">
      <c r="D4990"/>
    </row>
    <row r="4991" spans="4:4" x14ac:dyDescent="0.25">
      <c r="D4991"/>
    </row>
    <row r="4992" spans="4:4" x14ac:dyDescent="0.25">
      <c r="D4992"/>
    </row>
    <row r="4993" spans="4:4" x14ac:dyDescent="0.25">
      <c r="D4993"/>
    </row>
    <row r="4994" spans="4:4" x14ac:dyDescent="0.25">
      <c r="D4994"/>
    </row>
    <row r="4995" spans="4:4" x14ac:dyDescent="0.25">
      <c r="D4995"/>
    </row>
    <row r="4996" spans="4:4" x14ac:dyDescent="0.25">
      <c r="D4996"/>
    </row>
    <row r="4997" spans="4:4" x14ac:dyDescent="0.25">
      <c r="D4997"/>
    </row>
    <row r="4998" spans="4:4" x14ac:dyDescent="0.25">
      <c r="D4998"/>
    </row>
    <row r="4999" spans="4:4" x14ac:dyDescent="0.25">
      <c r="D4999"/>
    </row>
    <row r="5000" spans="4:4" x14ac:dyDescent="0.25">
      <c r="D5000"/>
    </row>
    <row r="5001" spans="4:4" x14ac:dyDescent="0.25">
      <c r="D5001"/>
    </row>
    <row r="5002" spans="4:4" x14ac:dyDescent="0.25">
      <c r="D5002"/>
    </row>
    <row r="5003" spans="4:4" x14ac:dyDescent="0.25">
      <c r="D5003"/>
    </row>
    <row r="5004" spans="4:4" x14ac:dyDescent="0.25">
      <c r="D5004"/>
    </row>
    <row r="5005" spans="4:4" x14ac:dyDescent="0.25">
      <c r="D5005"/>
    </row>
    <row r="5006" spans="4:4" x14ac:dyDescent="0.25">
      <c r="D5006"/>
    </row>
    <row r="5007" spans="4:4" x14ac:dyDescent="0.25">
      <c r="D5007"/>
    </row>
    <row r="5008" spans="4:4" x14ac:dyDescent="0.25">
      <c r="D5008"/>
    </row>
    <row r="5009" spans="4:4" x14ac:dyDescent="0.25">
      <c r="D5009"/>
    </row>
    <row r="5010" spans="4:4" x14ac:dyDescent="0.25">
      <c r="D5010"/>
    </row>
    <row r="5011" spans="4:4" x14ac:dyDescent="0.25">
      <c r="D5011"/>
    </row>
    <row r="5012" spans="4:4" x14ac:dyDescent="0.25">
      <c r="D5012"/>
    </row>
    <row r="5013" spans="4:4" x14ac:dyDescent="0.25">
      <c r="D5013"/>
    </row>
    <row r="5014" spans="4:4" x14ac:dyDescent="0.25">
      <c r="D5014"/>
    </row>
    <row r="5015" spans="4:4" x14ac:dyDescent="0.25">
      <c r="D5015"/>
    </row>
    <row r="5016" spans="4:4" x14ac:dyDescent="0.25">
      <c r="D5016"/>
    </row>
    <row r="5017" spans="4:4" x14ac:dyDescent="0.25">
      <c r="D5017"/>
    </row>
    <row r="5018" spans="4:4" x14ac:dyDescent="0.25">
      <c r="D5018"/>
    </row>
    <row r="5019" spans="4:4" x14ac:dyDescent="0.25">
      <c r="D5019"/>
    </row>
    <row r="5020" spans="4:4" x14ac:dyDescent="0.25">
      <c r="D5020"/>
    </row>
    <row r="5021" spans="4:4" x14ac:dyDescent="0.25">
      <c r="D5021"/>
    </row>
    <row r="5022" spans="4:4" x14ac:dyDescent="0.25">
      <c r="D5022"/>
    </row>
    <row r="5023" spans="4:4" x14ac:dyDescent="0.25">
      <c r="D5023"/>
    </row>
    <row r="5024" spans="4:4" x14ac:dyDescent="0.25">
      <c r="D5024"/>
    </row>
    <row r="5025" spans="4:4" x14ac:dyDescent="0.25">
      <c r="D5025"/>
    </row>
    <row r="5026" spans="4:4" x14ac:dyDescent="0.25">
      <c r="D5026"/>
    </row>
    <row r="5027" spans="4:4" x14ac:dyDescent="0.25">
      <c r="D5027"/>
    </row>
    <row r="5028" spans="4:4" x14ac:dyDescent="0.25">
      <c r="D5028"/>
    </row>
    <row r="5029" spans="4:4" x14ac:dyDescent="0.25">
      <c r="D5029"/>
    </row>
    <row r="5030" spans="4:4" x14ac:dyDescent="0.25">
      <c r="D5030"/>
    </row>
    <row r="5031" spans="4:4" x14ac:dyDescent="0.25">
      <c r="D5031"/>
    </row>
    <row r="5032" spans="4:4" x14ac:dyDescent="0.25">
      <c r="D5032"/>
    </row>
    <row r="5033" spans="4:4" x14ac:dyDescent="0.25">
      <c r="D5033"/>
    </row>
    <row r="5034" spans="4:4" x14ac:dyDescent="0.25">
      <c r="D5034"/>
    </row>
    <row r="5035" spans="4:4" x14ac:dyDescent="0.25">
      <c r="D5035"/>
    </row>
    <row r="5036" spans="4:4" x14ac:dyDescent="0.25">
      <c r="D5036"/>
    </row>
    <row r="5037" spans="4:4" x14ac:dyDescent="0.25">
      <c r="D5037"/>
    </row>
    <row r="5038" spans="4:4" x14ac:dyDescent="0.25">
      <c r="D5038"/>
    </row>
    <row r="5039" spans="4:4" x14ac:dyDescent="0.25">
      <c r="D5039"/>
    </row>
    <row r="5040" spans="4:4" x14ac:dyDescent="0.25">
      <c r="D5040"/>
    </row>
    <row r="5041" spans="4:4" x14ac:dyDescent="0.25">
      <c r="D5041"/>
    </row>
    <row r="5042" spans="4:4" x14ac:dyDescent="0.25">
      <c r="D5042"/>
    </row>
    <row r="5043" spans="4:4" x14ac:dyDescent="0.25">
      <c r="D5043"/>
    </row>
    <row r="5044" spans="4:4" x14ac:dyDescent="0.25">
      <c r="D5044"/>
    </row>
    <row r="5045" spans="4:4" x14ac:dyDescent="0.25">
      <c r="D5045"/>
    </row>
    <row r="5046" spans="4:4" x14ac:dyDescent="0.25">
      <c r="D5046"/>
    </row>
    <row r="5047" spans="4:4" x14ac:dyDescent="0.25">
      <c r="D5047"/>
    </row>
    <row r="5048" spans="4:4" x14ac:dyDescent="0.25">
      <c r="D5048"/>
    </row>
    <row r="5049" spans="4:4" x14ac:dyDescent="0.25">
      <c r="D5049"/>
    </row>
    <row r="5050" spans="4:4" x14ac:dyDescent="0.25">
      <c r="D5050"/>
    </row>
    <row r="5051" spans="4:4" x14ac:dyDescent="0.25">
      <c r="D5051"/>
    </row>
    <row r="5052" spans="4:4" x14ac:dyDescent="0.25">
      <c r="D5052"/>
    </row>
    <row r="5053" spans="4:4" x14ac:dyDescent="0.25">
      <c r="D5053"/>
    </row>
    <row r="5054" spans="4:4" x14ac:dyDescent="0.25">
      <c r="D5054"/>
    </row>
    <row r="5055" spans="4:4" x14ac:dyDescent="0.25">
      <c r="D5055"/>
    </row>
    <row r="5056" spans="4:4" x14ac:dyDescent="0.25">
      <c r="D5056"/>
    </row>
    <row r="5057" spans="4:4" x14ac:dyDescent="0.25">
      <c r="D5057"/>
    </row>
    <row r="5058" spans="4:4" x14ac:dyDescent="0.25">
      <c r="D5058"/>
    </row>
    <row r="5059" spans="4:4" x14ac:dyDescent="0.25">
      <c r="D5059"/>
    </row>
    <row r="5060" spans="4:4" x14ac:dyDescent="0.25">
      <c r="D5060"/>
    </row>
    <row r="5061" spans="4:4" x14ac:dyDescent="0.25">
      <c r="D5061"/>
    </row>
    <row r="5062" spans="4:4" x14ac:dyDescent="0.25">
      <c r="D5062"/>
    </row>
    <row r="5063" spans="4:4" x14ac:dyDescent="0.25">
      <c r="D5063"/>
    </row>
    <row r="5064" spans="4:4" x14ac:dyDescent="0.25">
      <c r="D5064"/>
    </row>
    <row r="5065" spans="4:4" x14ac:dyDescent="0.25">
      <c r="D5065"/>
    </row>
    <row r="5066" spans="4:4" x14ac:dyDescent="0.25">
      <c r="D5066"/>
    </row>
    <row r="5067" spans="4:4" x14ac:dyDescent="0.25">
      <c r="D5067"/>
    </row>
    <row r="5068" spans="4:4" x14ac:dyDescent="0.25">
      <c r="D5068"/>
    </row>
    <row r="5069" spans="4:4" x14ac:dyDescent="0.25">
      <c r="D5069"/>
    </row>
    <row r="5070" spans="4:4" x14ac:dyDescent="0.25">
      <c r="D5070"/>
    </row>
    <row r="5071" spans="4:4" x14ac:dyDescent="0.25">
      <c r="D5071"/>
    </row>
    <row r="5072" spans="4:4" x14ac:dyDescent="0.25">
      <c r="D5072"/>
    </row>
    <row r="5073" spans="4:4" x14ac:dyDescent="0.25">
      <c r="D5073"/>
    </row>
    <row r="5074" spans="4:4" x14ac:dyDescent="0.25">
      <c r="D5074"/>
    </row>
    <row r="5075" spans="4:4" x14ac:dyDescent="0.25">
      <c r="D5075"/>
    </row>
    <row r="5076" spans="4:4" x14ac:dyDescent="0.25">
      <c r="D5076"/>
    </row>
    <row r="5077" spans="4:4" x14ac:dyDescent="0.25">
      <c r="D5077"/>
    </row>
    <row r="5078" spans="4:4" x14ac:dyDescent="0.25">
      <c r="D5078"/>
    </row>
    <row r="5079" spans="4:4" x14ac:dyDescent="0.25">
      <c r="D5079"/>
    </row>
    <row r="5080" spans="4:4" x14ac:dyDescent="0.25">
      <c r="D5080"/>
    </row>
    <row r="5081" spans="4:4" x14ac:dyDescent="0.25">
      <c r="D5081"/>
    </row>
    <row r="5082" spans="4:4" x14ac:dyDescent="0.25">
      <c r="D5082"/>
    </row>
    <row r="5083" spans="4:4" x14ac:dyDescent="0.25">
      <c r="D5083"/>
    </row>
    <row r="5084" spans="4:4" x14ac:dyDescent="0.25">
      <c r="D5084"/>
    </row>
    <row r="5085" spans="4:4" x14ac:dyDescent="0.25">
      <c r="D5085"/>
    </row>
    <row r="5086" spans="4:4" x14ac:dyDescent="0.25">
      <c r="D5086"/>
    </row>
    <row r="5087" spans="4:4" x14ac:dyDescent="0.25">
      <c r="D5087"/>
    </row>
    <row r="5088" spans="4:4" x14ac:dyDescent="0.25">
      <c r="D5088"/>
    </row>
    <row r="5089" spans="4:4" x14ac:dyDescent="0.25">
      <c r="D5089"/>
    </row>
    <row r="5090" spans="4:4" x14ac:dyDescent="0.25">
      <c r="D5090"/>
    </row>
    <row r="5091" spans="4:4" x14ac:dyDescent="0.25">
      <c r="D5091"/>
    </row>
    <row r="5092" spans="4:4" x14ac:dyDescent="0.25">
      <c r="D5092"/>
    </row>
    <row r="5093" spans="4:4" x14ac:dyDescent="0.25">
      <c r="D5093"/>
    </row>
    <row r="5094" spans="4:4" x14ac:dyDescent="0.25">
      <c r="D5094"/>
    </row>
    <row r="5095" spans="4:4" x14ac:dyDescent="0.25">
      <c r="D5095"/>
    </row>
    <row r="5096" spans="4:4" x14ac:dyDescent="0.25">
      <c r="D5096"/>
    </row>
    <row r="5097" spans="4:4" x14ac:dyDescent="0.25">
      <c r="D5097"/>
    </row>
    <row r="5098" spans="4:4" x14ac:dyDescent="0.25">
      <c r="D5098"/>
    </row>
    <row r="5099" spans="4:4" x14ac:dyDescent="0.25">
      <c r="D5099"/>
    </row>
    <row r="5100" spans="4:4" x14ac:dyDescent="0.25">
      <c r="D5100"/>
    </row>
    <row r="5101" spans="4:4" x14ac:dyDescent="0.25">
      <c r="D5101"/>
    </row>
    <row r="5102" spans="4:4" x14ac:dyDescent="0.25">
      <c r="D5102"/>
    </row>
    <row r="5103" spans="4:4" x14ac:dyDescent="0.25">
      <c r="D5103"/>
    </row>
    <row r="5104" spans="4:4" x14ac:dyDescent="0.25">
      <c r="D5104"/>
    </row>
    <row r="5105" spans="4:4" x14ac:dyDescent="0.25">
      <c r="D5105"/>
    </row>
    <row r="5106" spans="4:4" x14ac:dyDescent="0.25">
      <c r="D5106"/>
    </row>
    <row r="5107" spans="4:4" x14ac:dyDescent="0.25">
      <c r="D5107"/>
    </row>
    <row r="5108" spans="4:4" x14ac:dyDescent="0.25">
      <c r="D5108"/>
    </row>
    <row r="5109" spans="4:4" x14ac:dyDescent="0.25">
      <c r="D5109"/>
    </row>
    <row r="5110" spans="4:4" x14ac:dyDescent="0.25">
      <c r="D5110"/>
    </row>
    <row r="5111" spans="4:4" x14ac:dyDescent="0.25">
      <c r="D5111"/>
    </row>
    <row r="5112" spans="4:4" x14ac:dyDescent="0.25">
      <c r="D5112"/>
    </row>
    <row r="5113" spans="4:4" x14ac:dyDescent="0.25">
      <c r="D5113"/>
    </row>
    <row r="5114" spans="4:4" x14ac:dyDescent="0.25">
      <c r="D5114"/>
    </row>
    <row r="5115" spans="4:4" x14ac:dyDescent="0.25">
      <c r="D5115"/>
    </row>
    <row r="5116" spans="4:4" x14ac:dyDescent="0.25">
      <c r="D5116"/>
    </row>
    <row r="5117" spans="4:4" x14ac:dyDescent="0.25">
      <c r="D5117"/>
    </row>
    <row r="5118" spans="4:4" x14ac:dyDescent="0.25">
      <c r="D5118"/>
    </row>
    <row r="5119" spans="4:4" x14ac:dyDescent="0.25">
      <c r="D5119"/>
    </row>
    <row r="5120" spans="4:4" x14ac:dyDescent="0.25">
      <c r="D5120"/>
    </row>
    <row r="5121" spans="4:4" x14ac:dyDescent="0.25">
      <c r="D5121"/>
    </row>
    <row r="5122" spans="4:4" x14ac:dyDescent="0.25">
      <c r="D5122"/>
    </row>
    <row r="5123" spans="4:4" x14ac:dyDescent="0.25">
      <c r="D5123"/>
    </row>
    <row r="5124" spans="4:4" x14ac:dyDescent="0.25">
      <c r="D5124"/>
    </row>
    <row r="5125" spans="4:4" x14ac:dyDescent="0.25">
      <c r="D5125"/>
    </row>
    <row r="5126" spans="4:4" x14ac:dyDescent="0.25">
      <c r="D5126"/>
    </row>
    <row r="5127" spans="4:4" x14ac:dyDescent="0.25">
      <c r="D5127"/>
    </row>
    <row r="5128" spans="4:4" x14ac:dyDescent="0.25">
      <c r="D5128"/>
    </row>
    <row r="5129" spans="4:4" x14ac:dyDescent="0.25">
      <c r="D5129"/>
    </row>
    <row r="5130" spans="4:4" x14ac:dyDescent="0.25">
      <c r="D5130"/>
    </row>
    <row r="5131" spans="4:4" x14ac:dyDescent="0.25">
      <c r="D5131"/>
    </row>
    <row r="5132" spans="4:4" x14ac:dyDescent="0.25">
      <c r="D5132"/>
    </row>
    <row r="5133" spans="4:4" x14ac:dyDescent="0.25">
      <c r="D5133"/>
    </row>
    <row r="5134" spans="4:4" x14ac:dyDescent="0.25">
      <c r="D5134"/>
    </row>
    <row r="5135" spans="4:4" x14ac:dyDescent="0.25">
      <c r="D5135"/>
    </row>
    <row r="5136" spans="4:4" x14ac:dyDescent="0.25">
      <c r="D5136"/>
    </row>
    <row r="5137" spans="4:4" x14ac:dyDescent="0.25">
      <c r="D5137"/>
    </row>
    <row r="5138" spans="4:4" x14ac:dyDescent="0.25">
      <c r="D5138"/>
    </row>
    <row r="5139" spans="4:4" x14ac:dyDescent="0.25">
      <c r="D5139"/>
    </row>
    <row r="5140" spans="4:4" x14ac:dyDescent="0.25">
      <c r="D5140"/>
    </row>
    <row r="5141" spans="4:4" x14ac:dyDescent="0.25">
      <c r="D5141"/>
    </row>
    <row r="5142" spans="4:4" x14ac:dyDescent="0.25">
      <c r="D5142"/>
    </row>
    <row r="5143" spans="4:4" x14ac:dyDescent="0.25">
      <c r="D5143"/>
    </row>
    <row r="5144" spans="4:4" x14ac:dyDescent="0.25">
      <c r="D5144"/>
    </row>
    <row r="5145" spans="4:4" x14ac:dyDescent="0.25">
      <c r="D5145"/>
    </row>
    <row r="5146" spans="4:4" x14ac:dyDescent="0.25">
      <c r="D5146"/>
    </row>
    <row r="5147" spans="4:4" x14ac:dyDescent="0.25">
      <c r="D5147"/>
    </row>
    <row r="5148" spans="4:4" x14ac:dyDescent="0.25">
      <c r="D5148"/>
    </row>
    <row r="5149" spans="4:4" x14ac:dyDescent="0.25">
      <c r="D5149"/>
    </row>
    <row r="5150" spans="4:4" x14ac:dyDescent="0.25">
      <c r="D5150"/>
    </row>
    <row r="5151" spans="4:4" x14ac:dyDescent="0.25">
      <c r="D5151"/>
    </row>
    <row r="5152" spans="4:4" x14ac:dyDescent="0.25">
      <c r="D5152"/>
    </row>
    <row r="5153" spans="4:4" x14ac:dyDescent="0.25">
      <c r="D5153"/>
    </row>
    <row r="5154" spans="4:4" x14ac:dyDescent="0.25">
      <c r="D5154"/>
    </row>
    <row r="5155" spans="4:4" x14ac:dyDescent="0.25">
      <c r="D5155"/>
    </row>
    <row r="5156" spans="4:4" x14ac:dyDescent="0.25">
      <c r="D5156"/>
    </row>
    <row r="5157" spans="4:4" x14ac:dyDescent="0.25">
      <c r="D5157"/>
    </row>
    <row r="5158" spans="4:4" x14ac:dyDescent="0.25">
      <c r="D5158"/>
    </row>
    <row r="5159" spans="4:4" x14ac:dyDescent="0.25">
      <c r="D5159"/>
    </row>
    <row r="5160" spans="4:4" x14ac:dyDescent="0.25">
      <c r="D5160"/>
    </row>
    <row r="5161" spans="4:4" x14ac:dyDescent="0.25">
      <c r="D5161"/>
    </row>
    <row r="5162" spans="4:4" x14ac:dyDescent="0.25">
      <c r="D5162"/>
    </row>
    <row r="5163" spans="4:4" x14ac:dyDescent="0.25">
      <c r="D5163"/>
    </row>
    <row r="5164" spans="4:4" x14ac:dyDescent="0.25">
      <c r="D5164"/>
    </row>
    <row r="5165" spans="4:4" x14ac:dyDescent="0.25">
      <c r="D5165"/>
    </row>
    <row r="5166" spans="4:4" x14ac:dyDescent="0.25">
      <c r="D5166"/>
    </row>
    <row r="5167" spans="4:4" x14ac:dyDescent="0.25">
      <c r="D5167"/>
    </row>
    <row r="5168" spans="4:4" x14ac:dyDescent="0.25">
      <c r="D5168"/>
    </row>
    <row r="5169" spans="4:4" x14ac:dyDescent="0.25">
      <c r="D5169"/>
    </row>
    <row r="5170" spans="4:4" x14ac:dyDescent="0.25">
      <c r="D5170"/>
    </row>
    <row r="5171" spans="4:4" x14ac:dyDescent="0.25">
      <c r="D5171"/>
    </row>
    <row r="5172" spans="4:4" x14ac:dyDescent="0.25">
      <c r="D5172"/>
    </row>
    <row r="5173" spans="4:4" x14ac:dyDescent="0.25">
      <c r="D5173"/>
    </row>
    <row r="5174" spans="4:4" x14ac:dyDescent="0.25">
      <c r="D5174"/>
    </row>
    <row r="5175" spans="4:4" x14ac:dyDescent="0.25">
      <c r="D5175"/>
    </row>
    <row r="5176" spans="4:4" x14ac:dyDescent="0.25">
      <c r="D5176"/>
    </row>
    <row r="5177" spans="4:4" x14ac:dyDescent="0.25">
      <c r="D5177"/>
    </row>
    <row r="5178" spans="4:4" x14ac:dyDescent="0.25">
      <c r="D5178"/>
    </row>
    <row r="5179" spans="4:4" x14ac:dyDescent="0.25">
      <c r="D5179"/>
    </row>
    <row r="5180" spans="4:4" x14ac:dyDescent="0.25">
      <c r="D5180"/>
    </row>
    <row r="5181" spans="4:4" x14ac:dyDescent="0.25">
      <c r="D5181"/>
    </row>
    <row r="5182" spans="4:4" x14ac:dyDescent="0.25">
      <c r="D5182"/>
    </row>
    <row r="5183" spans="4:4" x14ac:dyDescent="0.25">
      <c r="D5183"/>
    </row>
    <row r="5184" spans="4:4" x14ac:dyDescent="0.25">
      <c r="D5184"/>
    </row>
    <row r="5185" spans="4:4" x14ac:dyDescent="0.25">
      <c r="D5185"/>
    </row>
    <row r="5186" spans="4:4" x14ac:dyDescent="0.25">
      <c r="D5186"/>
    </row>
    <row r="5187" spans="4:4" x14ac:dyDescent="0.25">
      <c r="D5187"/>
    </row>
    <row r="5188" spans="4:4" x14ac:dyDescent="0.25">
      <c r="D5188"/>
    </row>
    <row r="5189" spans="4:4" x14ac:dyDescent="0.25">
      <c r="D5189"/>
    </row>
    <row r="5190" spans="4:4" x14ac:dyDescent="0.25">
      <c r="D5190"/>
    </row>
    <row r="5191" spans="4:4" x14ac:dyDescent="0.25">
      <c r="D5191"/>
    </row>
    <row r="5192" spans="4:4" x14ac:dyDescent="0.25">
      <c r="D5192"/>
    </row>
    <row r="5193" spans="4:4" x14ac:dyDescent="0.25">
      <c r="D5193"/>
    </row>
    <row r="5194" spans="4:4" x14ac:dyDescent="0.25">
      <c r="D5194"/>
    </row>
    <row r="5195" spans="4:4" x14ac:dyDescent="0.25">
      <c r="D5195"/>
    </row>
    <row r="5196" spans="4:4" x14ac:dyDescent="0.25">
      <c r="D5196"/>
    </row>
    <row r="5197" spans="4:4" x14ac:dyDescent="0.25">
      <c r="D5197"/>
    </row>
    <row r="5198" spans="4:4" x14ac:dyDescent="0.25">
      <c r="D5198"/>
    </row>
    <row r="5199" spans="4:4" x14ac:dyDescent="0.25">
      <c r="D5199"/>
    </row>
    <row r="5200" spans="4:4" x14ac:dyDescent="0.25">
      <c r="D5200"/>
    </row>
    <row r="5201" spans="4:4" x14ac:dyDescent="0.25">
      <c r="D5201"/>
    </row>
    <row r="5202" spans="4:4" x14ac:dyDescent="0.25">
      <c r="D5202"/>
    </row>
    <row r="5203" spans="4:4" x14ac:dyDescent="0.25">
      <c r="D5203"/>
    </row>
    <row r="5204" spans="4:4" x14ac:dyDescent="0.25">
      <c r="D5204"/>
    </row>
    <row r="5205" spans="4:4" x14ac:dyDescent="0.25">
      <c r="D5205"/>
    </row>
    <row r="5206" spans="4:4" x14ac:dyDescent="0.25">
      <c r="D5206"/>
    </row>
    <row r="5207" spans="4:4" x14ac:dyDescent="0.25">
      <c r="D5207"/>
    </row>
    <row r="5208" spans="4:4" x14ac:dyDescent="0.25">
      <c r="D5208"/>
    </row>
    <row r="5209" spans="4:4" x14ac:dyDescent="0.25">
      <c r="D5209"/>
    </row>
    <row r="5210" spans="4:4" x14ac:dyDescent="0.25">
      <c r="D5210"/>
    </row>
    <row r="5211" spans="4:4" x14ac:dyDescent="0.25">
      <c r="D5211"/>
    </row>
    <row r="5212" spans="4:4" x14ac:dyDescent="0.25">
      <c r="D5212"/>
    </row>
    <row r="5213" spans="4:4" x14ac:dyDescent="0.25">
      <c r="D5213"/>
    </row>
    <row r="5214" spans="4:4" x14ac:dyDescent="0.25">
      <c r="D5214"/>
    </row>
    <row r="5215" spans="4:4" x14ac:dyDescent="0.25">
      <c r="D5215"/>
    </row>
    <row r="5216" spans="4:4" x14ac:dyDescent="0.25">
      <c r="D5216"/>
    </row>
    <row r="5217" spans="4:4" x14ac:dyDescent="0.25">
      <c r="D5217"/>
    </row>
    <row r="5218" spans="4:4" x14ac:dyDescent="0.25">
      <c r="D5218"/>
    </row>
    <row r="5219" spans="4:4" x14ac:dyDescent="0.25">
      <c r="D5219"/>
    </row>
    <row r="5220" spans="4:4" x14ac:dyDescent="0.25">
      <c r="D5220"/>
    </row>
    <row r="5221" spans="4:4" x14ac:dyDescent="0.25">
      <c r="D5221"/>
    </row>
    <row r="5222" spans="4:4" x14ac:dyDescent="0.25">
      <c r="D5222"/>
    </row>
    <row r="5223" spans="4:4" x14ac:dyDescent="0.25">
      <c r="D5223"/>
    </row>
    <row r="5224" spans="4:4" x14ac:dyDescent="0.25">
      <c r="D5224"/>
    </row>
    <row r="5225" spans="4:4" x14ac:dyDescent="0.25">
      <c r="D5225"/>
    </row>
    <row r="5226" spans="4:4" x14ac:dyDescent="0.25">
      <c r="D5226"/>
    </row>
    <row r="5227" spans="4:4" x14ac:dyDescent="0.25">
      <c r="D5227"/>
    </row>
    <row r="5228" spans="4:4" x14ac:dyDescent="0.25">
      <c r="D5228"/>
    </row>
    <row r="5229" spans="4:4" x14ac:dyDescent="0.25">
      <c r="D5229"/>
    </row>
    <row r="5230" spans="4:4" x14ac:dyDescent="0.25">
      <c r="D5230"/>
    </row>
    <row r="5231" spans="4:4" x14ac:dyDescent="0.25">
      <c r="D5231"/>
    </row>
    <row r="5232" spans="4:4" x14ac:dyDescent="0.25">
      <c r="D5232"/>
    </row>
    <row r="5233" spans="4:4" x14ac:dyDescent="0.25">
      <c r="D5233"/>
    </row>
    <row r="5234" spans="4:4" x14ac:dyDescent="0.25">
      <c r="D5234"/>
    </row>
    <row r="5235" spans="4:4" x14ac:dyDescent="0.25">
      <c r="D5235"/>
    </row>
    <row r="5236" spans="4:4" x14ac:dyDescent="0.25">
      <c r="D5236"/>
    </row>
    <row r="5237" spans="4:4" x14ac:dyDescent="0.25">
      <c r="D5237"/>
    </row>
    <row r="5238" spans="4:4" x14ac:dyDescent="0.25">
      <c r="D5238"/>
    </row>
    <row r="5239" spans="4:4" x14ac:dyDescent="0.25">
      <c r="D5239"/>
    </row>
    <row r="5240" spans="4:4" x14ac:dyDescent="0.25">
      <c r="D5240"/>
    </row>
    <row r="5241" spans="4:4" x14ac:dyDescent="0.25">
      <c r="D5241"/>
    </row>
    <row r="5242" spans="4:4" x14ac:dyDescent="0.25">
      <c r="D5242"/>
    </row>
    <row r="5243" spans="4:4" x14ac:dyDescent="0.25">
      <c r="D5243"/>
    </row>
    <row r="5244" spans="4:4" x14ac:dyDescent="0.25">
      <c r="D5244"/>
    </row>
    <row r="5245" spans="4:4" x14ac:dyDescent="0.25">
      <c r="D5245"/>
    </row>
    <row r="5246" spans="4:4" x14ac:dyDescent="0.25">
      <c r="D5246"/>
    </row>
    <row r="5247" spans="4:4" x14ac:dyDescent="0.25">
      <c r="D5247"/>
    </row>
    <row r="5248" spans="4:4" x14ac:dyDescent="0.25">
      <c r="D5248"/>
    </row>
    <row r="5249" spans="4:4" x14ac:dyDescent="0.25">
      <c r="D5249"/>
    </row>
    <row r="5250" spans="4:4" x14ac:dyDescent="0.25">
      <c r="D5250"/>
    </row>
    <row r="5251" spans="4:4" x14ac:dyDescent="0.25">
      <c r="D5251"/>
    </row>
    <row r="5252" spans="4:4" x14ac:dyDescent="0.25">
      <c r="D5252"/>
    </row>
    <row r="5253" spans="4:4" x14ac:dyDescent="0.25">
      <c r="D5253"/>
    </row>
    <row r="5254" spans="4:4" x14ac:dyDescent="0.25">
      <c r="D5254"/>
    </row>
    <row r="5255" spans="4:4" x14ac:dyDescent="0.25">
      <c r="D5255"/>
    </row>
    <row r="5256" spans="4:4" x14ac:dyDescent="0.25">
      <c r="D5256"/>
    </row>
    <row r="5257" spans="4:4" x14ac:dyDescent="0.25">
      <c r="D5257"/>
    </row>
    <row r="5258" spans="4:4" x14ac:dyDescent="0.25">
      <c r="D5258"/>
    </row>
    <row r="5259" spans="4:4" x14ac:dyDescent="0.25">
      <c r="D5259"/>
    </row>
    <row r="5260" spans="4:4" x14ac:dyDescent="0.25">
      <c r="D5260"/>
    </row>
    <row r="5261" spans="4:4" x14ac:dyDescent="0.25">
      <c r="D5261"/>
    </row>
    <row r="5262" spans="4:4" x14ac:dyDescent="0.25">
      <c r="D5262"/>
    </row>
    <row r="5263" spans="4:4" x14ac:dyDescent="0.25">
      <c r="D5263"/>
    </row>
    <row r="5264" spans="4:4" x14ac:dyDescent="0.25">
      <c r="D5264"/>
    </row>
    <row r="5265" spans="4:4" x14ac:dyDescent="0.25">
      <c r="D5265"/>
    </row>
    <row r="5266" spans="4:4" x14ac:dyDescent="0.25">
      <c r="D5266"/>
    </row>
    <row r="5267" spans="4:4" x14ac:dyDescent="0.25">
      <c r="D5267"/>
    </row>
    <row r="5268" spans="4:4" x14ac:dyDescent="0.25">
      <c r="D5268"/>
    </row>
    <row r="5269" spans="4:4" x14ac:dyDescent="0.25">
      <c r="D5269"/>
    </row>
    <row r="5270" spans="4:4" x14ac:dyDescent="0.25">
      <c r="D5270"/>
    </row>
    <row r="5271" spans="4:4" x14ac:dyDescent="0.25">
      <c r="D5271"/>
    </row>
    <row r="5272" spans="4:4" x14ac:dyDescent="0.25">
      <c r="D5272"/>
    </row>
    <row r="5273" spans="4:4" x14ac:dyDescent="0.25">
      <c r="D5273"/>
    </row>
    <row r="5274" spans="4:4" x14ac:dyDescent="0.25">
      <c r="D5274"/>
    </row>
    <row r="5275" spans="4:4" x14ac:dyDescent="0.25">
      <c r="D5275"/>
    </row>
    <row r="5276" spans="4:4" x14ac:dyDescent="0.25">
      <c r="D5276"/>
    </row>
    <row r="5277" spans="4:4" x14ac:dyDescent="0.25">
      <c r="D5277"/>
    </row>
    <row r="5278" spans="4:4" x14ac:dyDescent="0.25">
      <c r="D5278"/>
    </row>
    <row r="5279" spans="4:4" x14ac:dyDescent="0.25">
      <c r="D5279"/>
    </row>
    <row r="5280" spans="4:4" x14ac:dyDescent="0.25">
      <c r="D5280"/>
    </row>
    <row r="5281" spans="4:4" x14ac:dyDescent="0.25">
      <c r="D5281"/>
    </row>
    <row r="5282" spans="4:4" x14ac:dyDescent="0.25">
      <c r="D5282"/>
    </row>
    <row r="5283" spans="4:4" x14ac:dyDescent="0.25">
      <c r="D5283"/>
    </row>
    <row r="5284" spans="4:4" x14ac:dyDescent="0.25">
      <c r="D5284"/>
    </row>
    <row r="5285" spans="4:4" x14ac:dyDescent="0.25">
      <c r="D5285"/>
    </row>
    <row r="5286" spans="4:4" x14ac:dyDescent="0.25">
      <c r="D5286"/>
    </row>
    <row r="5287" spans="4:4" x14ac:dyDescent="0.25">
      <c r="D5287"/>
    </row>
    <row r="5288" spans="4:4" x14ac:dyDescent="0.25">
      <c r="D5288"/>
    </row>
    <row r="5289" spans="4:4" x14ac:dyDescent="0.25">
      <c r="D5289"/>
    </row>
    <row r="5290" spans="4:4" x14ac:dyDescent="0.25">
      <c r="D5290"/>
    </row>
    <row r="5291" spans="4:4" x14ac:dyDescent="0.25">
      <c r="D5291"/>
    </row>
    <row r="5292" spans="4:4" x14ac:dyDescent="0.25">
      <c r="D5292"/>
    </row>
    <row r="5293" spans="4:4" x14ac:dyDescent="0.25">
      <c r="D5293"/>
    </row>
    <row r="5294" spans="4:4" x14ac:dyDescent="0.25">
      <c r="D5294"/>
    </row>
    <row r="5295" spans="4:4" x14ac:dyDescent="0.25">
      <c r="D5295"/>
    </row>
    <row r="5296" spans="4:4" x14ac:dyDescent="0.25">
      <c r="D5296"/>
    </row>
    <row r="5297" spans="4:4" x14ac:dyDescent="0.25">
      <c r="D5297"/>
    </row>
    <row r="5298" spans="4:4" x14ac:dyDescent="0.25">
      <c r="D5298"/>
    </row>
    <row r="5299" spans="4:4" x14ac:dyDescent="0.25">
      <c r="D5299"/>
    </row>
    <row r="5300" spans="4:4" x14ac:dyDescent="0.25">
      <c r="D5300"/>
    </row>
    <row r="5301" spans="4:4" x14ac:dyDescent="0.25">
      <c r="D5301"/>
    </row>
    <row r="5302" spans="4:4" x14ac:dyDescent="0.25">
      <c r="D5302"/>
    </row>
    <row r="5303" spans="4:4" x14ac:dyDescent="0.25">
      <c r="D5303"/>
    </row>
    <row r="5304" spans="4:4" x14ac:dyDescent="0.25">
      <c r="D5304"/>
    </row>
    <row r="5305" spans="4:4" x14ac:dyDescent="0.25">
      <c r="D5305"/>
    </row>
    <row r="5306" spans="4:4" x14ac:dyDescent="0.25">
      <c r="D5306"/>
    </row>
    <row r="5307" spans="4:4" x14ac:dyDescent="0.25">
      <c r="D5307"/>
    </row>
    <row r="5308" spans="4:4" x14ac:dyDescent="0.25">
      <c r="D5308"/>
    </row>
    <row r="5309" spans="4:4" x14ac:dyDescent="0.25">
      <c r="D5309"/>
    </row>
    <row r="5310" spans="4:4" x14ac:dyDescent="0.25">
      <c r="D5310"/>
    </row>
    <row r="5311" spans="4:4" x14ac:dyDescent="0.25">
      <c r="D5311"/>
    </row>
    <row r="5312" spans="4:4" x14ac:dyDescent="0.25">
      <c r="D5312"/>
    </row>
    <row r="5313" spans="4:4" x14ac:dyDescent="0.25">
      <c r="D5313"/>
    </row>
    <row r="5314" spans="4:4" x14ac:dyDescent="0.25">
      <c r="D5314"/>
    </row>
    <row r="5315" spans="4:4" x14ac:dyDescent="0.25">
      <c r="D5315"/>
    </row>
    <row r="5316" spans="4:4" x14ac:dyDescent="0.25">
      <c r="D5316"/>
    </row>
    <row r="5317" spans="4:4" x14ac:dyDescent="0.25">
      <c r="D5317"/>
    </row>
    <row r="5318" spans="4:4" x14ac:dyDescent="0.25">
      <c r="D5318"/>
    </row>
    <row r="5319" spans="4:4" x14ac:dyDescent="0.25">
      <c r="D5319"/>
    </row>
    <row r="5320" spans="4:4" x14ac:dyDescent="0.25">
      <c r="D5320"/>
    </row>
    <row r="5321" spans="4:4" x14ac:dyDescent="0.25">
      <c r="D5321"/>
    </row>
    <row r="5322" spans="4:4" x14ac:dyDescent="0.25">
      <c r="D5322"/>
    </row>
    <row r="5323" spans="4:4" x14ac:dyDescent="0.25">
      <c r="D5323"/>
    </row>
    <row r="5324" spans="4:4" x14ac:dyDescent="0.25">
      <c r="D5324"/>
    </row>
    <row r="5325" spans="4:4" x14ac:dyDescent="0.25">
      <c r="D5325"/>
    </row>
    <row r="5326" spans="4:4" x14ac:dyDescent="0.25">
      <c r="D5326"/>
    </row>
    <row r="5327" spans="4:4" x14ac:dyDescent="0.25">
      <c r="D5327"/>
    </row>
    <row r="5328" spans="4:4" x14ac:dyDescent="0.25">
      <c r="D5328"/>
    </row>
    <row r="5329" spans="4:4" x14ac:dyDescent="0.25">
      <c r="D5329"/>
    </row>
    <row r="5330" spans="4:4" x14ac:dyDescent="0.25">
      <c r="D5330"/>
    </row>
    <row r="5331" spans="4:4" x14ac:dyDescent="0.25">
      <c r="D5331"/>
    </row>
    <row r="5332" spans="4:4" x14ac:dyDescent="0.25">
      <c r="D5332"/>
    </row>
    <row r="5333" spans="4:4" x14ac:dyDescent="0.25">
      <c r="D5333"/>
    </row>
    <row r="5334" spans="4:4" x14ac:dyDescent="0.25">
      <c r="D5334"/>
    </row>
    <row r="5335" spans="4:4" x14ac:dyDescent="0.25">
      <c r="D5335"/>
    </row>
    <row r="5336" spans="4:4" x14ac:dyDescent="0.25">
      <c r="D5336"/>
    </row>
    <row r="5337" spans="4:4" x14ac:dyDescent="0.25">
      <c r="D5337"/>
    </row>
    <row r="5338" spans="4:4" x14ac:dyDescent="0.25">
      <c r="D5338"/>
    </row>
    <row r="5339" spans="4:4" x14ac:dyDescent="0.25">
      <c r="D5339"/>
    </row>
    <row r="5340" spans="4:4" x14ac:dyDescent="0.25">
      <c r="D5340"/>
    </row>
    <row r="5341" spans="4:4" x14ac:dyDescent="0.25">
      <c r="D5341"/>
    </row>
    <row r="5342" spans="4:4" x14ac:dyDescent="0.25">
      <c r="D5342"/>
    </row>
    <row r="5343" spans="4:4" x14ac:dyDescent="0.25">
      <c r="D5343"/>
    </row>
    <row r="5344" spans="4:4" x14ac:dyDescent="0.25">
      <c r="D5344"/>
    </row>
    <row r="5345" spans="4:4" x14ac:dyDescent="0.25">
      <c r="D5345"/>
    </row>
    <row r="5346" spans="4:4" x14ac:dyDescent="0.25">
      <c r="D5346"/>
    </row>
    <row r="5347" spans="4:4" x14ac:dyDescent="0.25">
      <c r="D5347"/>
    </row>
    <row r="5348" spans="4:4" x14ac:dyDescent="0.25">
      <c r="D5348"/>
    </row>
    <row r="5349" spans="4:4" x14ac:dyDescent="0.25">
      <c r="D5349"/>
    </row>
    <row r="5350" spans="4:4" x14ac:dyDescent="0.25">
      <c r="D5350"/>
    </row>
    <row r="5351" spans="4:4" x14ac:dyDescent="0.25">
      <c r="D5351"/>
    </row>
    <row r="5352" spans="4:4" x14ac:dyDescent="0.25">
      <c r="D5352"/>
    </row>
    <row r="5353" spans="4:4" x14ac:dyDescent="0.25">
      <c r="D5353"/>
    </row>
    <row r="5354" spans="4:4" x14ac:dyDescent="0.25">
      <c r="D5354"/>
    </row>
    <row r="5355" spans="4:4" x14ac:dyDescent="0.25">
      <c r="D5355"/>
    </row>
    <row r="5356" spans="4:4" x14ac:dyDescent="0.25">
      <c r="D5356"/>
    </row>
    <row r="5357" spans="4:4" x14ac:dyDescent="0.25">
      <c r="D5357"/>
    </row>
    <row r="5358" spans="4:4" x14ac:dyDescent="0.25">
      <c r="D5358"/>
    </row>
    <row r="5359" spans="4:4" x14ac:dyDescent="0.25">
      <c r="D5359"/>
    </row>
    <row r="5360" spans="4:4" x14ac:dyDescent="0.25">
      <c r="D5360"/>
    </row>
    <row r="5361" spans="4:4" x14ac:dyDescent="0.25">
      <c r="D5361"/>
    </row>
    <row r="5362" spans="4:4" x14ac:dyDescent="0.25">
      <c r="D5362"/>
    </row>
    <row r="5363" spans="4:4" x14ac:dyDescent="0.25">
      <c r="D5363"/>
    </row>
    <row r="5364" spans="4:4" x14ac:dyDescent="0.25">
      <c r="D5364"/>
    </row>
    <row r="5365" spans="4:4" x14ac:dyDescent="0.25">
      <c r="D5365"/>
    </row>
    <row r="5366" spans="4:4" x14ac:dyDescent="0.25">
      <c r="D5366"/>
    </row>
    <row r="5367" spans="4:4" x14ac:dyDescent="0.25">
      <c r="D5367"/>
    </row>
    <row r="5368" spans="4:4" x14ac:dyDescent="0.25">
      <c r="D5368"/>
    </row>
    <row r="5369" spans="4:4" x14ac:dyDescent="0.25">
      <c r="D5369"/>
    </row>
    <row r="5370" spans="4:4" x14ac:dyDescent="0.25">
      <c r="D5370"/>
    </row>
    <row r="5371" spans="4:4" x14ac:dyDescent="0.25">
      <c r="D5371"/>
    </row>
    <row r="5372" spans="4:4" x14ac:dyDescent="0.25">
      <c r="D5372"/>
    </row>
    <row r="5373" spans="4:4" x14ac:dyDescent="0.25">
      <c r="D5373"/>
    </row>
    <row r="5374" spans="4:4" x14ac:dyDescent="0.25">
      <c r="D5374"/>
    </row>
    <row r="5375" spans="4:4" x14ac:dyDescent="0.25">
      <c r="D5375"/>
    </row>
    <row r="5376" spans="4:4" x14ac:dyDescent="0.25">
      <c r="D5376"/>
    </row>
    <row r="5377" spans="4:4" x14ac:dyDescent="0.25">
      <c r="D5377"/>
    </row>
    <row r="5378" spans="4:4" x14ac:dyDescent="0.25">
      <c r="D5378"/>
    </row>
    <row r="5379" spans="4:4" x14ac:dyDescent="0.25">
      <c r="D5379"/>
    </row>
    <row r="5380" spans="4:4" x14ac:dyDescent="0.25">
      <c r="D5380"/>
    </row>
    <row r="5381" spans="4:4" x14ac:dyDescent="0.25">
      <c r="D5381"/>
    </row>
    <row r="5382" spans="4:4" x14ac:dyDescent="0.25">
      <c r="D5382"/>
    </row>
    <row r="5383" spans="4:4" x14ac:dyDescent="0.25">
      <c r="D5383"/>
    </row>
    <row r="5384" spans="4:4" x14ac:dyDescent="0.25">
      <c r="D5384"/>
    </row>
    <row r="5385" spans="4:4" x14ac:dyDescent="0.25">
      <c r="D5385"/>
    </row>
    <row r="5386" spans="4:4" x14ac:dyDescent="0.25">
      <c r="D5386"/>
    </row>
    <row r="5387" spans="4:4" x14ac:dyDescent="0.25">
      <c r="D5387"/>
    </row>
    <row r="5388" spans="4:4" x14ac:dyDescent="0.25">
      <c r="D5388"/>
    </row>
    <row r="5389" spans="4:4" x14ac:dyDescent="0.25">
      <c r="D5389"/>
    </row>
    <row r="5390" spans="4:4" x14ac:dyDescent="0.25">
      <c r="D5390"/>
    </row>
    <row r="5391" spans="4:4" x14ac:dyDescent="0.25">
      <c r="D5391"/>
    </row>
    <row r="5392" spans="4:4" x14ac:dyDescent="0.25">
      <c r="D5392"/>
    </row>
    <row r="5393" spans="4:4" x14ac:dyDescent="0.25">
      <c r="D5393"/>
    </row>
    <row r="5394" spans="4:4" x14ac:dyDescent="0.25">
      <c r="D5394"/>
    </row>
    <row r="5395" spans="4:4" x14ac:dyDescent="0.25">
      <c r="D5395"/>
    </row>
    <row r="5396" spans="4:4" x14ac:dyDescent="0.25">
      <c r="D5396"/>
    </row>
    <row r="5397" spans="4:4" x14ac:dyDescent="0.25">
      <c r="D5397"/>
    </row>
    <row r="5398" spans="4:4" x14ac:dyDescent="0.25">
      <c r="D5398"/>
    </row>
    <row r="5399" spans="4:4" x14ac:dyDescent="0.25">
      <c r="D5399"/>
    </row>
    <row r="5400" spans="4:4" x14ac:dyDescent="0.25">
      <c r="D5400"/>
    </row>
    <row r="5401" spans="4:4" x14ac:dyDescent="0.25">
      <c r="D5401"/>
    </row>
    <row r="5402" spans="4:4" x14ac:dyDescent="0.25">
      <c r="D5402"/>
    </row>
    <row r="5403" spans="4:4" x14ac:dyDescent="0.25">
      <c r="D5403"/>
    </row>
    <row r="5404" spans="4:4" x14ac:dyDescent="0.25">
      <c r="D5404"/>
    </row>
    <row r="5405" spans="4:4" x14ac:dyDescent="0.25">
      <c r="D5405"/>
    </row>
    <row r="5406" spans="4:4" x14ac:dyDescent="0.25">
      <c r="D5406"/>
    </row>
    <row r="5407" spans="4:4" x14ac:dyDescent="0.25">
      <c r="D5407"/>
    </row>
    <row r="5408" spans="4:4" x14ac:dyDescent="0.25">
      <c r="D5408"/>
    </row>
    <row r="5409" spans="4:4" x14ac:dyDescent="0.25">
      <c r="D5409"/>
    </row>
    <row r="5410" spans="4:4" x14ac:dyDescent="0.25">
      <c r="D5410"/>
    </row>
    <row r="5411" spans="4:4" x14ac:dyDescent="0.25">
      <c r="D5411"/>
    </row>
    <row r="5412" spans="4:4" x14ac:dyDescent="0.25">
      <c r="D5412"/>
    </row>
    <row r="5413" spans="4:4" x14ac:dyDescent="0.25">
      <c r="D5413"/>
    </row>
    <row r="5414" spans="4:4" x14ac:dyDescent="0.25">
      <c r="D5414"/>
    </row>
    <row r="5415" spans="4:4" x14ac:dyDescent="0.25">
      <c r="D5415"/>
    </row>
    <row r="5416" spans="4:4" x14ac:dyDescent="0.25">
      <c r="D5416"/>
    </row>
    <row r="5417" spans="4:4" x14ac:dyDescent="0.25">
      <c r="D5417"/>
    </row>
    <row r="5418" spans="4:4" x14ac:dyDescent="0.25">
      <c r="D5418"/>
    </row>
    <row r="5419" spans="4:4" x14ac:dyDescent="0.25">
      <c r="D5419"/>
    </row>
    <row r="5420" spans="4:4" x14ac:dyDescent="0.25">
      <c r="D5420"/>
    </row>
    <row r="5421" spans="4:4" x14ac:dyDescent="0.25">
      <c r="D5421"/>
    </row>
    <row r="5422" spans="4:4" x14ac:dyDescent="0.25">
      <c r="D5422"/>
    </row>
    <row r="5423" spans="4:4" x14ac:dyDescent="0.25">
      <c r="D5423"/>
    </row>
    <row r="5424" spans="4:4" x14ac:dyDescent="0.25">
      <c r="D5424"/>
    </row>
    <row r="5425" spans="4:4" x14ac:dyDescent="0.25">
      <c r="D5425"/>
    </row>
    <row r="5426" spans="4:4" x14ac:dyDescent="0.25">
      <c r="D5426"/>
    </row>
    <row r="5427" spans="4:4" x14ac:dyDescent="0.25">
      <c r="D5427"/>
    </row>
    <row r="5428" spans="4:4" x14ac:dyDescent="0.25">
      <c r="D5428"/>
    </row>
    <row r="5429" spans="4:4" x14ac:dyDescent="0.25">
      <c r="D5429"/>
    </row>
    <row r="5430" spans="4:4" x14ac:dyDescent="0.25">
      <c r="D5430"/>
    </row>
    <row r="5431" spans="4:4" x14ac:dyDescent="0.25">
      <c r="D5431"/>
    </row>
    <row r="5432" spans="4:4" x14ac:dyDescent="0.25">
      <c r="D5432"/>
    </row>
    <row r="5433" spans="4:4" x14ac:dyDescent="0.25">
      <c r="D5433"/>
    </row>
    <row r="5434" spans="4:4" x14ac:dyDescent="0.25">
      <c r="D5434"/>
    </row>
    <row r="5435" spans="4:4" x14ac:dyDescent="0.25">
      <c r="D5435"/>
    </row>
    <row r="5436" spans="4:4" x14ac:dyDescent="0.25">
      <c r="D5436"/>
    </row>
    <row r="5437" spans="4:4" x14ac:dyDescent="0.25">
      <c r="D5437"/>
    </row>
    <row r="5438" spans="4:4" x14ac:dyDescent="0.25">
      <c r="D5438"/>
    </row>
    <row r="5439" spans="4:4" x14ac:dyDescent="0.25">
      <c r="D5439"/>
    </row>
    <row r="5440" spans="4:4" x14ac:dyDescent="0.25">
      <c r="D5440"/>
    </row>
    <row r="5441" spans="4:4" x14ac:dyDescent="0.25">
      <c r="D5441"/>
    </row>
    <row r="5442" spans="4:4" x14ac:dyDescent="0.25">
      <c r="D5442"/>
    </row>
    <row r="5443" spans="4:4" x14ac:dyDescent="0.25">
      <c r="D5443"/>
    </row>
    <row r="5444" spans="4:4" x14ac:dyDescent="0.25">
      <c r="D5444"/>
    </row>
    <row r="5445" spans="4:4" x14ac:dyDescent="0.25">
      <c r="D5445"/>
    </row>
    <row r="5446" spans="4:4" x14ac:dyDescent="0.25">
      <c r="D5446"/>
    </row>
    <row r="5447" spans="4:4" x14ac:dyDescent="0.25">
      <c r="D5447"/>
    </row>
    <row r="5448" spans="4:4" x14ac:dyDescent="0.25">
      <c r="D5448"/>
    </row>
    <row r="5449" spans="4:4" x14ac:dyDescent="0.25">
      <c r="D5449"/>
    </row>
    <row r="5450" spans="4:4" x14ac:dyDescent="0.25">
      <c r="D5450"/>
    </row>
    <row r="5451" spans="4:4" x14ac:dyDescent="0.25">
      <c r="D5451"/>
    </row>
    <row r="5452" spans="4:4" x14ac:dyDescent="0.25">
      <c r="D5452"/>
    </row>
    <row r="5453" spans="4:4" x14ac:dyDescent="0.25">
      <c r="D5453"/>
    </row>
    <row r="5454" spans="4:4" x14ac:dyDescent="0.25">
      <c r="D5454"/>
    </row>
    <row r="5455" spans="4:4" x14ac:dyDescent="0.25">
      <c r="D5455"/>
    </row>
    <row r="5456" spans="4:4" x14ac:dyDescent="0.25">
      <c r="D5456"/>
    </row>
    <row r="5457" spans="4:4" x14ac:dyDescent="0.25">
      <c r="D5457"/>
    </row>
    <row r="5458" spans="4:4" x14ac:dyDescent="0.25">
      <c r="D5458"/>
    </row>
    <row r="5459" spans="4:4" x14ac:dyDescent="0.25">
      <c r="D5459"/>
    </row>
    <row r="5460" spans="4:4" x14ac:dyDescent="0.25">
      <c r="D5460"/>
    </row>
    <row r="5461" spans="4:4" x14ac:dyDescent="0.25">
      <c r="D5461"/>
    </row>
    <row r="5462" spans="4:4" x14ac:dyDescent="0.25">
      <c r="D5462"/>
    </row>
    <row r="5463" spans="4:4" x14ac:dyDescent="0.25">
      <c r="D5463"/>
    </row>
    <row r="5464" spans="4:4" x14ac:dyDescent="0.25">
      <c r="D5464"/>
    </row>
    <row r="5465" spans="4:4" x14ac:dyDescent="0.25">
      <c r="D5465"/>
    </row>
    <row r="5466" spans="4:4" x14ac:dyDescent="0.25">
      <c r="D5466"/>
    </row>
    <row r="5467" spans="4:4" x14ac:dyDescent="0.25">
      <c r="D5467"/>
    </row>
    <row r="5468" spans="4:4" x14ac:dyDescent="0.25">
      <c r="D5468"/>
    </row>
    <row r="5469" spans="4:4" x14ac:dyDescent="0.25">
      <c r="D5469"/>
    </row>
    <row r="5470" spans="4:4" x14ac:dyDescent="0.25">
      <c r="D5470"/>
    </row>
    <row r="5471" spans="4:4" x14ac:dyDescent="0.25">
      <c r="D5471"/>
    </row>
    <row r="5472" spans="4:4" x14ac:dyDescent="0.25">
      <c r="D5472"/>
    </row>
    <row r="5473" spans="4:4" x14ac:dyDescent="0.25">
      <c r="D5473"/>
    </row>
    <row r="5474" spans="4:4" x14ac:dyDescent="0.25">
      <c r="D5474"/>
    </row>
    <row r="5475" spans="4:4" x14ac:dyDescent="0.25">
      <c r="D5475"/>
    </row>
    <row r="5476" spans="4:4" x14ac:dyDescent="0.25">
      <c r="D5476"/>
    </row>
    <row r="5477" spans="4:4" x14ac:dyDescent="0.25">
      <c r="D5477"/>
    </row>
    <row r="5478" spans="4:4" x14ac:dyDescent="0.25">
      <c r="D5478"/>
    </row>
    <row r="5479" spans="4:4" x14ac:dyDescent="0.25">
      <c r="D5479"/>
    </row>
    <row r="5480" spans="4:4" x14ac:dyDescent="0.25">
      <c r="D5480"/>
    </row>
    <row r="5481" spans="4:4" x14ac:dyDescent="0.25">
      <c r="D5481"/>
    </row>
    <row r="5482" spans="4:4" x14ac:dyDescent="0.25">
      <c r="D5482"/>
    </row>
    <row r="5483" spans="4:4" x14ac:dyDescent="0.25">
      <c r="D5483"/>
    </row>
    <row r="5484" spans="4:4" x14ac:dyDescent="0.25">
      <c r="D5484"/>
    </row>
    <row r="5485" spans="4:4" x14ac:dyDescent="0.25">
      <c r="D5485"/>
    </row>
    <row r="5486" spans="4:4" x14ac:dyDescent="0.25">
      <c r="D5486"/>
    </row>
    <row r="5487" spans="4:4" x14ac:dyDescent="0.25">
      <c r="D5487"/>
    </row>
    <row r="5488" spans="4:4" x14ac:dyDescent="0.25">
      <c r="D5488"/>
    </row>
    <row r="5489" spans="4:4" x14ac:dyDescent="0.25">
      <c r="D5489"/>
    </row>
    <row r="5490" spans="4:4" x14ac:dyDescent="0.25">
      <c r="D5490"/>
    </row>
    <row r="5491" spans="4:4" x14ac:dyDescent="0.25">
      <c r="D5491"/>
    </row>
    <row r="5492" spans="4:4" x14ac:dyDescent="0.25">
      <c r="D5492"/>
    </row>
    <row r="5493" spans="4:4" x14ac:dyDescent="0.25">
      <c r="D5493"/>
    </row>
    <row r="5494" spans="4:4" x14ac:dyDescent="0.25">
      <c r="D5494"/>
    </row>
    <row r="5495" spans="4:4" x14ac:dyDescent="0.25">
      <c r="D5495"/>
    </row>
    <row r="5496" spans="4:4" x14ac:dyDescent="0.25">
      <c r="D5496"/>
    </row>
    <row r="5497" spans="4:4" x14ac:dyDescent="0.25">
      <c r="D5497"/>
    </row>
    <row r="5498" spans="4:4" x14ac:dyDescent="0.25">
      <c r="D5498"/>
    </row>
    <row r="5499" spans="4:4" x14ac:dyDescent="0.25">
      <c r="D5499"/>
    </row>
    <row r="5500" spans="4:4" x14ac:dyDescent="0.25">
      <c r="D5500"/>
    </row>
    <row r="5501" spans="4:4" x14ac:dyDescent="0.25">
      <c r="D5501"/>
    </row>
    <row r="5502" spans="4:4" x14ac:dyDescent="0.25">
      <c r="D5502"/>
    </row>
    <row r="5503" spans="4:4" x14ac:dyDescent="0.25">
      <c r="D5503"/>
    </row>
    <row r="5504" spans="4:4" x14ac:dyDescent="0.25">
      <c r="D5504"/>
    </row>
    <row r="5505" spans="4:4" x14ac:dyDescent="0.25">
      <c r="D5505"/>
    </row>
    <row r="5506" spans="4:4" x14ac:dyDescent="0.25">
      <c r="D5506"/>
    </row>
    <row r="5507" spans="4:4" x14ac:dyDescent="0.25">
      <c r="D5507"/>
    </row>
    <row r="5508" spans="4:4" x14ac:dyDescent="0.25">
      <c r="D5508"/>
    </row>
    <row r="5509" spans="4:4" x14ac:dyDescent="0.25">
      <c r="D5509"/>
    </row>
    <row r="5510" spans="4:4" x14ac:dyDescent="0.25">
      <c r="D5510"/>
    </row>
    <row r="5511" spans="4:4" x14ac:dyDescent="0.25">
      <c r="D5511"/>
    </row>
    <row r="5512" spans="4:4" x14ac:dyDescent="0.25">
      <c r="D5512"/>
    </row>
    <row r="5513" spans="4:4" x14ac:dyDescent="0.25">
      <c r="D5513"/>
    </row>
    <row r="5514" spans="4:4" x14ac:dyDescent="0.25">
      <c r="D5514"/>
    </row>
    <row r="5515" spans="4:4" x14ac:dyDescent="0.25">
      <c r="D5515"/>
    </row>
    <row r="5516" spans="4:4" x14ac:dyDescent="0.25">
      <c r="D5516"/>
    </row>
    <row r="5517" spans="4:4" x14ac:dyDescent="0.25">
      <c r="D5517"/>
    </row>
    <row r="5518" spans="4:4" x14ac:dyDescent="0.25">
      <c r="D5518"/>
    </row>
    <row r="5519" spans="4:4" x14ac:dyDescent="0.25">
      <c r="D5519"/>
    </row>
    <row r="5520" spans="4:4" x14ac:dyDescent="0.25">
      <c r="D5520"/>
    </row>
    <row r="5521" spans="4:4" x14ac:dyDescent="0.25">
      <c r="D5521"/>
    </row>
    <row r="5522" spans="4:4" x14ac:dyDescent="0.25">
      <c r="D5522"/>
    </row>
    <row r="5523" spans="4:4" x14ac:dyDescent="0.25">
      <c r="D5523"/>
    </row>
    <row r="5524" spans="4:4" x14ac:dyDescent="0.25">
      <c r="D5524"/>
    </row>
    <row r="5525" spans="4:4" x14ac:dyDescent="0.25">
      <c r="D5525"/>
    </row>
    <row r="5526" spans="4:4" x14ac:dyDescent="0.25">
      <c r="D5526"/>
    </row>
    <row r="5527" spans="4:4" x14ac:dyDescent="0.25">
      <c r="D5527"/>
    </row>
    <row r="5528" spans="4:4" x14ac:dyDescent="0.25">
      <c r="D5528"/>
    </row>
    <row r="5529" spans="4:4" x14ac:dyDescent="0.25">
      <c r="D5529"/>
    </row>
    <row r="5530" spans="4:4" x14ac:dyDescent="0.25">
      <c r="D5530"/>
    </row>
    <row r="5531" spans="4:4" x14ac:dyDescent="0.25">
      <c r="D5531"/>
    </row>
    <row r="5532" spans="4:4" x14ac:dyDescent="0.25">
      <c r="D5532"/>
    </row>
    <row r="5533" spans="4:4" x14ac:dyDescent="0.25">
      <c r="D5533"/>
    </row>
    <row r="5534" spans="4:4" x14ac:dyDescent="0.25">
      <c r="D5534"/>
    </row>
    <row r="5535" spans="4:4" x14ac:dyDescent="0.25">
      <c r="D5535"/>
    </row>
    <row r="5536" spans="4:4" x14ac:dyDescent="0.25">
      <c r="D5536"/>
    </row>
    <row r="5537" spans="4:4" x14ac:dyDescent="0.25">
      <c r="D5537"/>
    </row>
    <row r="5538" spans="4:4" x14ac:dyDescent="0.25">
      <c r="D5538"/>
    </row>
    <row r="5539" spans="4:4" x14ac:dyDescent="0.25">
      <c r="D5539"/>
    </row>
    <row r="5540" spans="4:4" x14ac:dyDescent="0.25">
      <c r="D5540"/>
    </row>
    <row r="5541" spans="4:4" x14ac:dyDescent="0.25">
      <c r="D5541"/>
    </row>
    <row r="5542" spans="4:4" x14ac:dyDescent="0.25">
      <c r="D5542"/>
    </row>
    <row r="5543" spans="4:4" x14ac:dyDescent="0.25">
      <c r="D5543"/>
    </row>
    <row r="5544" spans="4:4" x14ac:dyDescent="0.25">
      <c r="D5544"/>
    </row>
    <row r="5545" spans="4:4" x14ac:dyDescent="0.25">
      <c r="D5545"/>
    </row>
    <row r="5546" spans="4:4" x14ac:dyDescent="0.25">
      <c r="D5546"/>
    </row>
    <row r="5547" spans="4:4" x14ac:dyDescent="0.25">
      <c r="D5547"/>
    </row>
    <row r="5548" spans="4:4" x14ac:dyDescent="0.25">
      <c r="D5548"/>
    </row>
    <row r="5549" spans="4:4" x14ac:dyDescent="0.25">
      <c r="D5549"/>
    </row>
    <row r="5550" spans="4:4" x14ac:dyDescent="0.25">
      <c r="D5550"/>
    </row>
    <row r="5551" spans="4:4" x14ac:dyDescent="0.25">
      <c r="D5551"/>
    </row>
    <row r="5552" spans="4:4" x14ac:dyDescent="0.25">
      <c r="D5552"/>
    </row>
    <row r="5553" spans="4:4" x14ac:dyDescent="0.25">
      <c r="D5553"/>
    </row>
    <row r="5554" spans="4:4" x14ac:dyDescent="0.25">
      <c r="D5554"/>
    </row>
    <row r="5555" spans="4:4" x14ac:dyDescent="0.25">
      <c r="D5555"/>
    </row>
    <row r="5556" spans="4:4" x14ac:dyDescent="0.25">
      <c r="D5556"/>
    </row>
    <row r="5557" spans="4:4" x14ac:dyDescent="0.25">
      <c r="D5557"/>
    </row>
    <row r="5558" spans="4:4" x14ac:dyDescent="0.25">
      <c r="D5558"/>
    </row>
    <row r="5559" spans="4:4" x14ac:dyDescent="0.25">
      <c r="D5559"/>
    </row>
    <row r="5560" spans="4:4" x14ac:dyDescent="0.25">
      <c r="D5560"/>
    </row>
    <row r="5561" spans="4:4" x14ac:dyDescent="0.25">
      <c r="D5561"/>
    </row>
    <row r="5562" spans="4:4" x14ac:dyDescent="0.25">
      <c r="D5562"/>
    </row>
    <row r="5563" spans="4:4" x14ac:dyDescent="0.25">
      <c r="D5563"/>
    </row>
    <row r="5564" spans="4:4" x14ac:dyDescent="0.25">
      <c r="D5564"/>
    </row>
    <row r="5565" spans="4:4" x14ac:dyDescent="0.25">
      <c r="D5565"/>
    </row>
    <row r="5566" spans="4:4" x14ac:dyDescent="0.25">
      <c r="D5566"/>
    </row>
    <row r="5567" spans="4:4" x14ac:dyDescent="0.25">
      <c r="D5567"/>
    </row>
    <row r="5568" spans="4:4" x14ac:dyDescent="0.25">
      <c r="D5568"/>
    </row>
    <row r="5569" spans="4:4" x14ac:dyDescent="0.25">
      <c r="D5569"/>
    </row>
    <row r="5570" spans="4:4" x14ac:dyDescent="0.25">
      <c r="D5570"/>
    </row>
    <row r="5571" spans="4:4" x14ac:dyDescent="0.25">
      <c r="D5571"/>
    </row>
    <row r="5572" spans="4:4" x14ac:dyDescent="0.25">
      <c r="D5572"/>
    </row>
    <row r="5573" spans="4:4" x14ac:dyDescent="0.25">
      <c r="D5573"/>
    </row>
    <row r="5574" spans="4:4" x14ac:dyDescent="0.25">
      <c r="D5574"/>
    </row>
    <row r="5575" spans="4:4" x14ac:dyDescent="0.25">
      <c r="D5575"/>
    </row>
    <row r="5576" spans="4:4" x14ac:dyDescent="0.25">
      <c r="D5576"/>
    </row>
    <row r="5577" spans="4:4" x14ac:dyDescent="0.25">
      <c r="D5577"/>
    </row>
    <row r="5578" spans="4:4" x14ac:dyDescent="0.25">
      <c r="D5578"/>
    </row>
    <row r="5579" spans="4:4" x14ac:dyDescent="0.25">
      <c r="D5579"/>
    </row>
    <row r="5580" spans="4:4" x14ac:dyDescent="0.25">
      <c r="D5580"/>
    </row>
    <row r="5581" spans="4:4" x14ac:dyDescent="0.25">
      <c r="D5581"/>
    </row>
    <row r="5582" spans="4:4" x14ac:dyDescent="0.25">
      <c r="D5582"/>
    </row>
    <row r="5583" spans="4:4" x14ac:dyDescent="0.25">
      <c r="D5583"/>
    </row>
    <row r="5584" spans="4:4" x14ac:dyDescent="0.25">
      <c r="D5584"/>
    </row>
    <row r="5585" spans="4:4" x14ac:dyDescent="0.25">
      <c r="D5585"/>
    </row>
    <row r="5586" spans="4:4" x14ac:dyDescent="0.25">
      <c r="D5586"/>
    </row>
    <row r="5587" spans="4:4" x14ac:dyDescent="0.25">
      <c r="D5587"/>
    </row>
    <row r="5588" spans="4:4" x14ac:dyDescent="0.25">
      <c r="D5588"/>
    </row>
    <row r="5589" spans="4:4" x14ac:dyDescent="0.25">
      <c r="D5589"/>
    </row>
    <row r="5590" spans="4:4" x14ac:dyDescent="0.25">
      <c r="D5590"/>
    </row>
    <row r="5591" spans="4:4" x14ac:dyDescent="0.25">
      <c r="D5591"/>
    </row>
    <row r="5592" spans="4:4" x14ac:dyDescent="0.25">
      <c r="D5592"/>
    </row>
    <row r="5593" spans="4:4" x14ac:dyDescent="0.25">
      <c r="D5593"/>
    </row>
    <row r="5594" spans="4:4" x14ac:dyDescent="0.25">
      <c r="D5594"/>
    </row>
    <row r="5595" spans="4:4" x14ac:dyDescent="0.25">
      <c r="D5595"/>
    </row>
    <row r="5596" spans="4:4" x14ac:dyDescent="0.25">
      <c r="D5596"/>
    </row>
    <row r="5597" spans="4:4" x14ac:dyDescent="0.25">
      <c r="D5597"/>
    </row>
    <row r="5598" spans="4:4" x14ac:dyDescent="0.25">
      <c r="D5598"/>
    </row>
    <row r="5599" spans="4:4" x14ac:dyDescent="0.25">
      <c r="D5599"/>
    </row>
    <row r="5600" spans="4:4" x14ac:dyDescent="0.25">
      <c r="D5600"/>
    </row>
    <row r="5601" spans="4:4" x14ac:dyDescent="0.25">
      <c r="D5601"/>
    </row>
    <row r="5602" spans="4:4" x14ac:dyDescent="0.25">
      <c r="D5602"/>
    </row>
    <row r="5603" spans="4:4" x14ac:dyDescent="0.25">
      <c r="D5603"/>
    </row>
    <row r="5604" spans="4:4" x14ac:dyDescent="0.25">
      <c r="D5604"/>
    </row>
    <row r="5605" spans="4:4" x14ac:dyDescent="0.25">
      <c r="D5605"/>
    </row>
    <row r="5606" spans="4:4" x14ac:dyDescent="0.25">
      <c r="D5606"/>
    </row>
    <row r="5607" spans="4:4" x14ac:dyDescent="0.25">
      <c r="D5607"/>
    </row>
    <row r="5608" spans="4:4" x14ac:dyDescent="0.25">
      <c r="D5608"/>
    </row>
    <row r="5609" spans="4:4" x14ac:dyDescent="0.25">
      <c r="D5609"/>
    </row>
    <row r="5610" spans="4:4" x14ac:dyDescent="0.25">
      <c r="D5610"/>
    </row>
    <row r="5611" spans="4:4" x14ac:dyDescent="0.25">
      <c r="D5611"/>
    </row>
    <row r="5612" spans="4:4" x14ac:dyDescent="0.25">
      <c r="D5612"/>
    </row>
    <row r="5613" spans="4:4" x14ac:dyDescent="0.25">
      <c r="D5613"/>
    </row>
    <row r="5614" spans="4:4" x14ac:dyDescent="0.25">
      <c r="D5614"/>
    </row>
    <row r="5615" spans="4:4" x14ac:dyDescent="0.25">
      <c r="D5615"/>
    </row>
    <row r="5616" spans="4:4" x14ac:dyDescent="0.25">
      <c r="D5616"/>
    </row>
    <row r="5617" spans="4:4" x14ac:dyDescent="0.25">
      <c r="D5617"/>
    </row>
    <row r="5618" spans="4:4" x14ac:dyDescent="0.25">
      <c r="D5618"/>
    </row>
    <row r="5619" spans="4:4" x14ac:dyDescent="0.25">
      <c r="D5619"/>
    </row>
    <row r="5620" spans="4:4" x14ac:dyDescent="0.25">
      <c r="D5620"/>
    </row>
    <row r="5621" spans="4:4" x14ac:dyDescent="0.25">
      <c r="D5621"/>
    </row>
    <row r="5622" spans="4:4" x14ac:dyDescent="0.25">
      <c r="D5622"/>
    </row>
    <row r="5623" spans="4:4" x14ac:dyDescent="0.25">
      <c r="D5623"/>
    </row>
    <row r="5624" spans="4:4" x14ac:dyDescent="0.25">
      <c r="D5624"/>
    </row>
    <row r="5625" spans="4:4" x14ac:dyDescent="0.25">
      <c r="D5625"/>
    </row>
    <row r="5626" spans="4:4" x14ac:dyDescent="0.25">
      <c r="D5626"/>
    </row>
    <row r="5627" spans="4:4" x14ac:dyDescent="0.25">
      <c r="D5627"/>
    </row>
    <row r="5628" spans="4:4" x14ac:dyDescent="0.25">
      <c r="D5628"/>
    </row>
    <row r="5629" spans="4:4" x14ac:dyDescent="0.25">
      <c r="D5629"/>
    </row>
    <row r="5630" spans="4:4" x14ac:dyDescent="0.25">
      <c r="D5630"/>
    </row>
    <row r="5631" spans="4:4" x14ac:dyDescent="0.25">
      <c r="D5631"/>
    </row>
    <row r="5632" spans="4:4" x14ac:dyDescent="0.25">
      <c r="D5632"/>
    </row>
    <row r="5633" spans="4:4" x14ac:dyDescent="0.25">
      <c r="D5633"/>
    </row>
    <row r="5634" spans="4:4" x14ac:dyDescent="0.25">
      <c r="D5634"/>
    </row>
    <row r="5635" spans="4:4" x14ac:dyDescent="0.25">
      <c r="D5635"/>
    </row>
    <row r="5636" spans="4:4" x14ac:dyDescent="0.25">
      <c r="D5636"/>
    </row>
    <row r="5637" spans="4:4" x14ac:dyDescent="0.25">
      <c r="D5637"/>
    </row>
    <row r="5638" spans="4:4" x14ac:dyDescent="0.25">
      <c r="D5638"/>
    </row>
    <row r="5639" spans="4:4" x14ac:dyDescent="0.25">
      <c r="D5639"/>
    </row>
    <row r="5640" spans="4:4" x14ac:dyDescent="0.25">
      <c r="D5640"/>
    </row>
    <row r="5641" spans="4:4" x14ac:dyDescent="0.25">
      <c r="D5641"/>
    </row>
    <row r="5642" spans="4:4" x14ac:dyDescent="0.25">
      <c r="D5642"/>
    </row>
    <row r="5643" spans="4:4" x14ac:dyDescent="0.25">
      <c r="D5643"/>
    </row>
    <row r="5644" spans="4:4" x14ac:dyDescent="0.25">
      <c r="D5644"/>
    </row>
    <row r="5645" spans="4:4" x14ac:dyDescent="0.25">
      <c r="D5645"/>
    </row>
    <row r="5646" spans="4:4" x14ac:dyDescent="0.25">
      <c r="D5646"/>
    </row>
    <row r="5647" spans="4:4" x14ac:dyDescent="0.25">
      <c r="D5647"/>
    </row>
    <row r="5648" spans="4:4" x14ac:dyDescent="0.25">
      <c r="D5648"/>
    </row>
    <row r="5649" spans="4:4" x14ac:dyDescent="0.25">
      <c r="D5649"/>
    </row>
    <row r="5650" spans="4:4" x14ac:dyDescent="0.25">
      <c r="D5650"/>
    </row>
    <row r="5651" spans="4:4" x14ac:dyDescent="0.25">
      <c r="D5651"/>
    </row>
    <row r="5652" spans="4:4" x14ac:dyDescent="0.25">
      <c r="D5652"/>
    </row>
    <row r="5653" spans="4:4" x14ac:dyDescent="0.25">
      <c r="D5653"/>
    </row>
    <row r="5654" spans="4:4" x14ac:dyDescent="0.25">
      <c r="D5654"/>
    </row>
    <row r="5655" spans="4:4" x14ac:dyDescent="0.25">
      <c r="D5655"/>
    </row>
    <row r="5656" spans="4:4" x14ac:dyDescent="0.25">
      <c r="D5656"/>
    </row>
    <row r="5657" spans="4:4" x14ac:dyDescent="0.25">
      <c r="D5657"/>
    </row>
    <row r="5658" spans="4:4" x14ac:dyDescent="0.25">
      <c r="D5658"/>
    </row>
    <row r="5659" spans="4:4" x14ac:dyDescent="0.25">
      <c r="D5659"/>
    </row>
    <row r="5660" spans="4:4" x14ac:dyDescent="0.25">
      <c r="D5660"/>
    </row>
    <row r="5661" spans="4:4" x14ac:dyDescent="0.25">
      <c r="D5661"/>
    </row>
    <row r="5662" spans="4:4" x14ac:dyDescent="0.25">
      <c r="D5662"/>
    </row>
    <row r="5663" spans="4:4" x14ac:dyDescent="0.25">
      <c r="D5663"/>
    </row>
    <row r="5664" spans="4:4" x14ac:dyDescent="0.25">
      <c r="D5664"/>
    </row>
    <row r="5665" spans="4:4" x14ac:dyDescent="0.25">
      <c r="D5665"/>
    </row>
    <row r="5666" spans="4:4" x14ac:dyDescent="0.25">
      <c r="D5666"/>
    </row>
    <row r="5667" spans="4:4" x14ac:dyDescent="0.25">
      <c r="D5667"/>
    </row>
    <row r="5668" spans="4:4" x14ac:dyDescent="0.25">
      <c r="D5668"/>
    </row>
    <row r="5669" spans="4:4" x14ac:dyDescent="0.25">
      <c r="D5669"/>
    </row>
    <row r="5670" spans="4:4" x14ac:dyDescent="0.25">
      <c r="D5670"/>
    </row>
    <row r="5671" spans="4:4" x14ac:dyDescent="0.25">
      <c r="D5671"/>
    </row>
    <row r="5672" spans="4:4" x14ac:dyDescent="0.25">
      <c r="D5672"/>
    </row>
    <row r="5673" spans="4:4" x14ac:dyDescent="0.25">
      <c r="D5673"/>
    </row>
    <row r="5674" spans="4:4" x14ac:dyDescent="0.25">
      <c r="D5674"/>
    </row>
    <row r="5675" spans="4:4" x14ac:dyDescent="0.25">
      <c r="D5675"/>
    </row>
    <row r="5676" spans="4:4" x14ac:dyDescent="0.25">
      <c r="D5676"/>
    </row>
    <row r="5677" spans="4:4" x14ac:dyDescent="0.25">
      <c r="D5677"/>
    </row>
    <row r="5678" spans="4:4" x14ac:dyDescent="0.25">
      <c r="D5678"/>
    </row>
    <row r="5679" spans="4:4" x14ac:dyDescent="0.25">
      <c r="D5679"/>
    </row>
    <row r="5680" spans="4:4" x14ac:dyDescent="0.25">
      <c r="D5680"/>
    </row>
    <row r="5681" spans="4:4" x14ac:dyDescent="0.25">
      <c r="D5681"/>
    </row>
    <row r="5682" spans="4:4" x14ac:dyDescent="0.25">
      <c r="D5682"/>
    </row>
    <row r="5683" spans="4:4" x14ac:dyDescent="0.25">
      <c r="D5683"/>
    </row>
    <row r="5684" spans="4:4" x14ac:dyDescent="0.25">
      <c r="D5684"/>
    </row>
    <row r="5685" spans="4:4" x14ac:dyDescent="0.25">
      <c r="D5685"/>
    </row>
    <row r="5686" spans="4:4" x14ac:dyDescent="0.25">
      <c r="D5686"/>
    </row>
    <row r="5687" spans="4:4" x14ac:dyDescent="0.25">
      <c r="D5687"/>
    </row>
    <row r="5688" spans="4:4" x14ac:dyDescent="0.25">
      <c r="D5688"/>
    </row>
    <row r="5689" spans="4:4" x14ac:dyDescent="0.25">
      <c r="D5689"/>
    </row>
    <row r="5690" spans="4:4" x14ac:dyDescent="0.25">
      <c r="D5690"/>
    </row>
    <row r="5691" spans="4:4" x14ac:dyDescent="0.25">
      <c r="D5691"/>
    </row>
    <row r="5692" spans="4:4" x14ac:dyDescent="0.25">
      <c r="D5692"/>
    </row>
    <row r="5693" spans="4:4" x14ac:dyDescent="0.25">
      <c r="D5693"/>
    </row>
    <row r="5694" spans="4:4" x14ac:dyDescent="0.25">
      <c r="D5694"/>
    </row>
    <row r="5695" spans="4:4" x14ac:dyDescent="0.25">
      <c r="D5695"/>
    </row>
    <row r="5696" spans="4:4" x14ac:dyDescent="0.25">
      <c r="D5696"/>
    </row>
    <row r="5697" spans="4:4" x14ac:dyDescent="0.25">
      <c r="D5697"/>
    </row>
    <row r="5698" spans="4:4" x14ac:dyDescent="0.25">
      <c r="D5698"/>
    </row>
    <row r="5699" spans="4:4" x14ac:dyDescent="0.25">
      <c r="D5699"/>
    </row>
    <row r="5700" spans="4:4" x14ac:dyDescent="0.25">
      <c r="D5700"/>
    </row>
    <row r="5701" spans="4:4" x14ac:dyDescent="0.25">
      <c r="D5701"/>
    </row>
    <row r="5702" spans="4:4" x14ac:dyDescent="0.25">
      <c r="D5702"/>
    </row>
    <row r="5703" spans="4:4" x14ac:dyDescent="0.25">
      <c r="D5703"/>
    </row>
    <row r="5704" spans="4:4" x14ac:dyDescent="0.25">
      <c r="D5704"/>
    </row>
    <row r="5705" spans="4:4" x14ac:dyDescent="0.25">
      <c r="D5705"/>
    </row>
    <row r="5706" spans="4:4" x14ac:dyDescent="0.25">
      <c r="D5706"/>
    </row>
    <row r="5707" spans="4:4" x14ac:dyDescent="0.25">
      <c r="D5707"/>
    </row>
    <row r="5708" spans="4:4" x14ac:dyDescent="0.25">
      <c r="D5708"/>
    </row>
    <row r="5709" spans="4:4" x14ac:dyDescent="0.25">
      <c r="D5709"/>
    </row>
    <row r="5710" spans="4:4" x14ac:dyDescent="0.25">
      <c r="D5710"/>
    </row>
    <row r="5711" spans="4:4" x14ac:dyDescent="0.25">
      <c r="D5711"/>
    </row>
    <row r="5712" spans="4:4" x14ac:dyDescent="0.25">
      <c r="D5712"/>
    </row>
    <row r="5713" spans="4:4" x14ac:dyDescent="0.25">
      <c r="D5713"/>
    </row>
    <row r="5714" spans="4:4" x14ac:dyDescent="0.25">
      <c r="D5714"/>
    </row>
    <row r="5715" spans="4:4" x14ac:dyDescent="0.25">
      <c r="D5715"/>
    </row>
    <row r="5716" spans="4:4" x14ac:dyDescent="0.25">
      <c r="D5716"/>
    </row>
    <row r="5717" spans="4:4" x14ac:dyDescent="0.25">
      <c r="D5717"/>
    </row>
    <row r="5718" spans="4:4" x14ac:dyDescent="0.25">
      <c r="D5718"/>
    </row>
    <row r="5719" spans="4:4" x14ac:dyDescent="0.25">
      <c r="D5719"/>
    </row>
    <row r="5720" spans="4:4" x14ac:dyDescent="0.25">
      <c r="D5720"/>
    </row>
    <row r="5721" spans="4:4" x14ac:dyDescent="0.25">
      <c r="D5721"/>
    </row>
    <row r="5722" spans="4:4" x14ac:dyDescent="0.25">
      <c r="D5722"/>
    </row>
    <row r="5723" spans="4:4" x14ac:dyDescent="0.25">
      <c r="D5723"/>
    </row>
    <row r="5724" spans="4:4" x14ac:dyDescent="0.25">
      <c r="D5724"/>
    </row>
    <row r="5725" spans="4:4" x14ac:dyDescent="0.25">
      <c r="D5725"/>
    </row>
    <row r="5726" spans="4:4" x14ac:dyDescent="0.25">
      <c r="D5726"/>
    </row>
    <row r="5727" spans="4:4" x14ac:dyDescent="0.25">
      <c r="D5727"/>
    </row>
    <row r="5728" spans="4:4" x14ac:dyDescent="0.25">
      <c r="D5728"/>
    </row>
    <row r="5729" spans="4:4" x14ac:dyDescent="0.25">
      <c r="D5729"/>
    </row>
    <row r="5730" spans="4:4" x14ac:dyDescent="0.25">
      <c r="D5730"/>
    </row>
    <row r="5731" spans="4:4" x14ac:dyDescent="0.25">
      <c r="D5731"/>
    </row>
    <row r="5732" spans="4:4" x14ac:dyDescent="0.25">
      <c r="D5732"/>
    </row>
    <row r="5733" spans="4:4" x14ac:dyDescent="0.25">
      <c r="D5733"/>
    </row>
    <row r="5734" spans="4:4" x14ac:dyDescent="0.25">
      <c r="D5734"/>
    </row>
    <row r="5735" spans="4:4" x14ac:dyDescent="0.25">
      <c r="D5735"/>
    </row>
    <row r="5736" spans="4:4" x14ac:dyDescent="0.25">
      <c r="D5736"/>
    </row>
    <row r="5737" spans="4:4" x14ac:dyDescent="0.25">
      <c r="D5737"/>
    </row>
    <row r="5738" spans="4:4" x14ac:dyDescent="0.25">
      <c r="D5738"/>
    </row>
    <row r="5739" spans="4:4" x14ac:dyDescent="0.25">
      <c r="D5739"/>
    </row>
    <row r="5740" spans="4:4" x14ac:dyDescent="0.25">
      <c r="D5740"/>
    </row>
    <row r="5741" spans="4:4" x14ac:dyDescent="0.25">
      <c r="D5741"/>
    </row>
    <row r="5742" spans="4:4" x14ac:dyDescent="0.25">
      <c r="D5742"/>
    </row>
    <row r="5743" spans="4:4" x14ac:dyDescent="0.25">
      <c r="D5743"/>
    </row>
    <row r="5744" spans="4:4" x14ac:dyDescent="0.25">
      <c r="D5744"/>
    </row>
    <row r="5745" spans="4:4" x14ac:dyDescent="0.25">
      <c r="D5745"/>
    </row>
    <row r="5746" spans="4:4" x14ac:dyDescent="0.25">
      <c r="D5746"/>
    </row>
    <row r="5747" spans="4:4" x14ac:dyDescent="0.25">
      <c r="D5747"/>
    </row>
    <row r="5748" spans="4:4" x14ac:dyDescent="0.25">
      <c r="D5748"/>
    </row>
    <row r="5749" spans="4:4" x14ac:dyDescent="0.25">
      <c r="D5749"/>
    </row>
    <row r="5750" spans="4:4" x14ac:dyDescent="0.25">
      <c r="D5750"/>
    </row>
    <row r="5751" spans="4:4" x14ac:dyDescent="0.25">
      <c r="D5751"/>
    </row>
    <row r="5752" spans="4:4" x14ac:dyDescent="0.25">
      <c r="D5752"/>
    </row>
    <row r="5753" spans="4:4" x14ac:dyDescent="0.25">
      <c r="D5753"/>
    </row>
    <row r="5754" spans="4:4" x14ac:dyDescent="0.25">
      <c r="D5754"/>
    </row>
    <row r="5755" spans="4:4" x14ac:dyDescent="0.25">
      <c r="D5755"/>
    </row>
    <row r="5756" spans="4:4" x14ac:dyDescent="0.25">
      <c r="D5756"/>
    </row>
    <row r="5757" spans="4:4" x14ac:dyDescent="0.25">
      <c r="D5757"/>
    </row>
    <row r="5758" spans="4:4" x14ac:dyDescent="0.25">
      <c r="D5758"/>
    </row>
    <row r="5759" spans="4:4" x14ac:dyDescent="0.25">
      <c r="D5759"/>
    </row>
    <row r="5760" spans="4:4" x14ac:dyDescent="0.25">
      <c r="D5760"/>
    </row>
    <row r="5761" spans="4:4" x14ac:dyDescent="0.25">
      <c r="D5761"/>
    </row>
    <row r="5762" spans="4:4" x14ac:dyDescent="0.25">
      <c r="D5762"/>
    </row>
    <row r="5763" spans="4:4" x14ac:dyDescent="0.25">
      <c r="D5763"/>
    </row>
    <row r="5764" spans="4:4" x14ac:dyDescent="0.25">
      <c r="D5764"/>
    </row>
    <row r="5765" spans="4:4" x14ac:dyDescent="0.25">
      <c r="D5765"/>
    </row>
    <row r="5766" spans="4:4" x14ac:dyDescent="0.25">
      <c r="D5766"/>
    </row>
    <row r="5767" spans="4:4" x14ac:dyDescent="0.25">
      <c r="D5767"/>
    </row>
    <row r="5768" spans="4:4" x14ac:dyDescent="0.25">
      <c r="D5768"/>
    </row>
    <row r="5769" spans="4:4" x14ac:dyDescent="0.25">
      <c r="D5769"/>
    </row>
    <row r="5770" spans="4:4" x14ac:dyDescent="0.25">
      <c r="D5770"/>
    </row>
    <row r="5771" spans="4:4" x14ac:dyDescent="0.25">
      <c r="D5771"/>
    </row>
    <row r="5772" spans="4:4" x14ac:dyDescent="0.25">
      <c r="D5772"/>
    </row>
    <row r="5773" spans="4:4" x14ac:dyDescent="0.25">
      <c r="D5773"/>
    </row>
    <row r="5774" spans="4:4" x14ac:dyDescent="0.25">
      <c r="D5774"/>
    </row>
    <row r="5775" spans="4:4" x14ac:dyDescent="0.25">
      <c r="D5775"/>
    </row>
    <row r="5776" spans="4:4" x14ac:dyDescent="0.25">
      <c r="D5776"/>
    </row>
    <row r="5777" spans="4:4" x14ac:dyDescent="0.25">
      <c r="D5777"/>
    </row>
    <row r="5778" spans="4:4" x14ac:dyDescent="0.25">
      <c r="D5778"/>
    </row>
    <row r="5779" spans="4:4" x14ac:dyDescent="0.25">
      <c r="D5779"/>
    </row>
    <row r="5780" spans="4:4" x14ac:dyDescent="0.25">
      <c r="D5780"/>
    </row>
    <row r="5781" spans="4:4" x14ac:dyDescent="0.25">
      <c r="D5781"/>
    </row>
    <row r="5782" spans="4:4" x14ac:dyDescent="0.25">
      <c r="D5782"/>
    </row>
    <row r="5783" spans="4:4" x14ac:dyDescent="0.25">
      <c r="D5783"/>
    </row>
    <row r="5784" spans="4:4" x14ac:dyDescent="0.25">
      <c r="D5784"/>
    </row>
    <row r="5785" spans="4:4" x14ac:dyDescent="0.25">
      <c r="D5785"/>
    </row>
    <row r="5786" spans="4:4" x14ac:dyDescent="0.25">
      <c r="D5786"/>
    </row>
    <row r="5787" spans="4:4" x14ac:dyDescent="0.25">
      <c r="D5787"/>
    </row>
    <row r="5788" spans="4:4" x14ac:dyDescent="0.25">
      <c r="D5788"/>
    </row>
    <row r="5789" spans="4:4" x14ac:dyDescent="0.25">
      <c r="D5789"/>
    </row>
    <row r="5790" spans="4:4" x14ac:dyDescent="0.25">
      <c r="D5790"/>
    </row>
    <row r="5791" spans="4:4" x14ac:dyDescent="0.25">
      <c r="D5791"/>
    </row>
    <row r="5792" spans="4:4" x14ac:dyDescent="0.25">
      <c r="D5792"/>
    </row>
    <row r="5793" spans="4:4" x14ac:dyDescent="0.25">
      <c r="D5793"/>
    </row>
    <row r="5794" spans="4:4" x14ac:dyDescent="0.25">
      <c r="D5794"/>
    </row>
    <row r="5795" spans="4:4" x14ac:dyDescent="0.25">
      <c r="D5795"/>
    </row>
    <row r="5796" spans="4:4" x14ac:dyDescent="0.25">
      <c r="D5796"/>
    </row>
    <row r="5797" spans="4:4" x14ac:dyDescent="0.25">
      <c r="D5797"/>
    </row>
    <row r="5798" spans="4:4" x14ac:dyDescent="0.25">
      <c r="D5798"/>
    </row>
    <row r="5799" spans="4:4" x14ac:dyDescent="0.25">
      <c r="D5799"/>
    </row>
    <row r="5800" spans="4:4" x14ac:dyDescent="0.25">
      <c r="D5800"/>
    </row>
    <row r="5801" spans="4:4" x14ac:dyDescent="0.25">
      <c r="D5801"/>
    </row>
    <row r="5802" spans="4:4" x14ac:dyDescent="0.25">
      <c r="D5802"/>
    </row>
    <row r="5803" spans="4:4" x14ac:dyDescent="0.25">
      <c r="D5803"/>
    </row>
    <row r="5804" spans="4:4" x14ac:dyDescent="0.25">
      <c r="D5804"/>
    </row>
    <row r="5805" spans="4:4" x14ac:dyDescent="0.25">
      <c r="D5805"/>
    </row>
    <row r="5806" spans="4:4" x14ac:dyDescent="0.25">
      <c r="D5806"/>
    </row>
    <row r="5807" spans="4:4" x14ac:dyDescent="0.25">
      <c r="D5807"/>
    </row>
    <row r="5808" spans="4:4" x14ac:dyDescent="0.25">
      <c r="D5808"/>
    </row>
    <row r="5809" spans="4:4" x14ac:dyDescent="0.25">
      <c r="D5809"/>
    </row>
    <row r="5810" spans="4:4" x14ac:dyDescent="0.25">
      <c r="D5810"/>
    </row>
    <row r="5811" spans="4:4" x14ac:dyDescent="0.25">
      <c r="D5811"/>
    </row>
    <row r="5812" spans="4:4" x14ac:dyDescent="0.25">
      <c r="D5812"/>
    </row>
    <row r="5813" spans="4:4" x14ac:dyDescent="0.25">
      <c r="D5813"/>
    </row>
    <row r="5814" spans="4:4" x14ac:dyDescent="0.25">
      <c r="D5814"/>
    </row>
    <row r="5815" spans="4:4" x14ac:dyDescent="0.25">
      <c r="D5815"/>
    </row>
    <row r="5816" spans="4:4" x14ac:dyDescent="0.25">
      <c r="D5816"/>
    </row>
    <row r="5817" spans="4:4" x14ac:dyDescent="0.25">
      <c r="D5817"/>
    </row>
    <row r="5818" spans="4:4" x14ac:dyDescent="0.25">
      <c r="D5818"/>
    </row>
    <row r="5819" spans="4:4" x14ac:dyDescent="0.25">
      <c r="D5819"/>
    </row>
    <row r="5820" spans="4:4" x14ac:dyDescent="0.25">
      <c r="D5820"/>
    </row>
    <row r="5821" spans="4:4" x14ac:dyDescent="0.25">
      <c r="D5821"/>
    </row>
    <row r="5822" spans="4:4" x14ac:dyDescent="0.25">
      <c r="D5822"/>
    </row>
    <row r="5823" spans="4:4" x14ac:dyDescent="0.25">
      <c r="D5823"/>
    </row>
    <row r="5824" spans="4:4" x14ac:dyDescent="0.25">
      <c r="D5824"/>
    </row>
    <row r="5825" spans="4:4" x14ac:dyDescent="0.25">
      <c r="D5825"/>
    </row>
    <row r="5826" spans="4:4" x14ac:dyDescent="0.25">
      <c r="D5826"/>
    </row>
    <row r="5827" spans="4:4" x14ac:dyDescent="0.25">
      <c r="D5827"/>
    </row>
    <row r="5828" spans="4:4" x14ac:dyDescent="0.25">
      <c r="D5828"/>
    </row>
    <row r="5829" spans="4:4" x14ac:dyDescent="0.25">
      <c r="D5829"/>
    </row>
    <row r="5830" spans="4:4" x14ac:dyDescent="0.25">
      <c r="D5830"/>
    </row>
    <row r="5831" spans="4:4" x14ac:dyDescent="0.25">
      <c r="D5831"/>
    </row>
    <row r="5832" spans="4:4" x14ac:dyDescent="0.25">
      <c r="D5832"/>
    </row>
    <row r="5833" spans="4:4" x14ac:dyDescent="0.25">
      <c r="D5833"/>
    </row>
    <row r="5834" spans="4:4" x14ac:dyDescent="0.25">
      <c r="D5834"/>
    </row>
    <row r="5835" spans="4:4" x14ac:dyDescent="0.25">
      <c r="D5835"/>
    </row>
    <row r="5836" spans="4:4" x14ac:dyDescent="0.25">
      <c r="D5836"/>
    </row>
    <row r="5837" spans="4:4" x14ac:dyDescent="0.25">
      <c r="D5837"/>
    </row>
    <row r="5838" spans="4:4" x14ac:dyDescent="0.25">
      <c r="D5838"/>
    </row>
    <row r="5839" spans="4:4" x14ac:dyDescent="0.25">
      <c r="D5839"/>
    </row>
    <row r="5840" spans="4:4" x14ac:dyDescent="0.25">
      <c r="D5840"/>
    </row>
    <row r="5841" spans="4:4" x14ac:dyDescent="0.25">
      <c r="D5841"/>
    </row>
    <row r="5842" spans="4:4" x14ac:dyDescent="0.25">
      <c r="D5842"/>
    </row>
    <row r="5843" spans="4:4" x14ac:dyDescent="0.25">
      <c r="D5843"/>
    </row>
    <row r="5844" spans="4:4" x14ac:dyDescent="0.25">
      <c r="D5844"/>
    </row>
    <row r="5845" spans="4:4" x14ac:dyDescent="0.25">
      <c r="D5845"/>
    </row>
    <row r="5846" spans="4:4" x14ac:dyDescent="0.25">
      <c r="D5846"/>
    </row>
    <row r="5847" spans="4:4" x14ac:dyDescent="0.25">
      <c r="D5847"/>
    </row>
    <row r="5848" spans="4:4" x14ac:dyDescent="0.25">
      <c r="D5848"/>
    </row>
    <row r="5849" spans="4:4" x14ac:dyDescent="0.25">
      <c r="D5849"/>
    </row>
    <row r="5850" spans="4:4" x14ac:dyDescent="0.25">
      <c r="D5850"/>
    </row>
    <row r="5851" spans="4:4" x14ac:dyDescent="0.25">
      <c r="D5851"/>
    </row>
    <row r="5852" spans="4:4" x14ac:dyDescent="0.25">
      <c r="D5852"/>
    </row>
    <row r="5853" spans="4:4" x14ac:dyDescent="0.25">
      <c r="D5853"/>
    </row>
    <row r="5854" spans="4:4" x14ac:dyDescent="0.25">
      <c r="D5854"/>
    </row>
    <row r="5855" spans="4:4" x14ac:dyDescent="0.25">
      <c r="D5855"/>
    </row>
    <row r="5856" spans="4:4" x14ac:dyDescent="0.25">
      <c r="D5856"/>
    </row>
    <row r="5857" spans="4:4" x14ac:dyDescent="0.25">
      <c r="D5857"/>
    </row>
    <row r="5858" spans="4:4" x14ac:dyDescent="0.25">
      <c r="D5858"/>
    </row>
    <row r="5859" spans="4:4" x14ac:dyDescent="0.25">
      <c r="D5859"/>
    </row>
    <row r="5860" spans="4:4" x14ac:dyDescent="0.25">
      <c r="D5860"/>
    </row>
    <row r="5861" spans="4:4" x14ac:dyDescent="0.25">
      <c r="D5861"/>
    </row>
    <row r="5862" spans="4:4" x14ac:dyDescent="0.25">
      <c r="D5862"/>
    </row>
    <row r="5863" spans="4:4" x14ac:dyDescent="0.25">
      <c r="D5863"/>
    </row>
    <row r="5864" spans="4:4" x14ac:dyDescent="0.25">
      <c r="D5864"/>
    </row>
    <row r="5865" spans="4:4" x14ac:dyDescent="0.25">
      <c r="D5865"/>
    </row>
    <row r="5866" spans="4:4" x14ac:dyDescent="0.25">
      <c r="D5866"/>
    </row>
    <row r="5867" spans="4:4" x14ac:dyDescent="0.25">
      <c r="D5867"/>
    </row>
    <row r="5868" spans="4:4" x14ac:dyDescent="0.25">
      <c r="D5868"/>
    </row>
    <row r="5869" spans="4:4" x14ac:dyDescent="0.25">
      <c r="D5869"/>
    </row>
    <row r="5870" spans="4:4" x14ac:dyDescent="0.25">
      <c r="D5870"/>
    </row>
    <row r="5871" spans="4:4" x14ac:dyDescent="0.25">
      <c r="D5871"/>
    </row>
    <row r="5872" spans="4:4" x14ac:dyDescent="0.25">
      <c r="D5872"/>
    </row>
    <row r="5873" spans="4:4" x14ac:dyDescent="0.25">
      <c r="D5873"/>
    </row>
    <row r="5874" spans="4:4" x14ac:dyDescent="0.25">
      <c r="D5874"/>
    </row>
    <row r="5875" spans="4:4" x14ac:dyDescent="0.25">
      <c r="D5875"/>
    </row>
    <row r="5876" spans="4:4" x14ac:dyDescent="0.25">
      <c r="D5876"/>
    </row>
    <row r="5877" spans="4:4" x14ac:dyDescent="0.25">
      <c r="D5877"/>
    </row>
    <row r="5878" spans="4:4" x14ac:dyDescent="0.25">
      <c r="D5878"/>
    </row>
    <row r="5879" spans="4:4" x14ac:dyDescent="0.25">
      <c r="D5879"/>
    </row>
    <row r="5880" spans="4:4" x14ac:dyDescent="0.25">
      <c r="D5880"/>
    </row>
    <row r="5881" spans="4:4" x14ac:dyDescent="0.25">
      <c r="D5881"/>
    </row>
    <row r="5882" spans="4:4" x14ac:dyDescent="0.25">
      <c r="D5882"/>
    </row>
    <row r="5883" spans="4:4" x14ac:dyDescent="0.25">
      <c r="D5883"/>
    </row>
    <row r="5884" spans="4:4" x14ac:dyDescent="0.25">
      <c r="D5884"/>
    </row>
    <row r="5885" spans="4:4" x14ac:dyDescent="0.25">
      <c r="D5885"/>
    </row>
    <row r="5886" spans="4:4" x14ac:dyDescent="0.25">
      <c r="D5886"/>
    </row>
    <row r="5887" spans="4:4" x14ac:dyDescent="0.25">
      <c r="D5887"/>
    </row>
    <row r="5888" spans="4:4" x14ac:dyDescent="0.25">
      <c r="D5888"/>
    </row>
    <row r="5889" spans="4:4" x14ac:dyDescent="0.25">
      <c r="D5889"/>
    </row>
    <row r="5890" spans="4:4" x14ac:dyDescent="0.25">
      <c r="D5890"/>
    </row>
    <row r="5891" spans="4:4" x14ac:dyDescent="0.25">
      <c r="D5891"/>
    </row>
    <row r="5892" spans="4:4" x14ac:dyDescent="0.25">
      <c r="D5892"/>
    </row>
    <row r="5893" spans="4:4" x14ac:dyDescent="0.25">
      <c r="D5893"/>
    </row>
    <row r="5894" spans="4:4" x14ac:dyDescent="0.25">
      <c r="D5894"/>
    </row>
    <row r="5895" spans="4:4" x14ac:dyDescent="0.25">
      <c r="D5895"/>
    </row>
    <row r="5896" spans="4:4" x14ac:dyDescent="0.25">
      <c r="D5896"/>
    </row>
    <row r="5897" spans="4:4" x14ac:dyDescent="0.25">
      <c r="D5897"/>
    </row>
    <row r="5898" spans="4:4" x14ac:dyDescent="0.25">
      <c r="D5898"/>
    </row>
    <row r="5899" spans="4:4" x14ac:dyDescent="0.25">
      <c r="D5899"/>
    </row>
    <row r="5900" spans="4:4" x14ac:dyDescent="0.25">
      <c r="D5900"/>
    </row>
    <row r="5901" spans="4:4" x14ac:dyDescent="0.25">
      <c r="D5901"/>
    </row>
    <row r="5902" spans="4:4" x14ac:dyDescent="0.25">
      <c r="D5902"/>
    </row>
    <row r="5903" spans="4:4" x14ac:dyDescent="0.25">
      <c r="D5903"/>
    </row>
    <row r="5904" spans="4:4" x14ac:dyDescent="0.25">
      <c r="D5904"/>
    </row>
    <row r="5905" spans="4:4" x14ac:dyDescent="0.25">
      <c r="D5905"/>
    </row>
    <row r="5906" spans="4:4" x14ac:dyDescent="0.25">
      <c r="D5906"/>
    </row>
    <row r="5907" spans="4:4" x14ac:dyDescent="0.25">
      <c r="D5907"/>
    </row>
    <row r="5908" spans="4:4" x14ac:dyDescent="0.25">
      <c r="D5908"/>
    </row>
    <row r="5909" spans="4:4" x14ac:dyDescent="0.25">
      <c r="D5909"/>
    </row>
    <row r="5910" spans="4:4" x14ac:dyDescent="0.25">
      <c r="D5910"/>
    </row>
    <row r="5911" spans="4:4" x14ac:dyDescent="0.25">
      <c r="D5911"/>
    </row>
    <row r="5912" spans="4:4" x14ac:dyDescent="0.25">
      <c r="D5912"/>
    </row>
    <row r="5913" spans="4:4" x14ac:dyDescent="0.25">
      <c r="D5913"/>
    </row>
    <row r="5914" spans="4:4" x14ac:dyDescent="0.25">
      <c r="D5914"/>
    </row>
    <row r="5915" spans="4:4" x14ac:dyDescent="0.25">
      <c r="D5915"/>
    </row>
    <row r="5916" spans="4:4" x14ac:dyDescent="0.25">
      <c r="D5916"/>
    </row>
    <row r="5917" spans="4:4" x14ac:dyDescent="0.25">
      <c r="D5917"/>
    </row>
    <row r="5918" spans="4:4" x14ac:dyDescent="0.25">
      <c r="D5918"/>
    </row>
    <row r="5919" spans="4:4" x14ac:dyDescent="0.25">
      <c r="D5919"/>
    </row>
    <row r="5920" spans="4:4" x14ac:dyDescent="0.25">
      <c r="D5920"/>
    </row>
    <row r="5921" spans="4:4" x14ac:dyDescent="0.25">
      <c r="D5921"/>
    </row>
    <row r="5922" spans="4:4" x14ac:dyDescent="0.25">
      <c r="D5922"/>
    </row>
    <row r="5923" spans="4:4" x14ac:dyDescent="0.25">
      <c r="D5923"/>
    </row>
    <row r="5924" spans="4:4" x14ac:dyDescent="0.25">
      <c r="D5924"/>
    </row>
    <row r="5925" spans="4:4" x14ac:dyDescent="0.25">
      <c r="D5925"/>
    </row>
    <row r="5926" spans="4:4" x14ac:dyDescent="0.25">
      <c r="D5926"/>
    </row>
    <row r="5927" spans="4:4" x14ac:dyDescent="0.25">
      <c r="D5927"/>
    </row>
    <row r="5928" spans="4:4" x14ac:dyDescent="0.25">
      <c r="D5928"/>
    </row>
    <row r="5929" spans="4:4" x14ac:dyDescent="0.25">
      <c r="D5929"/>
    </row>
    <row r="5930" spans="4:4" x14ac:dyDescent="0.25">
      <c r="D5930"/>
    </row>
    <row r="5931" spans="4:4" x14ac:dyDescent="0.25">
      <c r="D5931"/>
    </row>
    <row r="5932" spans="4:4" x14ac:dyDescent="0.25">
      <c r="D5932"/>
    </row>
    <row r="5933" spans="4:4" x14ac:dyDescent="0.25">
      <c r="D5933"/>
    </row>
    <row r="5934" spans="4:4" x14ac:dyDescent="0.25">
      <c r="D5934"/>
    </row>
    <row r="5935" spans="4:4" x14ac:dyDescent="0.25">
      <c r="D5935"/>
    </row>
    <row r="5936" spans="4:4" x14ac:dyDescent="0.25">
      <c r="D5936"/>
    </row>
    <row r="5937" spans="4:4" x14ac:dyDescent="0.25">
      <c r="D5937"/>
    </row>
    <row r="5938" spans="4:4" x14ac:dyDescent="0.25">
      <c r="D5938"/>
    </row>
    <row r="5939" spans="4:4" x14ac:dyDescent="0.25">
      <c r="D5939"/>
    </row>
    <row r="5940" spans="4:4" x14ac:dyDescent="0.25">
      <c r="D5940"/>
    </row>
    <row r="5941" spans="4:4" x14ac:dyDescent="0.25">
      <c r="D5941"/>
    </row>
    <row r="5942" spans="4:4" x14ac:dyDescent="0.25">
      <c r="D5942"/>
    </row>
    <row r="5943" spans="4:4" x14ac:dyDescent="0.25">
      <c r="D5943"/>
    </row>
    <row r="5944" spans="4:4" x14ac:dyDescent="0.25">
      <c r="D5944"/>
    </row>
    <row r="5945" spans="4:4" x14ac:dyDescent="0.25">
      <c r="D5945"/>
    </row>
    <row r="5946" spans="4:4" x14ac:dyDescent="0.25">
      <c r="D5946"/>
    </row>
    <row r="5947" spans="4:4" x14ac:dyDescent="0.25">
      <c r="D5947"/>
    </row>
    <row r="5948" spans="4:4" x14ac:dyDescent="0.25">
      <c r="D5948"/>
    </row>
    <row r="5949" spans="4:4" x14ac:dyDescent="0.25">
      <c r="D5949"/>
    </row>
    <row r="5950" spans="4:4" x14ac:dyDescent="0.25">
      <c r="D5950"/>
    </row>
    <row r="5951" spans="4:4" x14ac:dyDescent="0.25">
      <c r="D5951"/>
    </row>
    <row r="5952" spans="4:4" x14ac:dyDescent="0.25">
      <c r="D5952"/>
    </row>
    <row r="5953" spans="4:4" x14ac:dyDescent="0.25">
      <c r="D5953"/>
    </row>
    <row r="5954" spans="4:4" x14ac:dyDescent="0.25">
      <c r="D5954"/>
    </row>
    <row r="5955" spans="4:4" x14ac:dyDescent="0.25">
      <c r="D5955"/>
    </row>
    <row r="5956" spans="4:4" x14ac:dyDescent="0.25">
      <c r="D5956"/>
    </row>
    <row r="5957" spans="4:4" x14ac:dyDescent="0.25">
      <c r="D5957"/>
    </row>
    <row r="5958" spans="4:4" x14ac:dyDescent="0.25">
      <c r="D5958"/>
    </row>
    <row r="5959" spans="4:4" x14ac:dyDescent="0.25">
      <c r="D5959"/>
    </row>
    <row r="5960" spans="4:4" x14ac:dyDescent="0.25">
      <c r="D5960"/>
    </row>
    <row r="5961" spans="4:4" x14ac:dyDescent="0.25">
      <c r="D5961"/>
    </row>
    <row r="5962" spans="4:4" x14ac:dyDescent="0.25">
      <c r="D5962"/>
    </row>
    <row r="5963" spans="4:4" x14ac:dyDescent="0.25">
      <c r="D5963"/>
    </row>
    <row r="5964" spans="4:4" x14ac:dyDescent="0.25">
      <c r="D5964"/>
    </row>
    <row r="5965" spans="4:4" x14ac:dyDescent="0.25">
      <c r="D5965"/>
    </row>
    <row r="5966" spans="4:4" x14ac:dyDescent="0.25">
      <c r="D5966"/>
    </row>
    <row r="5967" spans="4:4" x14ac:dyDescent="0.25">
      <c r="D5967"/>
    </row>
    <row r="5968" spans="4:4" x14ac:dyDescent="0.25">
      <c r="D5968"/>
    </row>
    <row r="5969" spans="4:4" x14ac:dyDescent="0.25">
      <c r="D5969"/>
    </row>
    <row r="5970" spans="4:4" x14ac:dyDescent="0.25">
      <c r="D5970"/>
    </row>
    <row r="5971" spans="4:4" x14ac:dyDescent="0.25">
      <c r="D5971"/>
    </row>
    <row r="5972" spans="4:4" x14ac:dyDescent="0.25">
      <c r="D5972"/>
    </row>
    <row r="5973" spans="4:4" x14ac:dyDescent="0.25">
      <c r="D5973"/>
    </row>
    <row r="5974" spans="4:4" x14ac:dyDescent="0.25">
      <c r="D5974"/>
    </row>
    <row r="5975" spans="4:4" x14ac:dyDescent="0.25">
      <c r="D5975"/>
    </row>
    <row r="5976" spans="4:4" x14ac:dyDescent="0.25">
      <c r="D5976"/>
    </row>
    <row r="5977" spans="4:4" x14ac:dyDescent="0.25">
      <c r="D5977"/>
    </row>
    <row r="5978" spans="4:4" x14ac:dyDescent="0.25">
      <c r="D5978"/>
    </row>
    <row r="5979" spans="4:4" x14ac:dyDescent="0.25">
      <c r="D5979"/>
    </row>
    <row r="5980" spans="4:4" x14ac:dyDescent="0.25">
      <c r="D5980"/>
    </row>
    <row r="5981" spans="4:4" x14ac:dyDescent="0.25">
      <c r="D5981"/>
    </row>
    <row r="5982" spans="4:4" x14ac:dyDescent="0.25">
      <c r="D5982"/>
    </row>
    <row r="5983" spans="4:4" x14ac:dyDescent="0.25">
      <c r="D5983"/>
    </row>
    <row r="5984" spans="4:4" x14ac:dyDescent="0.25">
      <c r="D5984"/>
    </row>
    <row r="5985" spans="4:4" x14ac:dyDescent="0.25">
      <c r="D5985"/>
    </row>
    <row r="5986" spans="4:4" x14ac:dyDescent="0.25">
      <c r="D5986"/>
    </row>
    <row r="5987" spans="4:4" x14ac:dyDescent="0.25">
      <c r="D5987"/>
    </row>
    <row r="5988" spans="4:4" x14ac:dyDescent="0.25">
      <c r="D5988"/>
    </row>
    <row r="5989" spans="4:4" x14ac:dyDescent="0.25">
      <c r="D5989"/>
    </row>
    <row r="5990" spans="4:4" x14ac:dyDescent="0.25">
      <c r="D5990"/>
    </row>
    <row r="5991" spans="4:4" x14ac:dyDescent="0.25">
      <c r="D5991"/>
    </row>
    <row r="5992" spans="4:4" x14ac:dyDescent="0.25">
      <c r="D5992"/>
    </row>
    <row r="5993" spans="4:4" x14ac:dyDescent="0.25">
      <c r="D5993"/>
    </row>
    <row r="5994" spans="4:4" x14ac:dyDescent="0.25">
      <c r="D5994"/>
    </row>
    <row r="5995" spans="4:4" x14ac:dyDescent="0.25">
      <c r="D5995"/>
    </row>
    <row r="5996" spans="4:4" x14ac:dyDescent="0.25">
      <c r="D5996"/>
    </row>
    <row r="5997" spans="4:4" x14ac:dyDescent="0.25">
      <c r="D5997"/>
    </row>
    <row r="5998" spans="4:4" x14ac:dyDescent="0.25">
      <c r="D5998"/>
    </row>
    <row r="5999" spans="4:4" x14ac:dyDescent="0.25">
      <c r="D5999"/>
    </row>
    <row r="6000" spans="4:4" x14ac:dyDescent="0.25">
      <c r="D6000"/>
    </row>
    <row r="6001" spans="4:4" x14ac:dyDescent="0.25">
      <c r="D6001"/>
    </row>
    <row r="6002" spans="4:4" x14ac:dyDescent="0.25">
      <c r="D6002"/>
    </row>
    <row r="6003" spans="4:4" x14ac:dyDescent="0.25">
      <c r="D6003"/>
    </row>
    <row r="6004" spans="4:4" x14ac:dyDescent="0.25">
      <c r="D6004"/>
    </row>
    <row r="6005" spans="4:4" x14ac:dyDescent="0.25">
      <c r="D6005"/>
    </row>
    <row r="6006" spans="4:4" x14ac:dyDescent="0.25">
      <c r="D6006"/>
    </row>
    <row r="6007" spans="4:4" x14ac:dyDescent="0.25">
      <c r="D6007"/>
    </row>
    <row r="6008" spans="4:4" x14ac:dyDescent="0.25">
      <c r="D6008"/>
    </row>
    <row r="6009" spans="4:4" x14ac:dyDescent="0.25">
      <c r="D6009"/>
    </row>
    <row r="6010" spans="4:4" x14ac:dyDescent="0.25">
      <c r="D6010"/>
    </row>
    <row r="6011" spans="4:4" x14ac:dyDescent="0.25">
      <c r="D6011"/>
    </row>
    <row r="6012" spans="4:4" x14ac:dyDescent="0.25">
      <c r="D6012"/>
    </row>
    <row r="6013" spans="4:4" x14ac:dyDescent="0.25">
      <c r="D6013"/>
    </row>
    <row r="6014" spans="4:4" x14ac:dyDescent="0.25">
      <c r="D6014"/>
    </row>
    <row r="6015" spans="4:4" x14ac:dyDescent="0.25">
      <c r="D6015"/>
    </row>
    <row r="6016" spans="4:4" x14ac:dyDescent="0.25">
      <c r="D6016"/>
    </row>
    <row r="6017" spans="4:4" x14ac:dyDescent="0.25">
      <c r="D6017"/>
    </row>
    <row r="6018" spans="4:4" x14ac:dyDescent="0.25">
      <c r="D6018"/>
    </row>
    <row r="6019" spans="4:4" x14ac:dyDescent="0.25">
      <c r="D6019"/>
    </row>
    <row r="6020" spans="4:4" x14ac:dyDescent="0.25">
      <c r="D6020"/>
    </row>
    <row r="6021" spans="4:4" x14ac:dyDescent="0.25">
      <c r="D6021"/>
    </row>
    <row r="6022" spans="4:4" x14ac:dyDescent="0.25">
      <c r="D6022"/>
    </row>
    <row r="6023" spans="4:4" x14ac:dyDescent="0.25">
      <c r="D6023"/>
    </row>
    <row r="6024" spans="4:4" x14ac:dyDescent="0.25">
      <c r="D6024"/>
    </row>
    <row r="6025" spans="4:4" x14ac:dyDescent="0.25">
      <c r="D6025"/>
    </row>
    <row r="6026" spans="4:4" x14ac:dyDescent="0.25">
      <c r="D6026"/>
    </row>
    <row r="6027" spans="4:4" x14ac:dyDescent="0.25">
      <c r="D6027"/>
    </row>
    <row r="6028" spans="4:4" x14ac:dyDescent="0.25">
      <c r="D6028"/>
    </row>
    <row r="6029" spans="4:4" x14ac:dyDescent="0.25">
      <c r="D6029"/>
    </row>
    <row r="6030" spans="4:4" x14ac:dyDescent="0.25">
      <c r="D6030"/>
    </row>
    <row r="6031" spans="4:4" x14ac:dyDescent="0.25">
      <c r="D6031"/>
    </row>
    <row r="6032" spans="4:4" x14ac:dyDescent="0.25">
      <c r="D6032"/>
    </row>
    <row r="6033" spans="4:4" x14ac:dyDescent="0.25">
      <c r="D6033"/>
    </row>
    <row r="6034" spans="4:4" x14ac:dyDescent="0.25">
      <c r="D6034"/>
    </row>
    <row r="6035" spans="4:4" x14ac:dyDescent="0.25">
      <c r="D6035"/>
    </row>
    <row r="6036" spans="4:4" x14ac:dyDescent="0.25">
      <c r="D6036"/>
    </row>
    <row r="6037" spans="4:4" x14ac:dyDescent="0.25">
      <c r="D6037"/>
    </row>
    <row r="6038" spans="4:4" x14ac:dyDescent="0.25">
      <c r="D6038"/>
    </row>
    <row r="6039" spans="4:4" x14ac:dyDescent="0.25">
      <c r="D6039"/>
    </row>
    <row r="6040" spans="4:4" x14ac:dyDescent="0.25">
      <c r="D6040"/>
    </row>
    <row r="6041" spans="4:4" x14ac:dyDescent="0.25">
      <c r="D6041"/>
    </row>
    <row r="6042" spans="4:4" x14ac:dyDescent="0.25">
      <c r="D6042"/>
    </row>
    <row r="6043" spans="4:4" x14ac:dyDescent="0.25">
      <c r="D6043"/>
    </row>
    <row r="6044" spans="4:4" x14ac:dyDescent="0.25">
      <c r="D6044"/>
    </row>
    <row r="6045" spans="4:4" x14ac:dyDescent="0.25">
      <c r="D6045"/>
    </row>
    <row r="6046" spans="4:4" x14ac:dyDescent="0.25">
      <c r="D6046"/>
    </row>
    <row r="6047" spans="4:4" x14ac:dyDescent="0.25">
      <c r="D6047"/>
    </row>
    <row r="6048" spans="4:4" x14ac:dyDescent="0.25">
      <c r="D6048"/>
    </row>
    <row r="6049" spans="4:4" x14ac:dyDescent="0.25">
      <c r="D6049"/>
    </row>
    <row r="6050" spans="4:4" x14ac:dyDescent="0.25">
      <c r="D6050"/>
    </row>
    <row r="6051" spans="4:4" x14ac:dyDescent="0.25">
      <c r="D6051"/>
    </row>
    <row r="6052" spans="4:4" x14ac:dyDescent="0.25">
      <c r="D6052"/>
    </row>
    <row r="6053" spans="4:4" x14ac:dyDescent="0.25">
      <c r="D6053"/>
    </row>
    <row r="6054" spans="4:4" x14ac:dyDescent="0.25">
      <c r="D6054"/>
    </row>
    <row r="6055" spans="4:4" x14ac:dyDescent="0.25">
      <c r="D6055"/>
    </row>
    <row r="6056" spans="4:4" x14ac:dyDescent="0.25">
      <c r="D6056"/>
    </row>
    <row r="6057" spans="4:4" x14ac:dyDescent="0.25">
      <c r="D6057"/>
    </row>
    <row r="6058" spans="4:4" x14ac:dyDescent="0.25">
      <c r="D6058"/>
    </row>
    <row r="6059" spans="4:4" x14ac:dyDescent="0.25">
      <c r="D6059"/>
    </row>
    <row r="6060" spans="4:4" x14ac:dyDescent="0.25">
      <c r="D6060"/>
    </row>
    <row r="6061" spans="4:4" x14ac:dyDescent="0.25">
      <c r="D6061"/>
    </row>
    <row r="6062" spans="4:4" x14ac:dyDescent="0.25">
      <c r="D6062"/>
    </row>
    <row r="6063" spans="4:4" x14ac:dyDescent="0.25">
      <c r="D6063"/>
    </row>
    <row r="6064" spans="4:4" x14ac:dyDescent="0.25">
      <c r="D6064"/>
    </row>
    <row r="6065" spans="4:4" x14ac:dyDescent="0.25">
      <c r="D6065"/>
    </row>
    <row r="6066" spans="4:4" x14ac:dyDescent="0.25">
      <c r="D6066"/>
    </row>
    <row r="6067" spans="4:4" x14ac:dyDescent="0.25">
      <c r="D6067"/>
    </row>
    <row r="6068" spans="4:4" x14ac:dyDescent="0.25">
      <c r="D6068"/>
    </row>
    <row r="6069" spans="4:4" x14ac:dyDescent="0.25">
      <c r="D6069"/>
    </row>
    <row r="6070" spans="4:4" x14ac:dyDescent="0.25">
      <c r="D6070"/>
    </row>
    <row r="6071" spans="4:4" x14ac:dyDescent="0.25">
      <c r="D6071"/>
    </row>
    <row r="6072" spans="4:4" x14ac:dyDescent="0.25">
      <c r="D6072"/>
    </row>
    <row r="6073" spans="4:4" x14ac:dyDescent="0.25">
      <c r="D6073"/>
    </row>
    <row r="6074" spans="4:4" x14ac:dyDescent="0.25">
      <c r="D6074"/>
    </row>
    <row r="6075" spans="4:4" x14ac:dyDescent="0.25">
      <c r="D6075"/>
    </row>
    <row r="6076" spans="4:4" x14ac:dyDescent="0.25">
      <c r="D6076"/>
    </row>
    <row r="6077" spans="4:4" x14ac:dyDescent="0.25">
      <c r="D6077"/>
    </row>
    <row r="6078" spans="4:4" x14ac:dyDescent="0.25">
      <c r="D6078"/>
    </row>
    <row r="6079" spans="4:4" x14ac:dyDescent="0.25">
      <c r="D6079"/>
    </row>
    <row r="6080" spans="4:4" x14ac:dyDescent="0.25">
      <c r="D6080"/>
    </row>
    <row r="6081" spans="4:4" x14ac:dyDescent="0.25">
      <c r="D6081"/>
    </row>
    <row r="6082" spans="4:4" x14ac:dyDescent="0.25">
      <c r="D6082"/>
    </row>
    <row r="6083" spans="4:4" x14ac:dyDescent="0.25">
      <c r="D6083"/>
    </row>
    <row r="6084" spans="4:4" x14ac:dyDescent="0.25">
      <c r="D6084"/>
    </row>
    <row r="6085" spans="4:4" x14ac:dyDescent="0.25">
      <c r="D6085"/>
    </row>
    <row r="6086" spans="4:4" x14ac:dyDescent="0.25">
      <c r="D6086"/>
    </row>
    <row r="6087" spans="4:4" x14ac:dyDescent="0.25">
      <c r="D6087"/>
    </row>
    <row r="6088" spans="4:4" x14ac:dyDescent="0.25">
      <c r="D6088"/>
    </row>
    <row r="6089" spans="4:4" x14ac:dyDescent="0.25">
      <c r="D6089"/>
    </row>
    <row r="6090" spans="4:4" x14ac:dyDescent="0.25">
      <c r="D6090"/>
    </row>
    <row r="6091" spans="4:4" x14ac:dyDescent="0.25">
      <c r="D6091"/>
    </row>
    <row r="6092" spans="4:4" x14ac:dyDescent="0.25">
      <c r="D6092"/>
    </row>
    <row r="6093" spans="4:4" x14ac:dyDescent="0.25">
      <c r="D6093"/>
    </row>
    <row r="6094" spans="4:4" x14ac:dyDescent="0.25">
      <c r="D6094"/>
    </row>
    <row r="6095" spans="4:4" x14ac:dyDescent="0.25">
      <c r="D6095"/>
    </row>
    <row r="6096" spans="4:4" x14ac:dyDescent="0.25">
      <c r="D6096"/>
    </row>
    <row r="6097" spans="4:4" x14ac:dyDescent="0.25">
      <c r="D6097"/>
    </row>
    <row r="6098" spans="4:4" x14ac:dyDescent="0.25">
      <c r="D6098"/>
    </row>
    <row r="6099" spans="4:4" x14ac:dyDescent="0.25">
      <c r="D6099"/>
    </row>
    <row r="6100" spans="4:4" x14ac:dyDescent="0.25">
      <c r="D6100"/>
    </row>
    <row r="6101" spans="4:4" x14ac:dyDescent="0.25">
      <c r="D6101"/>
    </row>
    <row r="6102" spans="4:4" x14ac:dyDescent="0.25">
      <c r="D6102"/>
    </row>
    <row r="6103" spans="4:4" x14ac:dyDescent="0.25">
      <c r="D6103"/>
    </row>
    <row r="6104" spans="4:4" x14ac:dyDescent="0.25">
      <c r="D6104"/>
    </row>
    <row r="6105" spans="4:4" x14ac:dyDescent="0.25">
      <c r="D6105"/>
    </row>
    <row r="6106" spans="4:4" x14ac:dyDescent="0.25">
      <c r="D6106"/>
    </row>
    <row r="6107" spans="4:4" x14ac:dyDescent="0.25">
      <c r="D6107"/>
    </row>
    <row r="6108" spans="4:4" x14ac:dyDescent="0.25">
      <c r="D6108"/>
    </row>
    <row r="6109" spans="4:4" x14ac:dyDescent="0.25">
      <c r="D6109"/>
    </row>
    <row r="6110" spans="4:4" x14ac:dyDescent="0.25">
      <c r="D6110"/>
    </row>
    <row r="6111" spans="4:4" x14ac:dyDescent="0.25">
      <c r="D6111"/>
    </row>
    <row r="6112" spans="4:4" x14ac:dyDescent="0.25">
      <c r="D6112"/>
    </row>
    <row r="6113" spans="4:4" x14ac:dyDescent="0.25">
      <c r="D6113"/>
    </row>
    <row r="6114" spans="4:4" x14ac:dyDescent="0.25">
      <c r="D6114"/>
    </row>
    <row r="6115" spans="4:4" x14ac:dyDescent="0.25">
      <c r="D6115"/>
    </row>
    <row r="6116" spans="4:4" x14ac:dyDescent="0.25">
      <c r="D6116"/>
    </row>
    <row r="6117" spans="4:4" x14ac:dyDescent="0.25">
      <c r="D6117"/>
    </row>
    <row r="6118" spans="4:4" x14ac:dyDescent="0.25">
      <c r="D6118"/>
    </row>
    <row r="6119" spans="4:4" x14ac:dyDescent="0.25">
      <c r="D6119"/>
    </row>
    <row r="6120" spans="4:4" x14ac:dyDescent="0.25">
      <c r="D6120"/>
    </row>
    <row r="6121" spans="4:4" x14ac:dyDescent="0.25">
      <c r="D6121"/>
    </row>
    <row r="6122" spans="4:4" x14ac:dyDescent="0.25">
      <c r="D6122"/>
    </row>
    <row r="6123" spans="4:4" x14ac:dyDescent="0.25">
      <c r="D6123"/>
    </row>
    <row r="6124" spans="4:4" x14ac:dyDescent="0.25">
      <c r="D6124"/>
    </row>
    <row r="6125" spans="4:4" x14ac:dyDescent="0.25">
      <c r="D6125"/>
    </row>
    <row r="6126" spans="4:4" x14ac:dyDescent="0.25">
      <c r="D6126"/>
    </row>
    <row r="6127" spans="4:4" x14ac:dyDescent="0.25">
      <c r="D6127"/>
    </row>
    <row r="6128" spans="4:4" x14ac:dyDescent="0.25">
      <c r="D6128"/>
    </row>
    <row r="6129" spans="4:4" x14ac:dyDescent="0.25">
      <c r="D6129"/>
    </row>
    <row r="6130" spans="4:4" x14ac:dyDescent="0.25">
      <c r="D6130"/>
    </row>
    <row r="6131" spans="4:4" x14ac:dyDescent="0.25">
      <c r="D6131"/>
    </row>
    <row r="6132" spans="4:4" x14ac:dyDescent="0.25">
      <c r="D6132"/>
    </row>
    <row r="6133" spans="4:4" x14ac:dyDescent="0.25">
      <c r="D6133"/>
    </row>
    <row r="6134" spans="4:4" x14ac:dyDescent="0.25">
      <c r="D6134"/>
    </row>
    <row r="6135" spans="4:4" x14ac:dyDescent="0.25">
      <c r="D6135"/>
    </row>
    <row r="6136" spans="4:4" x14ac:dyDescent="0.25">
      <c r="D6136"/>
    </row>
    <row r="6137" spans="4:4" x14ac:dyDescent="0.25">
      <c r="D6137"/>
    </row>
    <row r="6138" spans="4:4" x14ac:dyDescent="0.25">
      <c r="D6138"/>
    </row>
    <row r="6139" spans="4:4" x14ac:dyDescent="0.25">
      <c r="D6139"/>
    </row>
    <row r="6140" spans="4:4" x14ac:dyDescent="0.25">
      <c r="D6140"/>
    </row>
    <row r="6141" spans="4:4" x14ac:dyDescent="0.25">
      <c r="D6141"/>
    </row>
    <row r="6142" spans="4:4" x14ac:dyDescent="0.25">
      <c r="D6142"/>
    </row>
    <row r="6143" spans="4:4" x14ac:dyDescent="0.25">
      <c r="D6143"/>
    </row>
    <row r="6144" spans="4:4" x14ac:dyDescent="0.25">
      <c r="D6144"/>
    </row>
    <row r="6145" spans="4:4" x14ac:dyDescent="0.25">
      <c r="D6145"/>
    </row>
    <row r="6146" spans="4:4" x14ac:dyDescent="0.25">
      <c r="D6146"/>
    </row>
    <row r="6147" spans="4:4" x14ac:dyDescent="0.25">
      <c r="D6147"/>
    </row>
    <row r="6148" spans="4:4" x14ac:dyDescent="0.25">
      <c r="D6148"/>
    </row>
    <row r="6149" spans="4:4" x14ac:dyDescent="0.25">
      <c r="D6149"/>
    </row>
    <row r="6150" spans="4:4" x14ac:dyDescent="0.25">
      <c r="D6150"/>
    </row>
    <row r="6151" spans="4:4" x14ac:dyDescent="0.25">
      <c r="D6151"/>
    </row>
    <row r="6152" spans="4:4" x14ac:dyDescent="0.25">
      <c r="D6152"/>
    </row>
    <row r="6153" spans="4:4" x14ac:dyDescent="0.25">
      <c r="D6153"/>
    </row>
    <row r="6154" spans="4:4" x14ac:dyDescent="0.25">
      <c r="D6154"/>
    </row>
    <row r="6155" spans="4:4" x14ac:dyDescent="0.25">
      <c r="D6155"/>
    </row>
    <row r="6156" spans="4:4" x14ac:dyDescent="0.25">
      <c r="D6156"/>
    </row>
    <row r="6157" spans="4:4" x14ac:dyDescent="0.25">
      <c r="D6157"/>
    </row>
    <row r="6158" spans="4:4" x14ac:dyDescent="0.25">
      <c r="D6158"/>
    </row>
    <row r="6159" spans="4:4" x14ac:dyDescent="0.25">
      <c r="D6159"/>
    </row>
    <row r="6160" spans="4:4" x14ac:dyDescent="0.25">
      <c r="D6160"/>
    </row>
    <row r="6161" spans="4:4" x14ac:dyDescent="0.25">
      <c r="D6161"/>
    </row>
    <row r="6162" spans="4:4" x14ac:dyDescent="0.25">
      <c r="D6162"/>
    </row>
    <row r="6163" spans="4:4" x14ac:dyDescent="0.25">
      <c r="D6163"/>
    </row>
    <row r="6164" spans="4:4" x14ac:dyDescent="0.25">
      <c r="D6164"/>
    </row>
    <row r="6165" spans="4:4" x14ac:dyDescent="0.25">
      <c r="D6165"/>
    </row>
    <row r="6166" spans="4:4" x14ac:dyDescent="0.25">
      <c r="D6166"/>
    </row>
    <row r="6167" spans="4:4" x14ac:dyDescent="0.25">
      <c r="D6167"/>
    </row>
    <row r="6168" spans="4:4" x14ac:dyDescent="0.25">
      <c r="D6168"/>
    </row>
    <row r="6169" spans="4:4" x14ac:dyDescent="0.25">
      <c r="D6169"/>
    </row>
    <row r="6170" spans="4:4" x14ac:dyDescent="0.25">
      <c r="D6170"/>
    </row>
    <row r="6171" spans="4:4" x14ac:dyDescent="0.25">
      <c r="D6171"/>
    </row>
    <row r="6172" spans="4:4" x14ac:dyDescent="0.25">
      <c r="D6172"/>
    </row>
    <row r="6173" spans="4:4" x14ac:dyDescent="0.25">
      <c r="D6173"/>
    </row>
    <row r="6174" spans="4:4" x14ac:dyDescent="0.25">
      <c r="D6174"/>
    </row>
    <row r="6175" spans="4:4" x14ac:dyDescent="0.25">
      <c r="D6175"/>
    </row>
    <row r="6176" spans="4:4" x14ac:dyDescent="0.25">
      <c r="D6176"/>
    </row>
    <row r="6177" spans="4:4" x14ac:dyDescent="0.25">
      <c r="D6177"/>
    </row>
    <row r="6178" spans="4:4" x14ac:dyDescent="0.25">
      <c r="D6178"/>
    </row>
    <row r="6179" spans="4:4" x14ac:dyDescent="0.25">
      <c r="D6179"/>
    </row>
    <row r="6180" spans="4:4" x14ac:dyDescent="0.25">
      <c r="D6180"/>
    </row>
    <row r="6181" spans="4:4" x14ac:dyDescent="0.25">
      <c r="D6181"/>
    </row>
    <row r="6182" spans="4:4" x14ac:dyDescent="0.25">
      <c r="D6182"/>
    </row>
    <row r="6183" spans="4:4" x14ac:dyDescent="0.25">
      <c r="D6183"/>
    </row>
    <row r="6184" spans="4:4" x14ac:dyDescent="0.25">
      <c r="D6184"/>
    </row>
    <row r="6185" spans="4:4" x14ac:dyDescent="0.25">
      <c r="D6185"/>
    </row>
    <row r="6186" spans="4:4" x14ac:dyDescent="0.25">
      <c r="D6186"/>
    </row>
    <row r="6187" spans="4:4" x14ac:dyDescent="0.25">
      <c r="D6187"/>
    </row>
    <row r="6188" spans="4:4" x14ac:dyDescent="0.25">
      <c r="D6188"/>
    </row>
    <row r="6189" spans="4:4" x14ac:dyDescent="0.25">
      <c r="D6189"/>
    </row>
    <row r="6190" spans="4:4" x14ac:dyDescent="0.25">
      <c r="D6190"/>
    </row>
    <row r="6191" spans="4:4" x14ac:dyDescent="0.25">
      <c r="D6191"/>
    </row>
    <row r="6192" spans="4:4" x14ac:dyDescent="0.25">
      <c r="D6192"/>
    </row>
    <row r="6193" spans="4:4" x14ac:dyDescent="0.25">
      <c r="D6193"/>
    </row>
    <row r="6194" spans="4:4" x14ac:dyDescent="0.25">
      <c r="D6194"/>
    </row>
    <row r="6195" spans="4:4" x14ac:dyDescent="0.25">
      <c r="D6195"/>
    </row>
    <row r="6196" spans="4:4" x14ac:dyDescent="0.25">
      <c r="D6196"/>
    </row>
    <row r="6197" spans="4:4" x14ac:dyDescent="0.25">
      <c r="D6197"/>
    </row>
    <row r="6198" spans="4:4" x14ac:dyDescent="0.25">
      <c r="D6198"/>
    </row>
    <row r="6199" spans="4:4" x14ac:dyDescent="0.25">
      <c r="D6199"/>
    </row>
    <row r="6200" spans="4:4" x14ac:dyDescent="0.25">
      <c r="D6200"/>
    </row>
    <row r="6201" spans="4:4" x14ac:dyDescent="0.25">
      <c r="D6201"/>
    </row>
    <row r="6202" spans="4:4" x14ac:dyDescent="0.25">
      <c r="D6202"/>
    </row>
    <row r="6203" spans="4:4" x14ac:dyDescent="0.25">
      <c r="D6203"/>
    </row>
    <row r="6204" spans="4:4" x14ac:dyDescent="0.25">
      <c r="D6204"/>
    </row>
    <row r="6205" spans="4:4" x14ac:dyDescent="0.25">
      <c r="D6205"/>
    </row>
    <row r="6206" spans="4:4" x14ac:dyDescent="0.25">
      <c r="D6206"/>
    </row>
    <row r="6207" spans="4:4" x14ac:dyDescent="0.25">
      <c r="D6207"/>
    </row>
    <row r="6208" spans="4:4" x14ac:dyDescent="0.25">
      <c r="D6208"/>
    </row>
    <row r="6209" spans="4:4" x14ac:dyDescent="0.25">
      <c r="D6209"/>
    </row>
    <row r="6210" spans="4:4" x14ac:dyDescent="0.25">
      <c r="D6210"/>
    </row>
    <row r="6211" spans="4:4" x14ac:dyDescent="0.25">
      <c r="D6211"/>
    </row>
    <row r="6212" spans="4:4" x14ac:dyDescent="0.25">
      <c r="D6212"/>
    </row>
    <row r="6213" spans="4:4" x14ac:dyDescent="0.25">
      <c r="D6213"/>
    </row>
    <row r="6214" spans="4:4" x14ac:dyDescent="0.25">
      <c r="D6214"/>
    </row>
    <row r="6215" spans="4:4" x14ac:dyDescent="0.25">
      <c r="D6215"/>
    </row>
    <row r="6216" spans="4:4" x14ac:dyDescent="0.25">
      <c r="D6216"/>
    </row>
    <row r="6217" spans="4:4" x14ac:dyDescent="0.25">
      <c r="D6217"/>
    </row>
    <row r="6218" spans="4:4" x14ac:dyDescent="0.25">
      <c r="D6218"/>
    </row>
    <row r="6219" spans="4:4" x14ac:dyDescent="0.25">
      <c r="D6219"/>
    </row>
    <row r="6220" spans="4:4" x14ac:dyDescent="0.25">
      <c r="D6220"/>
    </row>
    <row r="6221" spans="4:4" x14ac:dyDescent="0.25">
      <c r="D6221"/>
    </row>
    <row r="6222" spans="4:4" x14ac:dyDescent="0.25">
      <c r="D6222"/>
    </row>
    <row r="6223" spans="4:4" x14ac:dyDescent="0.25">
      <c r="D6223"/>
    </row>
    <row r="6224" spans="4:4" x14ac:dyDescent="0.25">
      <c r="D6224"/>
    </row>
    <row r="6225" spans="4:4" x14ac:dyDescent="0.25">
      <c r="D6225"/>
    </row>
    <row r="6226" spans="4:4" x14ac:dyDescent="0.25">
      <c r="D6226"/>
    </row>
    <row r="6227" spans="4:4" x14ac:dyDescent="0.25">
      <c r="D6227"/>
    </row>
    <row r="6228" spans="4:4" x14ac:dyDescent="0.25">
      <c r="D6228"/>
    </row>
    <row r="6229" spans="4:4" x14ac:dyDescent="0.25">
      <c r="D6229"/>
    </row>
    <row r="6230" spans="4:4" x14ac:dyDescent="0.25">
      <c r="D6230"/>
    </row>
    <row r="6231" spans="4:4" x14ac:dyDescent="0.25">
      <c r="D6231"/>
    </row>
    <row r="6232" spans="4:4" x14ac:dyDescent="0.25">
      <c r="D6232"/>
    </row>
    <row r="6233" spans="4:4" x14ac:dyDescent="0.25">
      <c r="D6233"/>
    </row>
    <row r="6234" spans="4:4" x14ac:dyDescent="0.25">
      <c r="D6234"/>
    </row>
    <row r="6235" spans="4:4" x14ac:dyDescent="0.25">
      <c r="D6235"/>
    </row>
    <row r="6236" spans="4:4" x14ac:dyDescent="0.25">
      <c r="D6236"/>
    </row>
    <row r="6237" spans="4:4" x14ac:dyDescent="0.25">
      <c r="D6237"/>
    </row>
    <row r="6238" spans="4:4" x14ac:dyDescent="0.25">
      <c r="D6238"/>
    </row>
    <row r="6239" spans="4:4" x14ac:dyDescent="0.25">
      <c r="D6239"/>
    </row>
    <row r="6240" spans="4:4" x14ac:dyDescent="0.25">
      <c r="D6240"/>
    </row>
    <row r="6241" spans="4:4" x14ac:dyDescent="0.25">
      <c r="D6241"/>
    </row>
    <row r="6242" spans="4:4" x14ac:dyDescent="0.25">
      <c r="D6242"/>
    </row>
    <row r="6243" spans="4:4" x14ac:dyDescent="0.25">
      <c r="D6243"/>
    </row>
    <row r="6244" spans="4:4" x14ac:dyDescent="0.25">
      <c r="D6244"/>
    </row>
    <row r="6245" spans="4:4" x14ac:dyDescent="0.25">
      <c r="D6245"/>
    </row>
    <row r="6246" spans="4:4" x14ac:dyDescent="0.25">
      <c r="D6246"/>
    </row>
    <row r="6247" spans="4:4" x14ac:dyDescent="0.25">
      <c r="D6247"/>
    </row>
    <row r="6248" spans="4:4" x14ac:dyDescent="0.25">
      <c r="D6248"/>
    </row>
    <row r="6249" spans="4:4" x14ac:dyDescent="0.25">
      <c r="D6249"/>
    </row>
    <row r="6250" spans="4:4" x14ac:dyDescent="0.25">
      <c r="D6250"/>
    </row>
    <row r="6251" spans="4:4" x14ac:dyDescent="0.25">
      <c r="D6251"/>
    </row>
    <row r="6252" spans="4:4" x14ac:dyDescent="0.25">
      <c r="D6252"/>
    </row>
    <row r="6253" spans="4:4" x14ac:dyDescent="0.25">
      <c r="D6253"/>
    </row>
    <row r="6254" spans="4:4" x14ac:dyDescent="0.25">
      <c r="D6254"/>
    </row>
    <row r="6255" spans="4:4" x14ac:dyDescent="0.25">
      <c r="D6255"/>
    </row>
    <row r="6256" spans="4:4" x14ac:dyDescent="0.25">
      <c r="D6256"/>
    </row>
    <row r="6257" spans="4:4" x14ac:dyDescent="0.25">
      <c r="D6257"/>
    </row>
    <row r="6258" spans="4:4" x14ac:dyDescent="0.25">
      <c r="D6258"/>
    </row>
    <row r="6259" spans="4:4" x14ac:dyDescent="0.25">
      <c r="D6259"/>
    </row>
    <row r="6260" spans="4:4" x14ac:dyDescent="0.25">
      <c r="D6260"/>
    </row>
    <row r="6261" spans="4:4" x14ac:dyDescent="0.25">
      <c r="D6261"/>
    </row>
    <row r="6262" spans="4:4" x14ac:dyDescent="0.25">
      <c r="D6262"/>
    </row>
    <row r="6263" spans="4:4" x14ac:dyDescent="0.25">
      <c r="D6263"/>
    </row>
    <row r="6264" spans="4:4" x14ac:dyDescent="0.25">
      <c r="D6264"/>
    </row>
    <row r="6265" spans="4:4" x14ac:dyDescent="0.25">
      <c r="D6265"/>
    </row>
    <row r="6266" spans="4:4" x14ac:dyDescent="0.25">
      <c r="D6266"/>
    </row>
    <row r="6267" spans="4:4" x14ac:dyDescent="0.25">
      <c r="D6267"/>
    </row>
    <row r="6268" spans="4:4" x14ac:dyDescent="0.25">
      <c r="D6268"/>
    </row>
    <row r="6269" spans="4:4" x14ac:dyDescent="0.25">
      <c r="D6269"/>
    </row>
    <row r="6270" spans="4:4" x14ac:dyDescent="0.25">
      <c r="D6270"/>
    </row>
    <row r="6271" spans="4:4" x14ac:dyDescent="0.25">
      <c r="D6271"/>
    </row>
    <row r="6272" spans="4:4" x14ac:dyDescent="0.25">
      <c r="D6272"/>
    </row>
    <row r="6273" spans="4:4" x14ac:dyDescent="0.25">
      <c r="D6273"/>
    </row>
    <row r="6274" spans="4:4" x14ac:dyDescent="0.25">
      <c r="D6274"/>
    </row>
    <row r="6275" spans="4:4" x14ac:dyDescent="0.25">
      <c r="D6275"/>
    </row>
    <row r="6276" spans="4:4" x14ac:dyDescent="0.25">
      <c r="D6276"/>
    </row>
    <row r="6277" spans="4:4" x14ac:dyDescent="0.25">
      <c r="D6277"/>
    </row>
    <row r="6278" spans="4:4" x14ac:dyDescent="0.25">
      <c r="D6278"/>
    </row>
    <row r="6279" spans="4:4" x14ac:dyDescent="0.25">
      <c r="D6279"/>
    </row>
    <row r="6280" spans="4:4" x14ac:dyDescent="0.25">
      <c r="D6280"/>
    </row>
    <row r="6281" spans="4:4" x14ac:dyDescent="0.25">
      <c r="D6281"/>
    </row>
    <row r="6282" spans="4:4" x14ac:dyDescent="0.25">
      <c r="D6282"/>
    </row>
    <row r="6283" spans="4:4" x14ac:dyDescent="0.25">
      <c r="D6283"/>
    </row>
    <row r="6284" spans="4:4" x14ac:dyDescent="0.25">
      <c r="D6284"/>
    </row>
    <row r="6285" spans="4:4" x14ac:dyDescent="0.25">
      <c r="D6285"/>
    </row>
    <row r="6286" spans="4:4" x14ac:dyDescent="0.25">
      <c r="D6286"/>
    </row>
    <row r="6287" spans="4:4" x14ac:dyDescent="0.25">
      <c r="D6287"/>
    </row>
    <row r="6288" spans="4:4" x14ac:dyDescent="0.25">
      <c r="D6288"/>
    </row>
    <row r="6289" spans="4:4" x14ac:dyDescent="0.25">
      <c r="D6289"/>
    </row>
    <row r="6290" spans="4:4" x14ac:dyDescent="0.25">
      <c r="D6290"/>
    </row>
    <row r="6291" spans="4:4" x14ac:dyDescent="0.25">
      <c r="D6291"/>
    </row>
    <row r="6292" spans="4:4" x14ac:dyDescent="0.25">
      <c r="D6292"/>
    </row>
    <row r="6293" spans="4:4" x14ac:dyDescent="0.25">
      <c r="D6293"/>
    </row>
    <row r="6294" spans="4:4" x14ac:dyDescent="0.25">
      <c r="D6294"/>
    </row>
    <row r="6295" spans="4:4" x14ac:dyDescent="0.25">
      <c r="D6295"/>
    </row>
    <row r="6296" spans="4:4" x14ac:dyDescent="0.25">
      <c r="D6296"/>
    </row>
    <row r="6297" spans="4:4" x14ac:dyDescent="0.25">
      <c r="D6297"/>
    </row>
    <row r="6298" spans="4:4" x14ac:dyDescent="0.25">
      <c r="D6298"/>
    </row>
    <row r="6299" spans="4:4" x14ac:dyDescent="0.25">
      <c r="D6299"/>
    </row>
    <row r="6300" spans="4:4" x14ac:dyDescent="0.25">
      <c r="D6300"/>
    </row>
    <row r="6301" spans="4:4" x14ac:dyDescent="0.25">
      <c r="D6301"/>
    </row>
    <row r="6302" spans="4:4" x14ac:dyDescent="0.25">
      <c r="D6302"/>
    </row>
    <row r="6303" spans="4:4" x14ac:dyDescent="0.25">
      <c r="D6303"/>
    </row>
    <row r="6304" spans="4:4" x14ac:dyDescent="0.25">
      <c r="D6304"/>
    </row>
    <row r="6305" spans="4:4" x14ac:dyDescent="0.25">
      <c r="D6305"/>
    </row>
    <row r="6306" spans="4:4" x14ac:dyDescent="0.25">
      <c r="D6306"/>
    </row>
    <row r="6307" spans="4:4" x14ac:dyDescent="0.25">
      <c r="D6307"/>
    </row>
    <row r="6308" spans="4:4" x14ac:dyDescent="0.25">
      <c r="D6308"/>
    </row>
    <row r="6309" spans="4:4" x14ac:dyDescent="0.25">
      <c r="D6309"/>
    </row>
    <row r="6310" spans="4:4" x14ac:dyDescent="0.25">
      <c r="D6310"/>
    </row>
    <row r="6311" spans="4:4" x14ac:dyDescent="0.25">
      <c r="D6311"/>
    </row>
    <row r="6312" spans="4:4" x14ac:dyDescent="0.25">
      <c r="D6312"/>
    </row>
    <row r="6313" spans="4:4" x14ac:dyDescent="0.25">
      <c r="D6313"/>
    </row>
    <row r="6314" spans="4:4" x14ac:dyDescent="0.25">
      <c r="D6314"/>
    </row>
    <row r="6315" spans="4:4" x14ac:dyDescent="0.25">
      <c r="D6315"/>
    </row>
    <row r="6316" spans="4:4" x14ac:dyDescent="0.25">
      <c r="D6316"/>
    </row>
    <row r="6317" spans="4:4" x14ac:dyDescent="0.25">
      <c r="D6317"/>
    </row>
    <row r="6318" spans="4:4" x14ac:dyDescent="0.25">
      <c r="D6318"/>
    </row>
    <row r="6319" spans="4:4" x14ac:dyDescent="0.25">
      <c r="D6319"/>
    </row>
    <row r="6320" spans="4:4" x14ac:dyDescent="0.25">
      <c r="D6320"/>
    </row>
    <row r="6321" spans="4:4" x14ac:dyDescent="0.25">
      <c r="D6321"/>
    </row>
    <row r="6322" spans="4:4" x14ac:dyDescent="0.25">
      <c r="D6322"/>
    </row>
    <row r="6323" spans="4:4" x14ac:dyDescent="0.25">
      <c r="D6323"/>
    </row>
    <row r="6324" spans="4:4" x14ac:dyDescent="0.25">
      <c r="D6324"/>
    </row>
    <row r="6325" spans="4:4" x14ac:dyDescent="0.25">
      <c r="D6325"/>
    </row>
    <row r="6326" spans="4:4" x14ac:dyDescent="0.25">
      <c r="D6326"/>
    </row>
    <row r="6327" spans="4:4" x14ac:dyDescent="0.25">
      <c r="D6327"/>
    </row>
    <row r="6328" spans="4:4" x14ac:dyDescent="0.25">
      <c r="D6328"/>
    </row>
    <row r="6329" spans="4:4" x14ac:dyDescent="0.25">
      <c r="D6329"/>
    </row>
    <row r="6330" spans="4:4" x14ac:dyDescent="0.25">
      <c r="D6330"/>
    </row>
    <row r="6331" spans="4:4" x14ac:dyDescent="0.25">
      <c r="D6331"/>
    </row>
    <row r="6332" spans="4:4" x14ac:dyDescent="0.25">
      <c r="D6332"/>
    </row>
    <row r="6333" spans="4:4" x14ac:dyDescent="0.25">
      <c r="D6333"/>
    </row>
    <row r="6334" spans="4:4" x14ac:dyDescent="0.25">
      <c r="D6334"/>
    </row>
    <row r="6335" spans="4:4" x14ac:dyDescent="0.25">
      <c r="D6335"/>
    </row>
    <row r="6336" spans="4:4" x14ac:dyDescent="0.25">
      <c r="D6336"/>
    </row>
    <row r="6337" spans="4:4" x14ac:dyDescent="0.25">
      <c r="D6337"/>
    </row>
    <row r="6338" spans="4:4" x14ac:dyDescent="0.25">
      <c r="D6338"/>
    </row>
    <row r="6339" spans="4:4" x14ac:dyDescent="0.25">
      <c r="D6339"/>
    </row>
    <row r="6340" spans="4:4" x14ac:dyDescent="0.25">
      <c r="D6340"/>
    </row>
    <row r="6341" spans="4:4" x14ac:dyDescent="0.25">
      <c r="D6341"/>
    </row>
    <row r="6342" spans="4:4" x14ac:dyDescent="0.25">
      <c r="D6342"/>
    </row>
    <row r="6343" spans="4:4" x14ac:dyDescent="0.25">
      <c r="D6343"/>
    </row>
    <row r="6344" spans="4:4" x14ac:dyDescent="0.25">
      <c r="D6344"/>
    </row>
    <row r="6345" spans="4:4" x14ac:dyDescent="0.25">
      <c r="D6345"/>
    </row>
    <row r="6346" spans="4:4" x14ac:dyDescent="0.25">
      <c r="D6346"/>
    </row>
    <row r="6347" spans="4:4" x14ac:dyDescent="0.25">
      <c r="D6347"/>
    </row>
    <row r="6348" spans="4:4" x14ac:dyDescent="0.25">
      <c r="D6348"/>
    </row>
    <row r="6349" spans="4:4" x14ac:dyDescent="0.25">
      <c r="D6349"/>
    </row>
    <row r="6350" spans="4:4" x14ac:dyDescent="0.25">
      <c r="D6350"/>
    </row>
    <row r="6351" spans="4:4" x14ac:dyDescent="0.25">
      <c r="D6351"/>
    </row>
    <row r="6352" spans="4:4" x14ac:dyDescent="0.25">
      <c r="D6352"/>
    </row>
    <row r="6353" spans="4:4" x14ac:dyDescent="0.25">
      <c r="D6353"/>
    </row>
    <row r="6354" spans="4:4" x14ac:dyDescent="0.25">
      <c r="D6354"/>
    </row>
    <row r="6355" spans="4:4" x14ac:dyDescent="0.25">
      <c r="D6355"/>
    </row>
    <row r="6356" spans="4:4" x14ac:dyDescent="0.25">
      <c r="D6356"/>
    </row>
    <row r="6357" spans="4:4" x14ac:dyDescent="0.25">
      <c r="D6357"/>
    </row>
    <row r="6358" spans="4:4" x14ac:dyDescent="0.25">
      <c r="D6358"/>
    </row>
    <row r="6359" spans="4:4" x14ac:dyDescent="0.25">
      <c r="D6359"/>
    </row>
    <row r="6360" spans="4:4" x14ac:dyDescent="0.25">
      <c r="D6360"/>
    </row>
    <row r="6361" spans="4:4" x14ac:dyDescent="0.25">
      <c r="D6361"/>
    </row>
    <row r="6362" spans="4:4" x14ac:dyDescent="0.25">
      <c r="D6362"/>
    </row>
    <row r="6363" spans="4:4" x14ac:dyDescent="0.25">
      <c r="D6363"/>
    </row>
    <row r="6364" spans="4:4" x14ac:dyDescent="0.25">
      <c r="D6364"/>
    </row>
    <row r="6365" spans="4:4" x14ac:dyDescent="0.25">
      <c r="D6365"/>
    </row>
    <row r="6366" spans="4:4" x14ac:dyDescent="0.25">
      <c r="D6366"/>
    </row>
    <row r="6367" spans="4:4" x14ac:dyDescent="0.25">
      <c r="D6367"/>
    </row>
    <row r="6368" spans="4:4" x14ac:dyDescent="0.25">
      <c r="D6368"/>
    </row>
    <row r="6369" spans="4:4" x14ac:dyDescent="0.25">
      <c r="D6369"/>
    </row>
    <row r="6370" spans="4:4" x14ac:dyDescent="0.25">
      <c r="D6370"/>
    </row>
    <row r="6371" spans="4:4" x14ac:dyDescent="0.25">
      <c r="D6371"/>
    </row>
    <row r="6372" spans="4:4" x14ac:dyDescent="0.25">
      <c r="D6372"/>
    </row>
    <row r="6373" spans="4:4" x14ac:dyDescent="0.25">
      <c r="D6373"/>
    </row>
    <row r="6374" spans="4:4" x14ac:dyDescent="0.25">
      <c r="D6374"/>
    </row>
    <row r="6375" spans="4:4" x14ac:dyDescent="0.25">
      <c r="D6375"/>
    </row>
    <row r="6376" spans="4:4" x14ac:dyDescent="0.25">
      <c r="D6376"/>
    </row>
    <row r="6377" spans="4:4" x14ac:dyDescent="0.25">
      <c r="D6377"/>
    </row>
    <row r="6378" spans="4:4" x14ac:dyDescent="0.25">
      <c r="D6378"/>
    </row>
    <row r="6379" spans="4:4" x14ac:dyDescent="0.25">
      <c r="D6379"/>
    </row>
    <row r="6380" spans="4:4" x14ac:dyDescent="0.25">
      <c r="D6380"/>
    </row>
    <row r="6381" spans="4:4" x14ac:dyDescent="0.25">
      <c r="D6381"/>
    </row>
    <row r="6382" spans="4:4" x14ac:dyDescent="0.25">
      <c r="D6382"/>
    </row>
    <row r="6383" spans="4:4" x14ac:dyDescent="0.25">
      <c r="D6383"/>
    </row>
    <row r="6384" spans="4:4" x14ac:dyDescent="0.25">
      <c r="D6384"/>
    </row>
    <row r="6385" spans="4:4" x14ac:dyDescent="0.25">
      <c r="D6385"/>
    </row>
    <row r="6386" spans="4:4" x14ac:dyDescent="0.25">
      <c r="D6386"/>
    </row>
    <row r="6387" spans="4:4" x14ac:dyDescent="0.25">
      <c r="D6387"/>
    </row>
    <row r="6388" spans="4:4" x14ac:dyDescent="0.25">
      <c r="D6388"/>
    </row>
    <row r="6389" spans="4:4" x14ac:dyDescent="0.25">
      <c r="D6389"/>
    </row>
    <row r="6390" spans="4:4" x14ac:dyDescent="0.25">
      <c r="D6390"/>
    </row>
    <row r="6391" spans="4:4" x14ac:dyDescent="0.25">
      <c r="D6391"/>
    </row>
    <row r="6392" spans="4:4" x14ac:dyDescent="0.25">
      <c r="D6392"/>
    </row>
    <row r="6393" spans="4:4" x14ac:dyDescent="0.25">
      <c r="D6393"/>
    </row>
    <row r="6394" spans="4:4" x14ac:dyDescent="0.25">
      <c r="D6394"/>
    </row>
    <row r="6395" spans="4:4" x14ac:dyDescent="0.25">
      <c r="D6395"/>
    </row>
    <row r="6396" spans="4:4" x14ac:dyDescent="0.25">
      <c r="D6396"/>
    </row>
    <row r="6397" spans="4:4" x14ac:dyDescent="0.25">
      <c r="D6397"/>
    </row>
    <row r="6398" spans="4:4" x14ac:dyDescent="0.25">
      <c r="D6398"/>
    </row>
    <row r="6399" spans="4:4" x14ac:dyDescent="0.25">
      <c r="D6399"/>
    </row>
    <row r="6400" spans="4:4" x14ac:dyDescent="0.25">
      <c r="D6400"/>
    </row>
    <row r="6401" spans="4:4" x14ac:dyDescent="0.25">
      <c r="D6401"/>
    </row>
    <row r="6402" spans="4:4" x14ac:dyDescent="0.25">
      <c r="D6402"/>
    </row>
    <row r="6403" spans="4:4" x14ac:dyDescent="0.25">
      <c r="D6403"/>
    </row>
    <row r="6404" spans="4:4" x14ac:dyDescent="0.25">
      <c r="D6404"/>
    </row>
    <row r="6405" spans="4:4" x14ac:dyDescent="0.25">
      <c r="D6405"/>
    </row>
    <row r="6406" spans="4:4" x14ac:dyDescent="0.25">
      <c r="D6406"/>
    </row>
    <row r="6407" spans="4:4" x14ac:dyDescent="0.25">
      <c r="D6407"/>
    </row>
    <row r="6408" spans="4:4" x14ac:dyDescent="0.25">
      <c r="D6408"/>
    </row>
    <row r="6409" spans="4:4" x14ac:dyDescent="0.25">
      <c r="D6409"/>
    </row>
    <row r="6410" spans="4:4" x14ac:dyDescent="0.25">
      <c r="D6410"/>
    </row>
    <row r="6411" spans="4:4" x14ac:dyDescent="0.25">
      <c r="D6411"/>
    </row>
    <row r="6412" spans="4:4" x14ac:dyDescent="0.25">
      <c r="D6412"/>
    </row>
    <row r="6413" spans="4:4" x14ac:dyDescent="0.25">
      <c r="D6413"/>
    </row>
    <row r="6414" spans="4:4" x14ac:dyDescent="0.25">
      <c r="D6414"/>
    </row>
    <row r="6415" spans="4:4" x14ac:dyDescent="0.25">
      <c r="D6415"/>
    </row>
    <row r="6416" spans="4:4" x14ac:dyDescent="0.25">
      <c r="D6416"/>
    </row>
    <row r="6417" spans="4:4" x14ac:dyDescent="0.25">
      <c r="D6417"/>
    </row>
    <row r="6418" spans="4:4" x14ac:dyDescent="0.25">
      <c r="D6418"/>
    </row>
    <row r="6419" spans="4:4" x14ac:dyDescent="0.25">
      <c r="D6419"/>
    </row>
    <row r="6420" spans="4:4" x14ac:dyDescent="0.25">
      <c r="D6420"/>
    </row>
    <row r="6421" spans="4:4" x14ac:dyDescent="0.25">
      <c r="D6421"/>
    </row>
    <row r="6422" spans="4:4" x14ac:dyDescent="0.25">
      <c r="D6422"/>
    </row>
    <row r="6423" spans="4:4" x14ac:dyDescent="0.25">
      <c r="D6423"/>
    </row>
    <row r="6424" spans="4:4" x14ac:dyDescent="0.25">
      <c r="D6424"/>
    </row>
    <row r="6425" spans="4:4" x14ac:dyDescent="0.25">
      <c r="D6425"/>
    </row>
    <row r="6426" spans="4:4" x14ac:dyDescent="0.25">
      <c r="D6426"/>
    </row>
    <row r="6427" spans="4:4" x14ac:dyDescent="0.25">
      <c r="D6427"/>
    </row>
    <row r="6428" spans="4:4" x14ac:dyDescent="0.25">
      <c r="D6428"/>
    </row>
    <row r="6429" spans="4:4" x14ac:dyDescent="0.25">
      <c r="D6429"/>
    </row>
    <row r="6430" spans="4:4" x14ac:dyDescent="0.25">
      <c r="D6430"/>
    </row>
    <row r="6431" spans="4:4" x14ac:dyDescent="0.25">
      <c r="D6431"/>
    </row>
    <row r="6432" spans="4:4" x14ac:dyDescent="0.25">
      <c r="D6432"/>
    </row>
    <row r="6433" spans="4:4" x14ac:dyDescent="0.25">
      <c r="D6433"/>
    </row>
    <row r="6434" spans="4:4" x14ac:dyDescent="0.25">
      <c r="D6434"/>
    </row>
    <row r="6435" spans="4:4" x14ac:dyDescent="0.25">
      <c r="D6435"/>
    </row>
    <row r="6436" spans="4:4" x14ac:dyDescent="0.25">
      <c r="D6436"/>
    </row>
    <row r="6437" spans="4:4" x14ac:dyDescent="0.25">
      <c r="D6437"/>
    </row>
    <row r="6438" spans="4:4" x14ac:dyDescent="0.25">
      <c r="D6438"/>
    </row>
    <row r="6439" spans="4:4" x14ac:dyDescent="0.25">
      <c r="D6439"/>
    </row>
    <row r="6440" spans="4:4" x14ac:dyDescent="0.25">
      <c r="D6440"/>
    </row>
    <row r="6441" spans="4:4" x14ac:dyDescent="0.25">
      <c r="D6441"/>
    </row>
    <row r="6442" spans="4:4" x14ac:dyDescent="0.25">
      <c r="D6442"/>
    </row>
    <row r="6443" spans="4:4" x14ac:dyDescent="0.25">
      <c r="D6443"/>
    </row>
    <row r="6444" spans="4:4" x14ac:dyDescent="0.25">
      <c r="D6444"/>
    </row>
    <row r="6445" spans="4:4" x14ac:dyDescent="0.25">
      <c r="D6445"/>
    </row>
    <row r="6446" spans="4:4" x14ac:dyDescent="0.25">
      <c r="D6446"/>
    </row>
    <row r="6447" spans="4:4" x14ac:dyDescent="0.25">
      <c r="D6447"/>
    </row>
    <row r="6448" spans="4:4" x14ac:dyDescent="0.25">
      <c r="D6448"/>
    </row>
    <row r="6449" spans="4:4" x14ac:dyDescent="0.25">
      <c r="D6449"/>
    </row>
    <row r="6450" spans="4:4" x14ac:dyDescent="0.25">
      <c r="D6450"/>
    </row>
    <row r="6451" spans="4:4" x14ac:dyDescent="0.25">
      <c r="D6451"/>
    </row>
    <row r="6452" spans="4:4" x14ac:dyDescent="0.25">
      <c r="D6452"/>
    </row>
    <row r="6453" spans="4:4" x14ac:dyDescent="0.25">
      <c r="D6453"/>
    </row>
    <row r="6454" spans="4:4" x14ac:dyDescent="0.25">
      <c r="D6454"/>
    </row>
    <row r="6455" spans="4:4" x14ac:dyDescent="0.25">
      <c r="D6455"/>
    </row>
    <row r="6456" spans="4:4" x14ac:dyDescent="0.25">
      <c r="D6456"/>
    </row>
    <row r="6457" spans="4:4" x14ac:dyDescent="0.25">
      <c r="D6457"/>
    </row>
    <row r="6458" spans="4:4" x14ac:dyDescent="0.25">
      <c r="D6458"/>
    </row>
    <row r="6459" spans="4:4" x14ac:dyDescent="0.25">
      <c r="D6459"/>
    </row>
    <row r="6460" spans="4:4" x14ac:dyDescent="0.25">
      <c r="D6460"/>
    </row>
    <row r="6461" spans="4:4" x14ac:dyDescent="0.25">
      <c r="D6461"/>
    </row>
    <row r="6462" spans="4:4" x14ac:dyDescent="0.25">
      <c r="D6462"/>
    </row>
    <row r="6463" spans="4:4" x14ac:dyDescent="0.25">
      <c r="D6463"/>
    </row>
    <row r="6464" spans="4:4" x14ac:dyDescent="0.25">
      <c r="D6464"/>
    </row>
    <row r="6465" spans="4:4" x14ac:dyDescent="0.25">
      <c r="D6465"/>
    </row>
    <row r="6466" spans="4:4" x14ac:dyDescent="0.25">
      <c r="D6466"/>
    </row>
    <row r="6467" spans="4:4" x14ac:dyDescent="0.25">
      <c r="D6467"/>
    </row>
    <row r="6468" spans="4:4" x14ac:dyDescent="0.25">
      <c r="D6468"/>
    </row>
    <row r="6469" spans="4:4" x14ac:dyDescent="0.25">
      <c r="D6469"/>
    </row>
    <row r="6470" spans="4:4" x14ac:dyDescent="0.25">
      <c r="D6470"/>
    </row>
    <row r="6471" spans="4:4" x14ac:dyDescent="0.25">
      <c r="D6471"/>
    </row>
    <row r="6472" spans="4:4" x14ac:dyDescent="0.25">
      <c r="D6472"/>
    </row>
    <row r="6473" spans="4:4" x14ac:dyDescent="0.25">
      <c r="D6473"/>
    </row>
    <row r="6474" spans="4:4" x14ac:dyDescent="0.25">
      <c r="D6474"/>
    </row>
    <row r="6475" spans="4:4" x14ac:dyDescent="0.25">
      <c r="D6475"/>
    </row>
    <row r="6476" spans="4:4" x14ac:dyDescent="0.25">
      <c r="D6476"/>
    </row>
    <row r="6477" spans="4:4" x14ac:dyDescent="0.25">
      <c r="D6477"/>
    </row>
    <row r="6478" spans="4:4" x14ac:dyDescent="0.25">
      <c r="D6478"/>
    </row>
    <row r="6479" spans="4:4" x14ac:dyDescent="0.25">
      <c r="D6479"/>
    </row>
    <row r="6480" spans="4:4" x14ac:dyDescent="0.25">
      <c r="D6480"/>
    </row>
    <row r="6481" spans="4:4" x14ac:dyDescent="0.25">
      <c r="D6481"/>
    </row>
    <row r="6482" spans="4:4" x14ac:dyDescent="0.25">
      <c r="D6482"/>
    </row>
    <row r="6483" spans="4:4" x14ac:dyDescent="0.25">
      <c r="D6483"/>
    </row>
    <row r="6484" spans="4:4" x14ac:dyDescent="0.25">
      <c r="D6484"/>
    </row>
    <row r="6485" spans="4:4" x14ac:dyDescent="0.25">
      <c r="D6485"/>
    </row>
    <row r="6486" spans="4:4" x14ac:dyDescent="0.25">
      <c r="D6486"/>
    </row>
    <row r="6487" spans="4:4" x14ac:dyDescent="0.25">
      <c r="D6487"/>
    </row>
    <row r="6488" spans="4:4" x14ac:dyDescent="0.25">
      <c r="D6488"/>
    </row>
    <row r="6489" spans="4:4" x14ac:dyDescent="0.25">
      <c r="D6489"/>
    </row>
    <row r="6490" spans="4:4" x14ac:dyDescent="0.25">
      <c r="D6490"/>
    </row>
    <row r="6491" spans="4:4" x14ac:dyDescent="0.25">
      <c r="D6491"/>
    </row>
    <row r="6492" spans="4:4" x14ac:dyDescent="0.25">
      <c r="D6492"/>
    </row>
    <row r="6493" spans="4:4" x14ac:dyDescent="0.25">
      <c r="D6493"/>
    </row>
    <row r="6494" spans="4:4" x14ac:dyDescent="0.25">
      <c r="D6494"/>
    </row>
    <row r="6495" spans="4:4" x14ac:dyDescent="0.25">
      <c r="D6495"/>
    </row>
    <row r="6496" spans="4:4" x14ac:dyDescent="0.25">
      <c r="D6496"/>
    </row>
    <row r="6497" spans="4:4" x14ac:dyDescent="0.25">
      <c r="D6497"/>
    </row>
    <row r="6498" spans="4:4" x14ac:dyDescent="0.25">
      <c r="D6498"/>
    </row>
    <row r="6499" spans="4:4" x14ac:dyDescent="0.25">
      <c r="D6499"/>
    </row>
    <row r="6500" spans="4:4" x14ac:dyDescent="0.25">
      <c r="D6500"/>
    </row>
    <row r="6501" spans="4:4" x14ac:dyDescent="0.25">
      <c r="D6501"/>
    </row>
    <row r="6502" spans="4:4" x14ac:dyDescent="0.25">
      <c r="D6502"/>
    </row>
    <row r="6503" spans="4:4" x14ac:dyDescent="0.25">
      <c r="D6503"/>
    </row>
    <row r="6504" spans="4:4" x14ac:dyDescent="0.25">
      <c r="D6504"/>
    </row>
    <row r="6505" spans="4:4" x14ac:dyDescent="0.25">
      <c r="D6505"/>
    </row>
    <row r="6506" spans="4:4" x14ac:dyDescent="0.25">
      <c r="D6506"/>
    </row>
    <row r="6507" spans="4:4" x14ac:dyDescent="0.25">
      <c r="D6507"/>
    </row>
    <row r="6508" spans="4:4" x14ac:dyDescent="0.25">
      <c r="D6508"/>
    </row>
    <row r="6509" spans="4:4" x14ac:dyDescent="0.25">
      <c r="D6509"/>
    </row>
    <row r="6510" spans="4:4" x14ac:dyDescent="0.25">
      <c r="D6510"/>
    </row>
    <row r="6511" spans="4:4" x14ac:dyDescent="0.25">
      <c r="D6511"/>
    </row>
    <row r="6512" spans="4:4" x14ac:dyDescent="0.25">
      <c r="D6512"/>
    </row>
    <row r="6513" spans="4:4" x14ac:dyDescent="0.25">
      <c r="D6513"/>
    </row>
    <row r="6514" spans="4:4" x14ac:dyDescent="0.25">
      <c r="D6514"/>
    </row>
    <row r="6515" spans="4:4" x14ac:dyDescent="0.25">
      <c r="D6515"/>
    </row>
    <row r="6516" spans="4:4" x14ac:dyDescent="0.25">
      <c r="D6516"/>
    </row>
    <row r="6517" spans="4:4" x14ac:dyDescent="0.25">
      <c r="D6517"/>
    </row>
    <row r="6518" spans="4:4" x14ac:dyDescent="0.25">
      <c r="D6518"/>
    </row>
    <row r="6519" spans="4:4" x14ac:dyDescent="0.25">
      <c r="D6519"/>
    </row>
    <row r="6520" spans="4:4" x14ac:dyDescent="0.25">
      <c r="D6520"/>
    </row>
    <row r="6521" spans="4:4" x14ac:dyDescent="0.25">
      <c r="D6521"/>
    </row>
    <row r="6522" spans="4:4" x14ac:dyDescent="0.25">
      <c r="D6522"/>
    </row>
    <row r="6523" spans="4:4" x14ac:dyDescent="0.25">
      <c r="D6523"/>
    </row>
    <row r="6524" spans="4:4" x14ac:dyDescent="0.25">
      <c r="D6524"/>
    </row>
    <row r="6525" spans="4:4" x14ac:dyDescent="0.25">
      <c r="D6525"/>
    </row>
    <row r="6526" spans="4:4" x14ac:dyDescent="0.25">
      <c r="D6526"/>
    </row>
    <row r="6527" spans="4:4" x14ac:dyDescent="0.25">
      <c r="D6527"/>
    </row>
    <row r="6528" spans="4:4" x14ac:dyDescent="0.25">
      <c r="D6528"/>
    </row>
    <row r="6529" spans="4:4" x14ac:dyDescent="0.25">
      <c r="D6529"/>
    </row>
    <row r="6530" spans="4:4" x14ac:dyDescent="0.25">
      <c r="D6530"/>
    </row>
    <row r="6531" spans="4:4" x14ac:dyDescent="0.25">
      <c r="D6531"/>
    </row>
    <row r="6532" spans="4:4" x14ac:dyDescent="0.25">
      <c r="D6532"/>
    </row>
    <row r="6533" spans="4:4" x14ac:dyDescent="0.25">
      <c r="D6533"/>
    </row>
    <row r="6534" spans="4:4" x14ac:dyDescent="0.25">
      <c r="D6534"/>
    </row>
    <row r="6535" spans="4:4" x14ac:dyDescent="0.25">
      <c r="D6535"/>
    </row>
    <row r="6536" spans="4:4" x14ac:dyDescent="0.25">
      <c r="D6536"/>
    </row>
    <row r="6537" spans="4:4" x14ac:dyDescent="0.25">
      <c r="D6537"/>
    </row>
    <row r="6538" spans="4:4" x14ac:dyDescent="0.25">
      <c r="D6538"/>
    </row>
    <row r="6539" spans="4:4" x14ac:dyDescent="0.25">
      <c r="D6539"/>
    </row>
    <row r="6540" spans="4:4" x14ac:dyDescent="0.25">
      <c r="D6540"/>
    </row>
    <row r="6541" spans="4:4" x14ac:dyDescent="0.25">
      <c r="D6541"/>
    </row>
    <row r="6542" spans="4:4" x14ac:dyDescent="0.25">
      <c r="D6542"/>
    </row>
    <row r="6543" spans="4:4" x14ac:dyDescent="0.25">
      <c r="D6543"/>
    </row>
    <row r="6544" spans="4:4" x14ac:dyDescent="0.25">
      <c r="D6544"/>
    </row>
    <row r="6545" spans="4:4" x14ac:dyDescent="0.25">
      <c r="D6545"/>
    </row>
    <row r="6546" spans="4:4" x14ac:dyDescent="0.25">
      <c r="D6546"/>
    </row>
    <row r="6547" spans="4:4" x14ac:dyDescent="0.25">
      <c r="D6547"/>
    </row>
    <row r="6548" spans="4:4" x14ac:dyDescent="0.25">
      <c r="D6548"/>
    </row>
    <row r="6549" spans="4:4" x14ac:dyDescent="0.25">
      <c r="D6549"/>
    </row>
    <row r="6550" spans="4:4" x14ac:dyDescent="0.25">
      <c r="D6550"/>
    </row>
    <row r="6551" spans="4:4" x14ac:dyDescent="0.25">
      <c r="D6551"/>
    </row>
    <row r="6552" spans="4:4" x14ac:dyDescent="0.25">
      <c r="D6552"/>
    </row>
    <row r="6553" spans="4:4" x14ac:dyDescent="0.25">
      <c r="D6553"/>
    </row>
    <row r="6554" spans="4:4" x14ac:dyDescent="0.25">
      <c r="D6554"/>
    </row>
    <row r="6555" spans="4:4" x14ac:dyDescent="0.25">
      <c r="D6555"/>
    </row>
    <row r="6556" spans="4:4" x14ac:dyDescent="0.25">
      <c r="D6556"/>
    </row>
    <row r="6557" spans="4:4" x14ac:dyDescent="0.25">
      <c r="D6557"/>
    </row>
    <row r="6558" spans="4:4" x14ac:dyDescent="0.25">
      <c r="D6558"/>
    </row>
    <row r="6559" spans="4:4" x14ac:dyDescent="0.25">
      <c r="D6559"/>
    </row>
    <row r="6560" spans="4:4" x14ac:dyDescent="0.25">
      <c r="D6560"/>
    </row>
    <row r="6561" spans="4:4" x14ac:dyDescent="0.25">
      <c r="D6561"/>
    </row>
    <row r="6562" spans="4:4" x14ac:dyDescent="0.25">
      <c r="D6562"/>
    </row>
    <row r="6563" spans="4:4" x14ac:dyDescent="0.25">
      <c r="D6563"/>
    </row>
    <row r="6564" spans="4:4" x14ac:dyDescent="0.25">
      <c r="D6564"/>
    </row>
    <row r="6565" spans="4:4" x14ac:dyDescent="0.25">
      <c r="D6565"/>
    </row>
    <row r="6566" spans="4:4" x14ac:dyDescent="0.25">
      <c r="D6566"/>
    </row>
    <row r="6567" spans="4:4" x14ac:dyDescent="0.25">
      <c r="D6567"/>
    </row>
    <row r="6568" spans="4:4" x14ac:dyDescent="0.25">
      <c r="D6568"/>
    </row>
    <row r="6569" spans="4:4" x14ac:dyDescent="0.25">
      <c r="D6569"/>
    </row>
    <row r="6570" spans="4:4" x14ac:dyDescent="0.25">
      <c r="D6570"/>
    </row>
    <row r="6571" spans="4:4" x14ac:dyDescent="0.25">
      <c r="D6571"/>
    </row>
    <row r="6572" spans="4:4" x14ac:dyDescent="0.25">
      <c r="D6572"/>
    </row>
    <row r="6573" spans="4:4" x14ac:dyDescent="0.25">
      <c r="D6573"/>
    </row>
    <row r="6574" spans="4:4" x14ac:dyDescent="0.25">
      <c r="D6574"/>
    </row>
    <row r="6575" spans="4:4" x14ac:dyDescent="0.25">
      <c r="D6575"/>
    </row>
    <row r="6576" spans="4:4" x14ac:dyDescent="0.25">
      <c r="D6576"/>
    </row>
    <row r="6577" spans="4:4" x14ac:dyDescent="0.25">
      <c r="D6577"/>
    </row>
    <row r="6578" spans="4:4" x14ac:dyDescent="0.25">
      <c r="D6578"/>
    </row>
    <row r="6579" spans="4:4" x14ac:dyDescent="0.25">
      <c r="D6579"/>
    </row>
    <row r="6580" spans="4:4" x14ac:dyDescent="0.25">
      <c r="D6580"/>
    </row>
    <row r="6581" spans="4:4" x14ac:dyDescent="0.25">
      <c r="D6581"/>
    </row>
    <row r="6582" spans="4:4" x14ac:dyDescent="0.25">
      <c r="D6582"/>
    </row>
    <row r="6583" spans="4:4" x14ac:dyDescent="0.25">
      <c r="D6583"/>
    </row>
    <row r="6584" spans="4:4" x14ac:dyDescent="0.25">
      <c r="D6584"/>
    </row>
    <row r="6585" spans="4:4" x14ac:dyDescent="0.25">
      <c r="D6585"/>
    </row>
    <row r="6586" spans="4:4" x14ac:dyDescent="0.25">
      <c r="D6586"/>
    </row>
    <row r="6587" spans="4:4" x14ac:dyDescent="0.25">
      <c r="D6587"/>
    </row>
    <row r="6588" spans="4:4" x14ac:dyDescent="0.25">
      <c r="D6588"/>
    </row>
    <row r="6589" spans="4:4" x14ac:dyDescent="0.25">
      <c r="D6589"/>
    </row>
    <row r="6590" spans="4:4" x14ac:dyDescent="0.25">
      <c r="D6590"/>
    </row>
    <row r="6591" spans="4:4" x14ac:dyDescent="0.25">
      <c r="D6591"/>
    </row>
    <row r="6592" spans="4:4" x14ac:dyDescent="0.25">
      <c r="D6592"/>
    </row>
    <row r="6593" spans="4:4" x14ac:dyDescent="0.25">
      <c r="D6593"/>
    </row>
    <row r="6594" spans="4:4" x14ac:dyDescent="0.25">
      <c r="D6594"/>
    </row>
    <row r="6595" spans="4:4" x14ac:dyDescent="0.25">
      <c r="D6595"/>
    </row>
    <row r="6596" spans="4:4" x14ac:dyDescent="0.25">
      <c r="D6596"/>
    </row>
    <row r="6597" spans="4:4" x14ac:dyDescent="0.25">
      <c r="D6597"/>
    </row>
    <row r="6598" spans="4:4" x14ac:dyDescent="0.25">
      <c r="D6598"/>
    </row>
    <row r="6599" spans="4:4" x14ac:dyDescent="0.25">
      <c r="D6599"/>
    </row>
    <row r="6600" spans="4:4" x14ac:dyDescent="0.25">
      <c r="D6600"/>
    </row>
    <row r="6601" spans="4:4" x14ac:dyDescent="0.25">
      <c r="D6601"/>
    </row>
    <row r="6602" spans="4:4" x14ac:dyDescent="0.25">
      <c r="D6602"/>
    </row>
    <row r="6603" spans="4:4" x14ac:dyDescent="0.25">
      <c r="D6603"/>
    </row>
    <row r="6604" spans="4:4" x14ac:dyDescent="0.25">
      <c r="D6604"/>
    </row>
    <row r="6605" spans="4:4" x14ac:dyDescent="0.25">
      <c r="D6605"/>
    </row>
    <row r="6606" spans="4:4" x14ac:dyDescent="0.25">
      <c r="D6606"/>
    </row>
    <row r="6607" spans="4:4" x14ac:dyDescent="0.25">
      <c r="D6607"/>
    </row>
    <row r="6608" spans="4:4" x14ac:dyDescent="0.25">
      <c r="D6608"/>
    </row>
    <row r="6609" spans="4:4" x14ac:dyDescent="0.25">
      <c r="D6609"/>
    </row>
    <row r="6610" spans="4:4" x14ac:dyDescent="0.25">
      <c r="D6610"/>
    </row>
    <row r="6611" spans="4:4" x14ac:dyDescent="0.25">
      <c r="D6611"/>
    </row>
    <row r="6612" spans="4:4" x14ac:dyDescent="0.25">
      <c r="D6612"/>
    </row>
    <row r="6613" spans="4:4" x14ac:dyDescent="0.25">
      <c r="D6613"/>
    </row>
    <row r="6614" spans="4:4" x14ac:dyDescent="0.25">
      <c r="D6614"/>
    </row>
    <row r="6615" spans="4:4" x14ac:dyDescent="0.25">
      <c r="D6615"/>
    </row>
    <row r="6616" spans="4:4" x14ac:dyDescent="0.25">
      <c r="D6616"/>
    </row>
    <row r="6617" spans="4:4" x14ac:dyDescent="0.25">
      <c r="D6617"/>
    </row>
    <row r="6618" spans="4:4" x14ac:dyDescent="0.25">
      <c r="D6618"/>
    </row>
    <row r="6619" spans="4:4" x14ac:dyDescent="0.25">
      <c r="D6619"/>
    </row>
    <row r="6620" spans="4:4" x14ac:dyDescent="0.25">
      <c r="D6620"/>
    </row>
    <row r="6621" spans="4:4" x14ac:dyDescent="0.25">
      <c r="D6621"/>
    </row>
    <row r="6622" spans="4:4" x14ac:dyDescent="0.25">
      <c r="D6622"/>
    </row>
    <row r="6623" spans="4:4" x14ac:dyDescent="0.25">
      <c r="D6623"/>
    </row>
    <row r="6624" spans="4:4" x14ac:dyDescent="0.25">
      <c r="D6624"/>
    </row>
    <row r="6625" spans="4:4" x14ac:dyDescent="0.25">
      <c r="D6625"/>
    </row>
    <row r="6626" spans="4:4" x14ac:dyDescent="0.25">
      <c r="D6626"/>
    </row>
    <row r="6627" spans="4:4" x14ac:dyDescent="0.25">
      <c r="D6627"/>
    </row>
    <row r="6628" spans="4:4" x14ac:dyDescent="0.25">
      <c r="D6628"/>
    </row>
    <row r="6629" spans="4:4" x14ac:dyDescent="0.25">
      <c r="D6629"/>
    </row>
    <row r="6630" spans="4:4" x14ac:dyDescent="0.25">
      <c r="D6630"/>
    </row>
    <row r="6631" spans="4:4" x14ac:dyDescent="0.25">
      <c r="D6631"/>
    </row>
    <row r="6632" spans="4:4" x14ac:dyDescent="0.25">
      <c r="D6632"/>
    </row>
    <row r="6633" spans="4:4" x14ac:dyDescent="0.25">
      <c r="D6633"/>
    </row>
    <row r="6634" spans="4:4" x14ac:dyDescent="0.25">
      <c r="D6634"/>
    </row>
    <row r="6635" spans="4:4" x14ac:dyDescent="0.25">
      <c r="D6635"/>
    </row>
    <row r="6636" spans="4:4" x14ac:dyDescent="0.25">
      <c r="D6636"/>
    </row>
    <row r="6637" spans="4:4" x14ac:dyDescent="0.25">
      <c r="D6637"/>
    </row>
    <row r="6638" spans="4:4" x14ac:dyDescent="0.25">
      <c r="D6638"/>
    </row>
    <row r="6639" spans="4:4" x14ac:dyDescent="0.25">
      <c r="D6639"/>
    </row>
    <row r="6640" spans="4:4" x14ac:dyDescent="0.25">
      <c r="D6640"/>
    </row>
    <row r="6641" spans="4:4" x14ac:dyDescent="0.25">
      <c r="D6641"/>
    </row>
    <row r="6642" spans="4:4" x14ac:dyDescent="0.25">
      <c r="D6642"/>
    </row>
    <row r="6643" spans="4:4" x14ac:dyDescent="0.25">
      <c r="D6643"/>
    </row>
    <row r="6644" spans="4:4" x14ac:dyDescent="0.25">
      <c r="D6644"/>
    </row>
    <row r="6645" spans="4:4" x14ac:dyDescent="0.25">
      <c r="D6645"/>
    </row>
    <row r="6646" spans="4:4" x14ac:dyDescent="0.25">
      <c r="D6646"/>
    </row>
    <row r="6647" spans="4:4" x14ac:dyDescent="0.25">
      <c r="D6647"/>
    </row>
    <row r="6648" spans="4:4" x14ac:dyDescent="0.25">
      <c r="D6648"/>
    </row>
    <row r="6649" spans="4:4" x14ac:dyDescent="0.25">
      <c r="D6649"/>
    </row>
    <row r="6650" spans="4:4" x14ac:dyDescent="0.25">
      <c r="D6650"/>
    </row>
    <row r="6651" spans="4:4" x14ac:dyDescent="0.25">
      <c r="D6651"/>
    </row>
    <row r="6652" spans="4:4" x14ac:dyDescent="0.25">
      <c r="D6652"/>
    </row>
    <row r="6653" spans="4:4" x14ac:dyDescent="0.25">
      <c r="D6653"/>
    </row>
    <row r="6654" spans="4:4" x14ac:dyDescent="0.25">
      <c r="D6654"/>
    </row>
    <row r="6655" spans="4:4" x14ac:dyDescent="0.25">
      <c r="D6655"/>
    </row>
    <row r="6656" spans="4:4" x14ac:dyDescent="0.25">
      <c r="D6656"/>
    </row>
    <row r="6657" spans="4:4" x14ac:dyDescent="0.25">
      <c r="D6657"/>
    </row>
    <row r="6658" spans="4:4" x14ac:dyDescent="0.25">
      <c r="D6658"/>
    </row>
    <row r="6659" spans="4:4" x14ac:dyDescent="0.25">
      <c r="D6659"/>
    </row>
    <row r="6660" spans="4:4" x14ac:dyDescent="0.25">
      <c r="D6660"/>
    </row>
    <row r="6661" spans="4:4" x14ac:dyDescent="0.25">
      <c r="D6661"/>
    </row>
    <row r="6662" spans="4:4" x14ac:dyDescent="0.25">
      <c r="D6662"/>
    </row>
    <row r="6663" spans="4:4" x14ac:dyDescent="0.25">
      <c r="D6663"/>
    </row>
    <row r="6664" spans="4:4" x14ac:dyDescent="0.25">
      <c r="D6664"/>
    </row>
    <row r="6665" spans="4:4" x14ac:dyDescent="0.25">
      <c r="D6665"/>
    </row>
    <row r="6666" spans="4:4" x14ac:dyDescent="0.25">
      <c r="D6666"/>
    </row>
    <row r="6667" spans="4:4" x14ac:dyDescent="0.25">
      <c r="D6667"/>
    </row>
    <row r="6668" spans="4:4" x14ac:dyDescent="0.25">
      <c r="D6668"/>
    </row>
    <row r="6669" spans="4:4" x14ac:dyDescent="0.25">
      <c r="D6669"/>
    </row>
    <row r="6670" spans="4:4" x14ac:dyDescent="0.25">
      <c r="D6670"/>
    </row>
    <row r="6671" spans="4:4" x14ac:dyDescent="0.25">
      <c r="D6671"/>
    </row>
    <row r="6672" spans="4:4" x14ac:dyDescent="0.25">
      <c r="D6672"/>
    </row>
    <row r="6673" spans="4:4" x14ac:dyDescent="0.25">
      <c r="D6673"/>
    </row>
    <row r="6674" spans="4:4" x14ac:dyDescent="0.25">
      <c r="D6674"/>
    </row>
    <row r="6675" spans="4:4" x14ac:dyDescent="0.25">
      <c r="D6675"/>
    </row>
    <row r="6676" spans="4:4" x14ac:dyDescent="0.25">
      <c r="D6676"/>
    </row>
    <row r="6677" spans="4:4" x14ac:dyDescent="0.25">
      <c r="D6677"/>
    </row>
    <row r="6678" spans="4:4" x14ac:dyDescent="0.25">
      <c r="D6678"/>
    </row>
    <row r="6679" spans="4:4" x14ac:dyDescent="0.25">
      <c r="D6679"/>
    </row>
    <row r="6680" spans="4:4" x14ac:dyDescent="0.25">
      <c r="D6680"/>
    </row>
    <row r="6681" spans="4:4" x14ac:dyDescent="0.25">
      <c r="D6681"/>
    </row>
    <row r="6682" spans="4:4" x14ac:dyDescent="0.25">
      <c r="D6682"/>
    </row>
    <row r="6683" spans="4:4" x14ac:dyDescent="0.25">
      <c r="D6683"/>
    </row>
    <row r="6684" spans="4:4" x14ac:dyDescent="0.25">
      <c r="D6684"/>
    </row>
    <row r="6685" spans="4:4" x14ac:dyDescent="0.25">
      <c r="D6685"/>
    </row>
    <row r="6686" spans="4:4" x14ac:dyDescent="0.25">
      <c r="D6686"/>
    </row>
    <row r="6687" spans="4:4" x14ac:dyDescent="0.25">
      <c r="D6687"/>
    </row>
    <row r="6688" spans="4:4" x14ac:dyDescent="0.25">
      <c r="D6688"/>
    </row>
    <row r="6689" spans="4:4" x14ac:dyDescent="0.25">
      <c r="D6689"/>
    </row>
    <row r="6690" spans="4:4" x14ac:dyDescent="0.25">
      <c r="D6690"/>
    </row>
    <row r="6691" spans="4:4" x14ac:dyDescent="0.25">
      <c r="D6691"/>
    </row>
    <row r="6692" spans="4:4" x14ac:dyDescent="0.25">
      <c r="D6692"/>
    </row>
    <row r="6693" spans="4:4" x14ac:dyDescent="0.25">
      <c r="D6693"/>
    </row>
    <row r="6694" spans="4:4" x14ac:dyDescent="0.25">
      <c r="D6694"/>
    </row>
    <row r="6695" spans="4:4" x14ac:dyDescent="0.25">
      <c r="D6695"/>
    </row>
    <row r="6696" spans="4:4" x14ac:dyDescent="0.25">
      <c r="D6696"/>
    </row>
    <row r="6697" spans="4:4" x14ac:dyDescent="0.25">
      <c r="D6697"/>
    </row>
    <row r="6698" spans="4:4" x14ac:dyDescent="0.25">
      <c r="D6698"/>
    </row>
    <row r="6699" spans="4:4" x14ac:dyDescent="0.25">
      <c r="D6699"/>
    </row>
    <row r="6700" spans="4:4" x14ac:dyDescent="0.25">
      <c r="D6700"/>
    </row>
    <row r="6701" spans="4:4" x14ac:dyDescent="0.25">
      <c r="D6701"/>
    </row>
    <row r="6702" spans="4:4" x14ac:dyDescent="0.25">
      <c r="D6702"/>
    </row>
    <row r="6703" spans="4:4" x14ac:dyDescent="0.25">
      <c r="D6703"/>
    </row>
    <row r="6704" spans="4:4" x14ac:dyDescent="0.25">
      <c r="D6704"/>
    </row>
    <row r="6705" spans="4:4" x14ac:dyDescent="0.25">
      <c r="D6705"/>
    </row>
    <row r="6706" spans="4:4" x14ac:dyDescent="0.25">
      <c r="D6706"/>
    </row>
    <row r="6707" spans="4:4" x14ac:dyDescent="0.25">
      <c r="D6707"/>
    </row>
    <row r="6708" spans="4:4" x14ac:dyDescent="0.25">
      <c r="D6708"/>
    </row>
    <row r="6709" spans="4:4" x14ac:dyDescent="0.25">
      <c r="D6709"/>
    </row>
    <row r="6710" spans="4:4" x14ac:dyDescent="0.25">
      <c r="D6710"/>
    </row>
    <row r="6711" spans="4:4" x14ac:dyDescent="0.25">
      <c r="D6711"/>
    </row>
    <row r="6712" spans="4:4" x14ac:dyDescent="0.25">
      <c r="D6712"/>
    </row>
    <row r="6713" spans="4:4" x14ac:dyDescent="0.25">
      <c r="D6713"/>
    </row>
    <row r="6714" spans="4:4" x14ac:dyDescent="0.25">
      <c r="D6714"/>
    </row>
    <row r="6715" spans="4:4" x14ac:dyDescent="0.25">
      <c r="D6715"/>
    </row>
    <row r="6716" spans="4:4" x14ac:dyDescent="0.25">
      <c r="D6716"/>
    </row>
    <row r="6717" spans="4:4" x14ac:dyDescent="0.25">
      <c r="D6717"/>
    </row>
    <row r="6718" spans="4:4" x14ac:dyDescent="0.25">
      <c r="D6718"/>
    </row>
    <row r="6719" spans="4:4" x14ac:dyDescent="0.25">
      <c r="D6719"/>
    </row>
    <row r="6720" spans="4:4" x14ac:dyDescent="0.25">
      <c r="D6720"/>
    </row>
    <row r="6721" spans="4:4" x14ac:dyDescent="0.25">
      <c r="D6721"/>
    </row>
    <row r="6722" spans="4:4" x14ac:dyDescent="0.25">
      <c r="D6722"/>
    </row>
    <row r="6723" spans="4:4" x14ac:dyDescent="0.25">
      <c r="D6723"/>
    </row>
    <row r="6724" spans="4:4" x14ac:dyDescent="0.25">
      <c r="D6724"/>
    </row>
    <row r="6725" spans="4:4" x14ac:dyDescent="0.25">
      <c r="D6725"/>
    </row>
    <row r="6726" spans="4:4" x14ac:dyDescent="0.25">
      <c r="D6726"/>
    </row>
    <row r="6727" spans="4:4" x14ac:dyDescent="0.25">
      <c r="D6727"/>
    </row>
    <row r="6728" spans="4:4" x14ac:dyDescent="0.25">
      <c r="D6728"/>
    </row>
    <row r="6729" spans="4:4" x14ac:dyDescent="0.25">
      <c r="D6729"/>
    </row>
    <row r="6730" spans="4:4" x14ac:dyDescent="0.25">
      <c r="D6730"/>
    </row>
    <row r="6731" spans="4:4" x14ac:dyDescent="0.25">
      <c r="D6731"/>
    </row>
    <row r="6732" spans="4:4" x14ac:dyDescent="0.25">
      <c r="D6732"/>
    </row>
    <row r="6733" spans="4:4" x14ac:dyDescent="0.25">
      <c r="D6733"/>
    </row>
    <row r="6734" spans="4:4" x14ac:dyDescent="0.25">
      <c r="D6734"/>
    </row>
    <row r="6735" spans="4:4" x14ac:dyDescent="0.25">
      <c r="D6735"/>
    </row>
    <row r="6736" spans="4:4" x14ac:dyDescent="0.25">
      <c r="D6736"/>
    </row>
    <row r="6737" spans="4:4" x14ac:dyDescent="0.25">
      <c r="D6737"/>
    </row>
    <row r="6738" spans="4:4" x14ac:dyDescent="0.25">
      <c r="D6738"/>
    </row>
    <row r="6739" spans="4:4" x14ac:dyDescent="0.25">
      <c r="D6739"/>
    </row>
    <row r="6740" spans="4:4" x14ac:dyDescent="0.25">
      <c r="D6740"/>
    </row>
    <row r="6741" spans="4:4" x14ac:dyDescent="0.25">
      <c r="D6741"/>
    </row>
    <row r="6742" spans="4:4" x14ac:dyDescent="0.25">
      <c r="D6742"/>
    </row>
    <row r="6743" spans="4:4" x14ac:dyDescent="0.25">
      <c r="D6743"/>
    </row>
    <row r="6744" spans="4:4" x14ac:dyDescent="0.25">
      <c r="D6744"/>
    </row>
    <row r="6745" spans="4:4" x14ac:dyDescent="0.25">
      <c r="D6745"/>
    </row>
    <row r="6746" spans="4:4" x14ac:dyDescent="0.25">
      <c r="D6746"/>
    </row>
    <row r="6747" spans="4:4" x14ac:dyDescent="0.25">
      <c r="D6747"/>
    </row>
    <row r="6748" spans="4:4" x14ac:dyDescent="0.25">
      <c r="D6748"/>
    </row>
    <row r="6749" spans="4:4" x14ac:dyDescent="0.25">
      <c r="D6749"/>
    </row>
    <row r="6750" spans="4:4" x14ac:dyDescent="0.25">
      <c r="D6750"/>
    </row>
    <row r="6751" spans="4:4" x14ac:dyDescent="0.25">
      <c r="D6751"/>
    </row>
    <row r="6752" spans="4:4" x14ac:dyDescent="0.25">
      <c r="D6752"/>
    </row>
    <row r="6753" spans="4:4" x14ac:dyDescent="0.25">
      <c r="D6753"/>
    </row>
    <row r="6754" spans="4:4" x14ac:dyDescent="0.25">
      <c r="D6754"/>
    </row>
    <row r="6755" spans="4:4" x14ac:dyDescent="0.25">
      <c r="D6755"/>
    </row>
    <row r="6756" spans="4:4" x14ac:dyDescent="0.25">
      <c r="D6756"/>
    </row>
    <row r="6757" spans="4:4" x14ac:dyDescent="0.25">
      <c r="D6757"/>
    </row>
    <row r="6758" spans="4:4" x14ac:dyDescent="0.25">
      <c r="D6758"/>
    </row>
    <row r="6759" spans="4:4" x14ac:dyDescent="0.25">
      <c r="D6759"/>
    </row>
    <row r="6760" spans="4:4" x14ac:dyDescent="0.25">
      <c r="D6760"/>
    </row>
    <row r="6761" spans="4:4" x14ac:dyDescent="0.25">
      <c r="D6761"/>
    </row>
    <row r="6762" spans="4:4" x14ac:dyDescent="0.25">
      <c r="D6762"/>
    </row>
    <row r="6763" spans="4:4" x14ac:dyDescent="0.25">
      <c r="D6763"/>
    </row>
    <row r="6764" spans="4:4" x14ac:dyDescent="0.25">
      <c r="D6764"/>
    </row>
    <row r="6765" spans="4:4" x14ac:dyDescent="0.25">
      <c r="D6765"/>
    </row>
    <row r="6766" spans="4:4" x14ac:dyDescent="0.25">
      <c r="D6766"/>
    </row>
    <row r="6767" spans="4:4" x14ac:dyDescent="0.25">
      <c r="D6767"/>
    </row>
    <row r="6768" spans="4:4" x14ac:dyDescent="0.25">
      <c r="D6768"/>
    </row>
    <row r="6769" spans="4:4" x14ac:dyDescent="0.25">
      <c r="D6769"/>
    </row>
    <row r="6770" spans="4:4" x14ac:dyDescent="0.25">
      <c r="D6770"/>
    </row>
    <row r="6771" spans="4:4" x14ac:dyDescent="0.25">
      <c r="D6771"/>
    </row>
    <row r="6772" spans="4:4" x14ac:dyDescent="0.25">
      <c r="D6772"/>
    </row>
    <row r="6773" spans="4:4" x14ac:dyDescent="0.25">
      <c r="D6773"/>
    </row>
    <row r="6774" spans="4:4" x14ac:dyDescent="0.25">
      <c r="D6774"/>
    </row>
    <row r="6775" spans="4:4" x14ac:dyDescent="0.25">
      <c r="D6775"/>
    </row>
    <row r="6776" spans="4:4" x14ac:dyDescent="0.25">
      <c r="D6776"/>
    </row>
    <row r="6777" spans="4:4" x14ac:dyDescent="0.25">
      <c r="D6777"/>
    </row>
    <row r="6778" spans="4:4" x14ac:dyDescent="0.25">
      <c r="D6778"/>
    </row>
    <row r="6779" spans="4:4" x14ac:dyDescent="0.25">
      <c r="D6779"/>
    </row>
    <row r="6780" spans="4:4" x14ac:dyDescent="0.25">
      <c r="D6780"/>
    </row>
    <row r="6781" spans="4:4" x14ac:dyDescent="0.25">
      <c r="D6781"/>
    </row>
    <row r="6782" spans="4:4" x14ac:dyDescent="0.25">
      <c r="D6782"/>
    </row>
    <row r="6783" spans="4:4" x14ac:dyDescent="0.25">
      <c r="D6783"/>
    </row>
    <row r="6784" spans="4:4" x14ac:dyDescent="0.25">
      <c r="D6784"/>
    </row>
    <row r="6785" spans="4:4" x14ac:dyDescent="0.25">
      <c r="D6785"/>
    </row>
    <row r="6786" spans="4:4" x14ac:dyDescent="0.25">
      <c r="D6786"/>
    </row>
    <row r="6787" spans="4:4" x14ac:dyDescent="0.25">
      <c r="D6787"/>
    </row>
    <row r="6788" spans="4:4" x14ac:dyDescent="0.25">
      <c r="D6788"/>
    </row>
    <row r="6789" spans="4:4" x14ac:dyDescent="0.25">
      <c r="D6789"/>
    </row>
    <row r="6790" spans="4:4" x14ac:dyDescent="0.25">
      <c r="D6790"/>
    </row>
    <row r="6791" spans="4:4" x14ac:dyDescent="0.25">
      <c r="D6791"/>
    </row>
    <row r="6792" spans="4:4" x14ac:dyDescent="0.25">
      <c r="D6792"/>
    </row>
    <row r="6793" spans="4:4" x14ac:dyDescent="0.25">
      <c r="D6793"/>
    </row>
    <row r="6794" spans="4:4" x14ac:dyDescent="0.25">
      <c r="D6794"/>
    </row>
    <row r="6795" spans="4:4" x14ac:dyDescent="0.25">
      <c r="D6795"/>
    </row>
    <row r="6796" spans="4:4" x14ac:dyDescent="0.25">
      <c r="D6796"/>
    </row>
    <row r="6797" spans="4:4" x14ac:dyDescent="0.25">
      <c r="D6797"/>
    </row>
    <row r="6798" spans="4:4" x14ac:dyDescent="0.25">
      <c r="D6798"/>
    </row>
    <row r="6799" spans="4:4" x14ac:dyDescent="0.25">
      <c r="D6799"/>
    </row>
    <row r="6800" spans="4:4" x14ac:dyDescent="0.25">
      <c r="D6800"/>
    </row>
    <row r="6801" spans="4:4" x14ac:dyDescent="0.25">
      <c r="D6801"/>
    </row>
    <row r="6802" spans="4:4" x14ac:dyDescent="0.25">
      <c r="D6802"/>
    </row>
    <row r="6803" spans="4:4" x14ac:dyDescent="0.25">
      <c r="D6803"/>
    </row>
    <row r="6804" spans="4:4" x14ac:dyDescent="0.25">
      <c r="D6804"/>
    </row>
    <row r="6805" spans="4:4" x14ac:dyDescent="0.25">
      <c r="D6805"/>
    </row>
    <row r="6806" spans="4:4" x14ac:dyDescent="0.25">
      <c r="D6806"/>
    </row>
    <row r="6807" spans="4:4" x14ac:dyDescent="0.25">
      <c r="D6807"/>
    </row>
    <row r="6808" spans="4:4" x14ac:dyDescent="0.25">
      <c r="D6808"/>
    </row>
    <row r="6809" spans="4:4" x14ac:dyDescent="0.25">
      <c r="D6809"/>
    </row>
    <row r="6810" spans="4:4" x14ac:dyDescent="0.25">
      <c r="D6810"/>
    </row>
    <row r="6811" spans="4:4" x14ac:dyDescent="0.25">
      <c r="D6811"/>
    </row>
    <row r="6812" spans="4:4" x14ac:dyDescent="0.25">
      <c r="D6812"/>
    </row>
    <row r="6813" spans="4:4" x14ac:dyDescent="0.25">
      <c r="D6813"/>
    </row>
    <row r="6814" spans="4:4" x14ac:dyDescent="0.25">
      <c r="D6814"/>
    </row>
    <row r="6815" spans="4:4" x14ac:dyDescent="0.25">
      <c r="D6815"/>
    </row>
    <row r="6816" spans="4:4" x14ac:dyDescent="0.25">
      <c r="D6816"/>
    </row>
    <row r="6817" spans="4:4" x14ac:dyDescent="0.25">
      <c r="D6817"/>
    </row>
    <row r="6818" spans="4:4" x14ac:dyDescent="0.25">
      <c r="D6818"/>
    </row>
    <row r="6819" spans="4:4" x14ac:dyDescent="0.25">
      <c r="D6819"/>
    </row>
    <row r="6820" spans="4:4" x14ac:dyDescent="0.25">
      <c r="D6820"/>
    </row>
    <row r="6821" spans="4:4" x14ac:dyDescent="0.25">
      <c r="D6821"/>
    </row>
    <row r="6822" spans="4:4" x14ac:dyDescent="0.25">
      <c r="D6822"/>
    </row>
    <row r="6823" spans="4:4" x14ac:dyDescent="0.25">
      <c r="D6823"/>
    </row>
    <row r="6824" spans="4:4" x14ac:dyDescent="0.25">
      <c r="D6824"/>
    </row>
    <row r="6825" spans="4:4" x14ac:dyDescent="0.25">
      <c r="D6825"/>
    </row>
    <row r="6826" spans="4:4" x14ac:dyDescent="0.25">
      <c r="D6826"/>
    </row>
    <row r="6827" spans="4:4" x14ac:dyDescent="0.25">
      <c r="D6827"/>
    </row>
    <row r="6828" spans="4:4" x14ac:dyDescent="0.25">
      <c r="D6828"/>
    </row>
    <row r="6829" spans="4:4" x14ac:dyDescent="0.25">
      <c r="D6829"/>
    </row>
    <row r="6830" spans="4:4" x14ac:dyDescent="0.25">
      <c r="D6830"/>
    </row>
    <row r="6831" spans="4:4" x14ac:dyDescent="0.25">
      <c r="D6831"/>
    </row>
    <row r="6832" spans="4:4" x14ac:dyDescent="0.25">
      <c r="D6832"/>
    </row>
    <row r="6833" spans="4:4" x14ac:dyDescent="0.25">
      <c r="D6833"/>
    </row>
    <row r="6834" spans="4:4" x14ac:dyDescent="0.25">
      <c r="D6834"/>
    </row>
    <row r="6835" spans="4:4" x14ac:dyDescent="0.25">
      <c r="D6835"/>
    </row>
    <row r="6836" spans="4:4" x14ac:dyDescent="0.25">
      <c r="D6836"/>
    </row>
    <row r="6837" spans="4:4" x14ac:dyDescent="0.25">
      <c r="D6837"/>
    </row>
    <row r="6838" spans="4:4" x14ac:dyDescent="0.25">
      <c r="D6838"/>
    </row>
    <row r="6839" spans="4:4" x14ac:dyDescent="0.25">
      <c r="D6839"/>
    </row>
    <row r="6840" spans="4:4" x14ac:dyDescent="0.25">
      <c r="D6840"/>
    </row>
    <row r="6841" spans="4:4" x14ac:dyDescent="0.25">
      <c r="D6841"/>
    </row>
    <row r="6842" spans="4:4" x14ac:dyDescent="0.25">
      <c r="D6842"/>
    </row>
    <row r="6843" spans="4:4" x14ac:dyDescent="0.25">
      <c r="D6843"/>
    </row>
    <row r="6844" spans="4:4" x14ac:dyDescent="0.25">
      <c r="D6844"/>
    </row>
    <row r="6845" spans="4:4" x14ac:dyDescent="0.25">
      <c r="D6845"/>
    </row>
    <row r="6846" spans="4:4" x14ac:dyDescent="0.25">
      <c r="D6846"/>
    </row>
    <row r="6847" spans="4:4" x14ac:dyDescent="0.25">
      <c r="D6847"/>
    </row>
    <row r="6848" spans="4:4" x14ac:dyDescent="0.25">
      <c r="D6848"/>
    </row>
    <row r="6849" spans="4:4" x14ac:dyDescent="0.25">
      <c r="D6849"/>
    </row>
    <row r="6850" spans="4:4" x14ac:dyDescent="0.25">
      <c r="D6850"/>
    </row>
    <row r="6851" spans="4:4" x14ac:dyDescent="0.25">
      <c r="D6851"/>
    </row>
    <row r="6852" spans="4:4" x14ac:dyDescent="0.25">
      <c r="D6852"/>
    </row>
    <row r="6853" spans="4:4" x14ac:dyDescent="0.25">
      <c r="D6853"/>
    </row>
    <row r="6854" spans="4:4" x14ac:dyDescent="0.25">
      <c r="D6854"/>
    </row>
    <row r="6855" spans="4:4" x14ac:dyDescent="0.25">
      <c r="D6855"/>
    </row>
    <row r="6856" spans="4:4" x14ac:dyDescent="0.25">
      <c r="D6856"/>
    </row>
    <row r="6857" spans="4:4" x14ac:dyDescent="0.25">
      <c r="D6857"/>
    </row>
    <row r="6858" spans="4:4" x14ac:dyDescent="0.25">
      <c r="D6858"/>
    </row>
    <row r="6859" spans="4:4" x14ac:dyDescent="0.25">
      <c r="D6859"/>
    </row>
    <row r="6860" spans="4:4" x14ac:dyDescent="0.25">
      <c r="D6860"/>
    </row>
    <row r="6861" spans="4:4" x14ac:dyDescent="0.25">
      <c r="D6861"/>
    </row>
    <row r="6862" spans="4:4" x14ac:dyDescent="0.25">
      <c r="D6862"/>
    </row>
    <row r="6863" spans="4:4" x14ac:dyDescent="0.25">
      <c r="D6863"/>
    </row>
    <row r="6864" spans="4:4" x14ac:dyDescent="0.25">
      <c r="D6864"/>
    </row>
    <row r="6865" spans="4:4" x14ac:dyDescent="0.25">
      <c r="D6865"/>
    </row>
    <row r="6866" spans="4:4" x14ac:dyDescent="0.25">
      <c r="D6866"/>
    </row>
    <row r="6867" spans="4:4" x14ac:dyDescent="0.25">
      <c r="D6867"/>
    </row>
    <row r="6868" spans="4:4" x14ac:dyDescent="0.25">
      <c r="D6868"/>
    </row>
    <row r="6869" spans="4:4" x14ac:dyDescent="0.25">
      <c r="D6869"/>
    </row>
    <row r="6870" spans="4:4" x14ac:dyDescent="0.25">
      <c r="D6870"/>
    </row>
    <row r="6871" spans="4:4" x14ac:dyDescent="0.25">
      <c r="D6871"/>
    </row>
    <row r="6872" spans="4:4" x14ac:dyDescent="0.25">
      <c r="D6872"/>
    </row>
    <row r="6873" spans="4:4" x14ac:dyDescent="0.25">
      <c r="D6873"/>
    </row>
    <row r="6874" spans="4:4" x14ac:dyDescent="0.25">
      <c r="D6874"/>
    </row>
    <row r="6875" spans="4:4" x14ac:dyDescent="0.25">
      <c r="D6875"/>
    </row>
    <row r="6876" spans="4:4" x14ac:dyDescent="0.25">
      <c r="D6876"/>
    </row>
    <row r="6877" spans="4:4" x14ac:dyDescent="0.25">
      <c r="D6877"/>
    </row>
    <row r="6878" spans="4:4" x14ac:dyDescent="0.25">
      <c r="D6878"/>
    </row>
    <row r="6879" spans="4:4" x14ac:dyDescent="0.25">
      <c r="D6879"/>
    </row>
    <row r="6880" spans="4:4" x14ac:dyDescent="0.25">
      <c r="D6880"/>
    </row>
    <row r="6881" spans="4:4" x14ac:dyDescent="0.25">
      <c r="D6881"/>
    </row>
    <row r="6882" spans="4:4" x14ac:dyDescent="0.25">
      <c r="D6882"/>
    </row>
    <row r="6883" spans="4:4" x14ac:dyDescent="0.25">
      <c r="D6883"/>
    </row>
    <row r="6884" spans="4:4" x14ac:dyDescent="0.25">
      <c r="D6884"/>
    </row>
    <row r="6885" spans="4:4" x14ac:dyDescent="0.25">
      <c r="D6885"/>
    </row>
    <row r="6886" spans="4:4" x14ac:dyDescent="0.25">
      <c r="D6886"/>
    </row>
    <row r="6887" spans="4:4" x14ac:dyDescent="0.25">
      <c r="D6887"/>
    </row>
    <row r="6888" spans="4:4" x14ac:dyDescent="0.25">
      <c r="D6888"/>
    </row>
    <row r="6889" spans="4:4" x14ac:dyDescent="0.25">
      <c r="D6889"/>
    </row>
    <row r="6890" spans="4:4" x14ac:dyDescent="0.25">
      <c r="D6890"/>
    </row>
    <row r="6891" spans="4:4" x14ac:dyDescent="0.25">
      <c r="D6891"/>
    </row>
    <row r="6892" spans="4:4" x14ac:dyDescent="0.25">
      <c r="D6892"/>
    </row>
    <row r="6893" spans="4:4" x14ac:dyDescent="0.25">
      <c r="D6893"/>
    </row>
    <row r="6894" spans="4:4" x14ac:dyDescent="0.25">
      <c r="D6894"/>
    </row>
    <row r="6895" spans="4:4" x14ac:dyDescent="0.25">
      <c r="D6895"/>
    </row>
    <row r="6896" spans="4:4" x14ac:dyDescent="0.25">
      <c r="D6896"/>
    </row>
    <row r="6897" spans="4:4" x14ac:dyDescent="0.25">
      <c r="D6897"/>
    </row>
    <row r="6898" spans="4:4" x14ac:dyDescent="0.25">
      <c r="D6898"/>
    </row>
    <row r="6899" spans="4:4" x14ac:dyDescent="0.25">
      <c r="D6899"/>
    </row>
    <row r="6900" spans="4:4" x14ac:dyDescent="0.25">
      <c r="D6900"/>
    </row>
    <row r="6901" spans="4:4" x14ac:dyDescent="0.25">
      <c r="D6901"/>
    </row>
    <row r="6902" spans="4:4" x14ac:dyDescent="0.25">
      <c r="D6902"/>
    </row>
    <row r="6903" spans="4:4" x14ac:dyDescent="0.25">
      <c r="D6903"/>
    </row>
    <row r="6904" spans="4:4" x14ac:dyDescent="0.25">
      <c r="D6904"/>
    </row>
    <row r="6905" spans="4:4" x14ac:dyDescent="0.25">
      <c r="D6905"/>
    </row>
    <row r="6906" spans="4:4" x14ac:dyDescent="0.25">
      <c r="D6906"/>
    </row>
    <row r="6907" spans="4:4" x14ac:dyDescent="0.25">
      <c r="D6907"/>
    </row>
    <row r="6908" spans="4:4" x14ac:dyDescent="0.25">
      <c r="D6908"/>
    </row>
    <row r="6909" spans="4:4" x14ac:dyDescent="0.25">
      <c r="D6909"/>
    </row>
    <row r="6910" spans="4:4" x14ac:dyDescent="0.25">
      <c r="D6910"/>
    </row>
    <row r="6911" spans="4:4" x14ac:dyDescent="0.25">
      <c r="D6911"/>
    </row>
    <row r="6912" spans="4:4" x14ac:dyDescent="0.25">
      <c r="D6912"/>
    </row>
    <row r="6913" spans="4:4" x14ac:dyDescent="0.25">
      <c r="D6913"/>
    </row>
    <row r="6914" spans="4:4" x14ac:dyDescent="0.25">
      <c r="D6914"/>
    </row>
    <row r="6915" spans="4:4" x14ac:dyDescent="0.25">
      <c r="D6915"/>
    </row>
    <row r="6916" spans="4:4" x14ac:dyDescent="0.25">
      <c r="D6916"/>
    </row>
    <row r="6917" spans="4:4" x14ac:dyDescent="0.25">
      <c r="D6917"/>
    </row>
    <row r="6918" spans="4:4" x14ac:dyDescent="0.25">
      <c r="D6918"/>
    </row>
    <row r="6919" spans="4:4" x14ac:dyDescent="0.25">
      <c r="D6919"/>
    </row>
    <row r="6920" spans="4:4" x14ac:dyDescent="0.25">
      <c r="D6920"/>
    </row>
    <row r="6921" spans="4:4" x14ac:dyDescent="0.25">
      <c r="D6921"/>
    </row>
    <row r="6922" spans="4:4" x14ac:dyDescent="0.25">
      <c r="D6922"/>
    </row>
    <row r="6923" spans="4:4" x14ac:dyDescent="0.25">
      <c r="D6923"/>
    </row>
    <row r="6924" spans="4:4" x14ac:dyDescent="0.25">
      <c r="D6924"/>
    </row>
    <row r="6925" spans="4:4" x14ac:dyDescent="0.25">
      <c r="D6925"/>
    </row>
    <row r="6926" spans="4:4" x14ac:dyDescent="0.25">
      <c r="D6926"/>
    </row>
    <row r="6927" spans="4:4" x14ac:dyDescent="0.25">
      <c r="D6927"/>
    </row>
    <row r="6928" spans="4:4" x14ac:dyDescent="0.25">
      <c r="D6928"/>
    </row>
    <row r="6929" spans="4:4" x14ac:dyDescent="0.25">
      <c r="D6929"/>
    </row>
    <row r="6930" spans="4:4" x14ac:dyDescent="0.25">
      <c r="D6930"/>
    </row>
    <row r="6931" spans="4:4" x14ac:dyDescent="0.25">
      <c r="D6931"/>
    </row>
    <row r="6932" spans="4:4" x14ac:dyDescent="0.25">
      <c r="D6932"/>
    </row>
    <row r="6933" spans="4:4" x14ac:dyDescent="0.25">
      <c r="D6933"/>
    </row>
    <row r="6934" spans="4:4" x14ac:dyDescent="0.25">
      <c r="D6934"/>
    </row>
    <row r="6935" spans="4:4" x14ac:dyDescent="0.25">
      <c r="D6935"/>
    </row>
    <row r="6936" spans="4:4" x14ac:dyDescent="0.25">
      <c r="D6936"/>
    </row>
    <row r="6937" spans="4:4" x14ac:dyDescent="0.25">
      <c r="D6937"/>
    </row>
    <row r="6938" spans="4:4" x14ac:dyDescent="0.25">
      <c r="D6938"/>
    </row>
    <row r="6939" spans="4:4" x14ac:dyDescent="0.25">
      <c r="D6939"/>
    </row>
    <row r="6940" spans="4:4" x14ac:dyDescent="0.25">
      <c r="D6940"/>
    </row>
    <row r="6941" spans="4:4" x14ac:dyDescent="0.25">
      <c r="D6941"/>
    </row>
    <row r="6942" spans="4:4" x14ac:dyDescent="0.25">
      <c r="D6942"/>
    </row>
    <row r="6943" spans="4:4" x14ac:dyDescent="0.25">
      <c r="D6943"/>
    </row>
    <row r="6944" spans="4:4" x14ac:dyDescent="0.25">
      <c r="D6944"/>
    </row>
    <row r="6945" spans="4:4" x14ac:dyDescent="0.25">
      <c r="D6945"/>
    </row>
    <row r="6946" spans="4:4" x14ac:dyDescent="0.25">
      <c r="D6946"/>
    </row>
    <row r="6947" spans="4:4" x14ac:dyDescent="0.25">
      <c r="D6947"/>
    </row>
    <row r="6948" spans="4:4" x14ac:dyDescent="0.25">
      <c r="D6948"/>
    </row>
    <row r="6949" spans="4:4" x14ac:dyDescent="0.25">
      <c r="D6949"/>
    </row>
    <row r="6950" spans="4:4" x14ac:dyDescent="0.25">
      <c r="D6950"/>
    </row>
    <row r="6951" spans="4:4" x14ac:dyDescent="0.25">
      <c r="D6951"/>
    </row>
    <row r="6952" spans="4:4" x14ac:dyDescent="0.25">
      <c r="D6952"/>
    </row>
    <row r="6953" spans="4:4" x14ac:dyDescent="0.25">
      <c r="D6953"/>
    </row>
    <row r="6954" spans="4:4" x14ac:dyDescent="0.25">
      <c r="D6954"/>
    </row>
    <row r="6955" spans="4:4" x14ac:dyDescent="0.25">
      <c r="D6955"/>
    </row>
    <row r="6956" spans="4:4" x14ac:dyDescent="0.25">
      <c r="D6956"/>
    </row>
    <row r="6957" spans="4:4" x14ac:dyDescent="0.25">
      <c r="D6957"/>
    </row>
    <row r="6958" spans="4:4" x14ac:dyDescent="0.25">
      <c r="D6958"/>
    </row>
    <row r="6959" spans="4:4" x14ac:dyDescent="0.25">
      <c r="D6959"/>
    </row>
    <row r="6960" spans="4:4" x14ac:dyDescent="0.25">
      <c r="D6960"/>
    </row>
    <row r="6961" spans="4:4" x14ac:dyDescent="0.25">
      <c r="D6961"/>
    </row>
    <row r="6962" spans="4:4" x14ac:dyDescent="0.25">
      <c r="D6962"/>
    </row>
    <row r="6963" spans="4:4" x14ac:dyDescent="0.25">
      <c r="D6963"/>
    </row>
    <row r="6964" spans="4:4" x14ac:dyDescent="0.25">
      <c r="D6964"/>
    </row>
    <row r="6965" spans="4:4" x14ac:dyDescent="0.25">
      <c r="D6965"/>
    </row>
    <row r="6966" spans="4:4" x14ac:dyDescent="0.25">
      <c r="D6966"/>
    </row>
    <row r="6967" spans="4:4" x14ac:dyDescent="0.25">
      <c r="D6967"/>
    </row>
    <row r="6968" spans="4:4" x14ac:dyDescent="0.25">
      <c r="D6968"/>
    </row>
    <row r="6969" spans="4:4" x14ac:dyDescent="0.25">
      <c r="D6969"/>
    </row>
    <row r="6970" spans="4:4" x14ac:dyDescent="0.25">
      <c r="D6970"/>
    </row>
    <row r="6971" spans="4:4" x14ac:dyDescent="0.25">
      <c r="D6971"/>
    </row>
    <row r="6972" spans="4:4" x14ac:dyDescent="0.25">
      <c r="D6972"/>
    </row>
    <row r="6973" spans="4:4" x14ac:dyDescent="0.25">
      <c r="D6973"/>
    </row>
    <row r="6974" spans="4:4" x14ac:dyDescent="0.25">
      <c r="D6974"/>
    </row>
    <row r="6975" spans="4:4" x14ac:dyDescent="0.25">
      <c r="D6975"/>
    </row>
    <row r="6976" spans="4:4" x14ac:dyDescent="0.25">
      <c r="D6976"/>
    </row>
    <row r="6977" spans="4:4" x14ac:dyDescent="0.25">
      <c r="D6977"/>
    </row>
    <row r="6978" spans="4:4" x14ac:dyDescent="0.25">
      <c r="D6978"/>
    </row>
    <row r="6979" spans="4:4" x14ac:dyDescent="0.25">
      <c r="D6979"/>
    </row>
    <row r="6980" spans="4:4" x14ac:dyDescent="0.25">
      <c r="D6980"/>
    </row>
    <row r="6981" spans="4:4" x14ac:dyDescent="0.25">
      <c r="D6981"/>
    </row>
    <row r="6982" spans="4:4" x14ac:dyDescent="0.25">
      <c r="D6982"/>
    </row>
    <row r="6983" spans="4:4" x14ac:dyDescent="0.25">
      <c r="D6983"/>
    </row>
    <row r="6984" spans="4:4" x14ac:dyDescent="0.25">
      <c r="D6984"/>
    </row>
    <row r="6985" spans="4:4" x14ac:dyDescent="0.25">
      <c r="D6985"/>
    </row>
    <row r="6986" spans="4:4" x14ac:dyDescent="0.25">
      <c r="D6986"/>
    </row>
    <row r="6987" spans="4:4" x14ac:dyDescent="0.25">
      <c r="D6987"/>
    </row>
    <row r="6988" spans="4:4" x14ac:dyDescent="0.25">
      <c r="D6988"/>
    </row>
    <row r="6989" spans="4:4" x14ac:dyDescent="0.25">
      <c r="D6989"/>
    </row>
    <row r="6990" spans="4:4" x14ac:dyDescent="0.25">
      <c r="D6990"/>
    </row>
    <row r="6991" spans="4:4" x14ac:dyDescent="0.25">
      <c r="D6991"/>
    </row>
    <row r="6992" spans="4:4" x14ac:dyDescent="0.25">
      <c r="D6992"/>
    </row>
    <row r="6993" spans="4:4" x14ac:dyDescent="0.25">
      <c r="D6993"/>
    </row>
    <row r="6994" spans="4:4" x14ac:dyDescent="0.25">
      <c r="D6994"/>
    </row>
    <row r="6995" spans="4:4" x14ac:dyDescent="0.25">
      <c r="D6995"/>
    </row>
    <row r="6996" spans="4:4" x14ac:dyDescent="0.25">
      <c r="D6996"/>
    </row>
    <row r="6997" spans="4:4" x14ac:dyDescent="0.25">
      <c r="D6997"/>
    </row>
    <row r="6998" spans="4:4" x14ac:dyDescent="0.25">
      <c r="D6998"/>
    </row>
    <row r="6999" spans="4:4" x14ac:dyDescent="0.25">
      <c r="D6999"/>
    </row>
    <row r="7000" spans="4:4" x14ac:dyDescent="0.25">
      <c r="D7000"/>
    </row>
    <row r="7001" spans="4:4" x14ac:dyDescent="0.25">
      <c r="D7001"/>
    </row>
    <row r="7002" spans="4:4" x14ac:dyDescent="0.25">
      <c r="D7002"/>
    </row>
    <row r="7003" spans="4:4" x14ac:dyDescent="0.25">
      <c r="D7003"/>
    </row>
    <row r="7004" spans="4:4" x14ac:dyDescent="0.25">
      <c r="D7004"/>
    </row>
    <row r="7005" spans="4:4" x14ac:dyDescent="0.25">
      <c r="D7005"/>
    </row>
    <row r="7006" spans="4:4" x14ac:dyDescent="0.25">
      <c r="D7006"/>
    </row>
    <row r="7007" spans="4:4" x14ac:dyDescent="0.25">
      <c r="D7007"/>
    </row>
    <row r="7008" spans="4:4" x14ac:dyDescent="0.25">
      <c r="D7008"/>
    </row>
    <row r="7009" spans="4:4" x14ac:dyDescent="0.25">
      <c r="D7009"/>
    </row>
    <row r="7010" spans="4:4" x14ac:dyDescent="0.25">
      <c r="D7010"/>
    </row>
    <row r="7011" spans="4:4" x14ac:dyDescent="0.25">
      <c r="D7011"/>
    </row>
    <row r="7012" spans="4:4" x14ac:dyDescent="0.25">
      <c r="D7012"/>
    </row>
    <row r="7013" spans="4:4" x14ac:dyDescent="0.25">
      <c r="D7013"/>
    </row>
    <row r="7014" spans="4:4" x14ac:dyDescent="0.25">
      <c r="D7014"/>
    </row>
    <row r="7015" spans="4:4" x14ac:dyDescent="0.25">
      <c r="D7015"/>
    </row>
    <row r="7016" spans="4:4" x14ac:dyDescent="0.25">
      <c r="D7016"/>
    </row>
    <row r="7017" spans="4:4" x14ac:dyDescent="0.25">
      <c r="D7017"/>
    </row>
    <row r="7018" spans="4:4" x14ac:dyDescent="0.25">
      <c r="D7018"/>
    </row>
    <row r="7019" spans="4:4" x14ac:dyDescent="0.25">
      <c r="D7019"/>
    </row>
    <row r="7020" spans="4:4" x14ac:dyDescent="0.25">
      <c r="D7020"/>
    </row>
    <row r="7021" spans="4:4" x14ac:dyDescent="0.25">
      <c r="D7021"/>
    </row>
    <row r="7022" spans="4:4" x14ac:dyDescent="0.25">
      <c r="D7022"/>
    </row>
    <row r="7023" spans="4:4" x14ac:dyDescent="0.25">
      <c r="D7023"/>
    </row>
    <row r="7024" spans="4:4" x14ac:dyDescent="0.25">
      <c r="D7024"/>
    </row>
    <row r="7025" spans="4:4" x14ac:dyDescent="0.25">
      <c r="D7025"/>
    </row>
    <row r="7026" spans="4:4" x14ac:dyDescent="0.25">
      <c r="D7026"/>
    </row>
    <row r="7027" spans="4:4" x14ac:dyDescent="0.25">
      <c r="D7027"/>
    </row>
    <row r="7028" spans="4:4" x14ac:dyDescent="0.25">
      <c r="D7028"/>
    </row>
    <row r="7029" spans="4:4" x14ac:dyDescent="0.25">
      <c r="D7029"/>
    </row>
    <row r="7030" spans="4:4" x14ac:dyDescent="0.25">
      <c r="D7030"/>
    </row>
    <row r="7031" spans="4:4" x14ac:dyDescent="0.25">
      <c r="D7031"/>
    </row>
    <row r="7032" spans="4:4" x14ac:dyDescent="0.25">
      <c r="D7032"/>
    </row>
    <row r="7033" spans="4:4" x14ac:dyDescent="0.25">
      <c r="D7033"/>
    </row>
    <row r="7034" spans="4:4" x14ac:dyDescent="0.25">
      <c r="D7034"/>
    </row>
    <row r="7035" spans="4:4" x14ac:dyDescent="0.25">
      <c r="D7035"/>
    </row>
    <row r="7036" spans="4:4" x14ac:dyDescent="0.25">
      <c r="D7036"/>
    </row>
    <row r="7037" spans="4:4" x14ac:dyDescent="0.25">
      <c r="D7037"/>
    </row>
    <row r="7038" spans="4:4" x14ac:dyDescent="0.25">
      <c r="D7038"/>
    </row>
    <row r="7039" spans="4:4" x14ac:dyDescent="0.25">
      <c r="D7039"/>
    </row>
    <row r="7040" spans="4:4" x14ac:dyDescent="0.25">
      <c r="D7040"/>
    </row>
    <row r="7041" spans="4:4" x14ac:dyDescent="0.25">
      <c r="D7041"/>
    </row>
    <row r="7042" spans="4:4" x14ac:dyDescent="0.25">
      <c r="D7042"/>
    </row>
    <row r="7043" spans="4:4" x14ac:dyDescent="0.25">
      <c r="D7043"/>
    </row>
    <row r="7044" spans="4:4" x14ac:dyDescent="0.25">
      <c r="D7044"/>
    </row>
    <row r="7045" spans="4:4" x14ac:dyDescent="0.25">
      <c r="D7045"/>
    </row>
    <row r="7046" spans="4:4" x14ac:dyDescent="0.25">
      <c r="D7046"/>
    </row>
    <row r="7047" spans="4:4" x14ac:dyDescent="0.25">
      <c r="D7047"/>
    </row>
    <row r="7048" spans="4:4" x14ac:dyDescent="0.25">
      <c r="D7048"/>
    </row>
    <row r="7049" spans="4:4" x14ac:dyDescent="0.25">
      <c r="D7049"/>
    </row>
    <row r="7050" spans="4:4" x14ac:dyDescent="0.25">
      <c r="D7050"/>
    </row>
    <row r="7051" spans="4:4" x14ac:dyDescent="0.25">
      <c r="D7051"/>
    </row>
    <row r="7052" spans="4:4" x14ac:dyDescent="0.25">
      <c r="D7052"/>
    </row>
    <row r="7053" spans="4:4" x14ac:dyDescent="0.25">
      <c r="D7053"/>
    </row>
    <row r="7054" spans="4:4" x14ac:dyDescent="0.25">
      <c r="D7054"/>
    </row>
    <row r="7055" spans="4:4" x14ac:dyDescent="0.25">
      <c r="D7055"/>
    </row>
    <row r="7056" spans="4:4" x14ac:dyDescent="0.25">
      <c r="D7056"/>
    </row>
    <row r="7057" spans="4:4" x14ac:dyDescent="0.25">
      <c r="D7057"/>
    </row>
    <row r="7058" spans="4:4" x14ac:dyDescent="0.25">
      <c r="D7058"/>
    </row>
    <row r="7059" spans="4:4" x14ac:dyDescent="0.25">
      <c r="D7059"/>
    </row>
    <row r="7060" spans="4:4" x14ac:dyDescent="0.25">
      <c r="D7060"/>
    </row>
    <row r="7061" spans="4:4" x14ac:dyDescent="0.25">
      <c r="D7061"/>
    </row>
    <row r="7062" spans="4:4" x14ac:dyDescent="0.25">
      <c r="D7062"/>
    </row>
    <row r="7063" spans="4:4" x14ac:dyDescent="0.25">
      <c r="D7063"/>
    </row>
    <row r="7064" spans="4:4" x14ac:dyDescent="0.25">
      <c r="D7064"/>
    </row>
    <row r="7065" spans="4:4" x14ac:dyDescent="0.25">
      <c r="D7065"/>
    </row>
    <row r="7066" spans="4:4" x14ac:dyDescent="0.25">
      <c r="D7066"/>
    </row>
    <row r="7067" spans="4:4" x14ac:dyDescent="0.25">
      <c r="D7067"/>
    </row>
    <row r="7068" spans="4:4" x14ac:dyDescent="0.25">
      <c r="D7068"/>
    </row>
    <row r="7069" spans="4:4" x14ac:dyDescent="0.25">
      <c r="D7069"/>
    </row>
    <row r="7070" spans="4:4" x14ac:dyDescent="0.25">
      <c r="D7070"/>
    </row>
    <row r="7071" spans="4:4" x14ac:dyDescent="0.25">
      <c r="D7071"/>
    </row>
    <row r="7072" spans="4:4" x14ac:dyDescent="0.25">
      <c r="D7072"/>
    </row>
    <row r="7073" spans="4:4" x14ac:dyDescent="0.25">
      <c r="D7073"/>
    </row>
    <row r="7074" spans="4:4" x14ac:dyDescent="0.25">
      <c r="D7074"/>
    </row>
    <row r="7075" spans="4:4" x14ac:dyDescent="0.25">
      <c r="D7075"/>
    </row>
    <row r="7076" spans="4:4" x14ac:dyDescent="0.25">
      <c r="D7076"/>
    </row>
    <row r="7077" spans="4:4" x14ac:dyDescent="0.25">
      <c r="D7077"/>
    </row>
    <row r="7078" spans="4:4" x14ac:dyDescent="0.25">
      <c r="D7078"/>
    </row>
    <row r="7079" spans="4:4" x14ac:dyDescent="0.25">
      <c r="D7079"/>
    </row>
    <row r="7080" spans="4:4" x14ac:dyDescent="0.25">
      <c r="D7080"/>
    </row>
    <row r="7081" spans="4:4" x14ac:dyDescent="0.25">
      <c r="D7081"/>
    </row>
    <row r="7082" spans="4:4" x14ac:dyDescent="0.25">
      <c r="D7082"/>
    </row>
    <row r="7083" spans="4:4" x14ac:dyDescent="0.25">
      <c r="D7083"/>
    </row>
    <row r="7084" spans="4:4" x14ac:dyDescent="0.25">
      <c r="D7084"/>
    </row>
    <row r="7085" spans="4:4" x14ac:dyDescent="0.25">
      <c r="D7085"/>
    </row>
    <row r="7086" spans="4:4" x14ac:dyDescent="0.25">
      <c r="D7086"/>
    </row>
    <row r="7087" spans="4:4" x14ac:dyDescent="0.25">
      <c r="D7087"/>
    </row>
    <row r="7088" spans="4:4" x14ac:dyDescent="0.25">
      <c r="D7088"/>
    </row>
    <row r="7089" spans="4:4" x14ac:dyDescent="0.25">
      <c r="D7089"/>
    </row>
    <row r="7090" spans="4:4" x14ac:dyDescent="0.25">
      <c r="D7090"/>
    </row>
    <row r="7091" spans="4:4" x14ac:dyDescent="0.25">
      <c r="D7091"/>
    </row>
    <row r="7092" spans="4:4" x14ac:dyDescent="0.25">
      <c r="D7092"/>
    </row>
    <row r="7093" spans="4:4" x14ac:dyDescent="0.25">
      <c r="D7093"/>
    </row>
    <row r="7094" spans="4:4" x14ac:dyDescent="0.25">
      <c r="D7094"/>
    </row>
    <row r="7095" spans="4:4" x14ac:dyDescent="0.25">
      <c r="D7095"/>
    </row>
    <row r="7096" spans="4:4" x14ac:dyDescent="0.25">
      <c r="D7096"/>
    </row>
    <row r="7097" spans="4:4" x14ac:dyDescent="0.25">
      <c r="D7097"/>
    </row>
    <row r="7098" spans="4:4" x14ac:dyDescent="0.25">
      <c r="D7098"/>
    </row>
    <row r="7099" spans="4:4" x14ac:dyDescent="0.25">
      <c r="D7099"/>
    </row>
    <row r="7100" spans="4:4" x14ac:dyDescent="0.25">
      <c r="D7100"/>
    </row>
    <row r="7101" spans="4:4" x14ac:dyDescent="0.25">
      <c r="D7101"/>
    </row>
    <row r="7102" spans="4:4" x14ac:dyDescent="0.25">
      <c r="D7102"/>
    </row>
    <row r="7103" spans="4:4" x14ac:dyDescent="0.25">
      <c r="D7103"/>
    </row>
    <row r="7104" spans="4:4" x14ac:dyDescent="0.25">
      <c r="D7104"/>
    </row>
    <row r="7105" spans="4:4" x14ac:dyDescent="0.25">
      <c r="D7105"/>
    </row>
    <row r="7106" spans="4:4" x14ac:dyDescent="0.25">
      <c r="D7106"/>
    </row>
    <row r="7107" spans="4:4" x14ac:dyDescent="0.25">
      <c r="D7107"/>
    </row>
    <row r="7108" spans="4:4" x14ac:dyDescent="0.25">
      <c r="D7108"/>
    </row>
    <row r="7109" spans="4:4" x14ac:dyDescent="0.25">
      <c r="D7109"/>
    </row>
    <row r="7110" spans="4:4" x14ac:dyDescent="0.25">
      <c r="D7110"/>
    </row>
    <row r="7111" spans="4:4" x14ac:dyDescent="0.25">
      <c r="D7111"/>
    </row>
    <row r="7112" spans="4:4" x14ac:dyDescent="0.25">
      <c r="D7112"/>
    </row>
    <row r="7113" spans="4:4" x14ac:dyDescent="0.25">
      <c r="D7113"/>
    </row>
    <row r="7114" spans="4:4" x14ac:dyDescent="0.25">
      <c r="D7114"/>
    </row>
    <row r="7115" spans="4:4" x14ac:dyDescent="0.25">
      <c r="D7115"/>
    </row>
    <row r="7116" spans="4:4" x14ac:dyDescent="0.25">
      <c r="D7116"/>
    </row>
    <row r="7117" spans="4:4" x14ac:dyDescent="0.25">
      <c r="D7117"/>
    </row>
    <row r="7118" spans="4:4" x14ac:dyDescent="0.25">
      <c r="D7118"/>
    </row>
    <row r="7119" spans="4:4" x14ac:dyDescent="0.25">
      <c r="D7119"/>
    </row>
    <row r="7120" spans="4:4" x14ac:dyDescent="0.25">
      <c r="D7120"/>
    </row>
    <row r="7121" spans="4:4" x14ac:dyDescent="0.25">
      <c r="D7121"/>
    </row>
    <row r="7122" spans="4:4" x14ac:dyDescent="0.25">
      <c r="D7122"/>
    </row>
    <row r="7123" spans="4:4" x14ac:dyDescent="0.25">
      <c r="D7123"/>
    </row>
    <row r="7124" spans="4:4" x14ac:dyDescent="0.25">
      <c r="D7124"/>
    </row>
    <row r="7125" spans="4:4" x14ac:dyDescent="0.25">
      <c r="D7125"/>
    </row>
    <row r="7126" spans="4:4" x14ac:dyDescent="0.25">
      <c r="D7126"/>
    </row>
    <row r="7127" spans="4:4" x14ac:dyDescent="0.25">
      <c r="D7127"/>
    </row>
    <row r="7128" spans="4:4" x14ac:dyDescent="0.25">
      <c r="D7128"/>
    </row>
    <row r="7129" spans="4:4" x14ac:dyDescent="0.25">
      <c r="D7129"/>
    </row>
    <row r="7130" spans="4:4" x14ac:dyDescent="0.25">
      <c r="D7130"/>
    </row>
    <row r="7131" spans="4:4" x14ac:dyDescent="0.25">
      <c r="D7131"/>
    </row>
    <row r="7132" spans="4:4" x14ac:dyDescent="0.25">
      <c r="D7132"/>
    </row>
    <row r="7133" spans="4:4" x14ac:dyDescent="0.25">
      <c r="D7133"/>
    </row>
    <row r="7134" spans="4:4" x14ac:dyDescent="0.25">
      <c r="D7134"/>
    </row>
    <row r="7135" spans="4:4" x14ac:dyDescent="0.25">
      <c r="D7135"/>
    </row>
    <row r="7136" spans="4:4" x14ac:dyDescent="0.25">
      <c r="D7136"/>
    </row>
    <row r="7137" spans="4:4" x14ac:dyDescent="0.25">
      <c r="D7137"/>
    </row>
    <row r="7138" spans="4:4" x14ac:dyDescent="0.25">
      <c r="D7138"/>
    </row>
    <row r="7139" spans="4:4" x14ac:dyDescent="0.25">
      <c r="D7139"/>
    </row>
    <row r="7140" spans="4:4" x14ac:dyDescent="0.25">
      <c r="D7140"/>
    </row>
    <row r="7141" spans="4:4" x14ac:dyDescent="0.25">
      <c r="D7141"/>
    </row>
    <row r="7142" spans="4:4" x14ac:dyDescent="0.25">
      <c r="D7142"/>
    </row>
    <row r="7143" spans="4:4" x14ac:dyDescent="0.25">
      <c r="D7143"/>
    </row>
    <row r="7144" spans="4:4" x14ac:dyDescent="0.25">
      <c r="D7144"/>
    </row>
    <row r="7145" spans="4:4" x14ac:dyDescent="0.25">
      <c r="D7145"/>
    </row>
    <row r="7146" spans="4:4" x14ac:dyDescent="0.25">
      <c r="D7146"/>
    </row>
    <row r="7147" spans="4:4" x14ac:dyDescent="0.25">
      <c r="D7147"/>
    </row>
    <row r="7148" spans="4:4" x14ac:dyDescent="0.25">
      <c r="D7148"/>
    </row>
    <row r="7149" spans="4:4" x14ac:dyDescent="0.25">
      <c r="D7149"/>
    </row>
    <row r="7150" spans="4:4" x14ac:dyDescent="0.25">
      <c r="D7150"/>
    </row>
    <row r="7151" spans="4:4" x14ac:dyDescent="0.25">
      <c r="D7151"/>
    </row>
    <row r="7152" spans="4:4" x14ac:dyDescent="0.25">
      <c r="D7152"/>
    </row>
    <row r="7153" spans="4:4" x14ac:dyDescent="0.25">
      <c r="D7153"/>
    </row>
    <row r="7154" spans="4:4" x14ac:dyDescent="0.25">
      <c r="D7154"/>
    </row>
    <row r="7155" spans="4:4" x14ac:dyDescent="0.25">
      <c r="D7155"/>
    </row>
    <row r="7156" spans="4:4" x14ac:dyDescent="0.25">
      <c r="D7156"/>
    </row>
    <row r="7157" spans="4:4" x14ac:dyDescent="0.25">
      <c r="D7157"/>
    </row>
    <row r="7158" spans="4:4" x14ac:dyDescent="0.25">
      <c r="D7158"/>
    </row>
    <row r="7159" spans="4:4" x14ac:dyDescent="0.25">
      <c r="D7159"/>
    </row>
    <row r="7160" spans="4:4" x14ac:dyDescent="0.25">
      <c r="D7160"/>
    </row>
    <row r="7161" spans="4:4" x14ac:dyDescent="0.25">
      <c r="D7161"/>
    </row>
    <row r="7162" spans="4:4" x14ac:dyDescent="0.25">
      <c r="D7162"/>
    </row>
    <row r="7163" spans="4:4" x14ac:dyDescent="0.25">
      <c r="D7163"/>
    </row>
    <row r="7164" spans="4:4" x14ac:dyDescent="0.25">
      <c r="D7164"/>
    </row>
    <row r="7165" spans="4:4" x14ac:dyDescent="0.25">
      <c r="D7165"/>
    </row>
    <row r="7166" spans="4:4" x14ac:dyDescent="0.25">
      <c r="D7166"/>
    </row>
    <row r="7167" spans="4:4" x14ac:dyDescent="0.25">
      <c r="D7167"/>
    </row>
    <row r="7168" spans="4:4" x14ac:dyDescent="0.25">
      <c r="D7168"/>
    </row>
    <row r="7169" spans="4:4" x14ac:dyDescent="0.25">
      <c r="D7169"/>
    </row>
    <row r="7170" spans="4:4" x14ac:dyDescent="0.25">
      <c r="D7170"/>
    </row>
    <row r="7171" spans="4:4" x14ac:dyDescent="0.25">
      <c r="D7171"/>
    </row>
    <row r="7172" spans="4:4" x14ac:dyDescent="0.25">
      <c r="D7172"/>
    </row>
    <row r="7173" spans="4:4" x14ac:dyDescent="0.25">
      <c r="D7173"/>
    </row>
    <row r="7174" spans="4:4" x14ac:dyDescent="0.25">
      <c r="D7174"/>
    </row>
    <row r="7175" spans="4:4" x14ac:dyDescent="0.25">
      <c r="D7175"/>
    </row>
    <row r="7176" spans="4:4" x14ac:dyDescent="0.25">
      <c r="D7176"/>
    </row>
    <row r="7177" spans="4:4" x14ac:dyDescent="0.25">
      <c r="D7177"/>
    </row>
    <row r="7178" spans="4:4" x14ac:dyDescent="0.25">
      <c r="D7178"/>
    </row>
    <row r="7179" spans="4:4" x14ac:dyDescent="0.25">
      <c r="D7179"/>
    </row>
    <row r="7180" spans="4:4" x14ac:dyDescent="0.25">
      <c r="D7180"/>
    </row>
    <row r="7181" spans="4:4" x14ac:dyDescent="0.25">
      <c r="D7181"/>
    </row>
    <row r="7182" spans="4:4" x14ac:dyDescent="0.25">
      <c r="D7182"/>
    </row>
    <row r="7183" spans="4:4" x14ac:dyDescent="0.25">
      <c r="D7183"/>
    </row>
    <row r="7184" spans="4:4" x14ac:dyDescent="0.25">
      <c r="D7184"/>
    </row>
    <row r="7185" spans="4:4" x14ac:dyDescent="0.25">
      <c r="D7185"/>
    </row>
    <row r="7186" spans="4:4" x14ac:dyDescent="0.25">
      <c r="D7186"/>
    </row>
    <row r="7187" spans="4:4" x14ac:dyDescent="0.25">
      <c r="D7187"/>
    </row>
    <row r="7188" spans="4:4" x14ac:dyDescent="0.25">
      <c r="D7188"/>
    </row>
    <row r="7189" spans="4:4" x14ac:dyDescent="0.25">
      <c r="D7189"/>
    </row>
    <row r="7190" spans="4:4" x14ac:dyDescent="0.25">
      <c r="D7190"/>
    </row>
    <row r="7191" spans="4:4" x14ac:dyDescent="0.25">
      <c r="D7191"/>
    </row>
    <row r="7192" spans="4:4" x14ac:dyDescent="0.25">
      <c r="D7192"/>
    </row>
    <row r="7193" spans="4:4" x14ac:dyDescent="0.25">
      <c r="D7193"/>
    </row>
    <row r="7194" spans="4:4" x14ac:dyDescent="0.25">
      <c r="D7194"/>
    </row>
    <row r="7195" spans="4:4" x14ac:dyDescent="0.25">
      <c r="D7195"/>
    </row>
    <row r="7196" spans="4:4" x14ac:dyDescent="0.25">
      <c r="D7196"/>
    </row>
    <row r="7197" spans="4:4" x14ac:dyDescent="0.25">
      <c r="D7197"/>
    </row>
    <row r="7198" spans="4:4" x14ac:dyDescent="0.25">
      <c r="D7198"/>
    </row>
    <row r="7199" spans="4:4" x14ac:dyDescent="0.25">
      <c r="D7199"/>
    </row>
    <row r="7200" spans="4:4" x14ac:dyDescent="0.25">
      <c r="D7200"/>
    </row>
    <row r="7201" spans="4:4" x14ac:dyDescent="0.25">
      <c r="D7201"/>
    </row>
    <row r="7202" spans="4:4" x14ac:dyDescent="0.25">
      <c r="D7202"/>
    </row>
    <row r="7203" spans="4:4" x14ac:dyDescent="0.25">
      <c r="D7203"/>
    </row>
    <row r="7204" spans="4:4" x14ac:dyDescent="0.25">
      <c r="D7204"/>
    </row>
    <row r="7205" spans="4:4" x14ac:dyDescent="0.25">
      <c r="D7205"/>
    </row>
    <row r="7206" spans="4:4" x14ac:dyDescent="0.25">
      <c r="D7206"/>
    </row>
    <row r="7207" spans="4:4" x14ac:dyDescent="0.25">
      <c r="D7207"/>
    </row>
    <row r="7208" spans="4:4" x14ac:dyDescent="0.25">
      <c r="D7208"/>
    </row>
    <row r="7209" spans="4:4" x14ac:dyDescent="0.25">
      <c r="D7209"/>
    </row>
    <row r="7210" spans="4:4" x14ac:dyDescent="0.25">
      <c r="D7210"/>
    </row>
    <row r="7211" spans="4:4" x14ac:dyDescent="0.25">
      <c r="D7211"/>
    </row>
    <row r="7212" spans="4:4" x14ac:dyDescent="0.25">
      <c r="D7212"/>
    </row>
    <row r="7213" spans="4:4" x14ac:dyDescent="0.25">
      <c r="D7213"/>
    </row>
    <row r="7214" spans="4:4" x14ac:dyDescent="0.25">
      <c r="D7214"/>
    </row>
    <row r="7215" spans="4:4" x14ac:dyDescent="0.25">
      <c r="D7215"/>
    </row>
    <row r="7216" spans="4:4" x14ac:dyDescent="0.25">
      <c r="D7216"/>
    </row>
    <row r="7217" spans="4:4" x14ac:dyDescent="0.25">
      <c r="D7217"/>
    </row>
    <row r="7218" spans="4:4" x14ac:dyDescent="0.25">
      <c r="D7218"/>
    </row>
    <row r="7219" spans="4:4" x14ac:dyDescent="0.25">
      <c r="D7219"/>
    </row>
    <row r="7220" spans="4:4" x14ac:dyDescent="0.25">
      <c r="D7220"/>
    </row>
    <row r="7221" spans="4:4" x14ac:dyDescent="0.25">
      <c r="D7221"/>
    </row>
    <row r="7222" spans="4:4" x14ac:dyDescent="0.25">
      <c r="D7222"/>
    </row>
    <row r="7223" spans="4:4" x14ac:dyDescent="0.25">
      <c r="D7223"/>
    </row>
    <row r="7224" spans="4:4" x14ac:dyDescent="0.25">
      <c r="D7224"/>
    </row>
    <row r="7225" spans="4:4" x14ac:dyDescent="0.25">
      <c r="D7225"/>
    </row>
    <row r="7226" spans="4:4" x14ac:dyDescent="0.25">
      <c r="D7226"/>
    </row>
    <row r="7227" spans="4:4" x14ac:dyDescent="0.25">
      <c r="D7227"/>
    </row>
    <row r="7228" spans="4:4" x14ac:dyDescent="0.25">
      <c r="D7228"/>
    </row>
    <row r="7229" spans="4:4" x14ac:dyDescent="0.25">
      <c r="D7229"/>
    </row>
    <row r="7230" spans="4:4" x14ac:dyDescent="0.25">
      <c r="D7230"/>
    </row>
    <row r="7231" spans="4:4" x14ac:dyDescent="0.25">
      <c r="D7231"/>
    </row>
    <row r="7232" spans="4:4" x14ac:dyDescent="0.25">
      <c r="D7232"/>
    </row>
    <row r="7233" spans="4:4" x14ac:dyDescent="0.25">
      <c r="D7233"/>
    </row>
    <row r="7234" spans="4:4" x14ac:dyDescent="0.25">
      <c r="D7234"/>
    </row>
    <row r="7235" spans="4:4" x14ac:dyDescent="0.25">
      <c r="D7235"/>
    </row>
    <row r="7236" spans="4:4" x14ac:dyDescent="0.25">
      <c r="D7236"/>
    </row>
    <row r="7237" spans="4:4" x14ac:dyDescent="0.25">
      <c r="D7237"/>
    </row>
    <row r="7238" spans="4:4" x14ac:dyDescent="0.25">
      <c r="D7238"/>
    </row>
    <row r="7239" spans="4:4" x14ac:dyDescent="0.25">
      <c r="D7239"/>
    </row>
    <row r="7240" spans="4:4" x14ac:dyDescent="0.25">
      <c r="D7240"/>
    </row>
    <row r="7241" spans="4:4" x14ac:dyDescent="0.25">
      <c r="D7241"/>
    </row>
    <row r="7242" spans="4:4" x14ac:dyDescent="0.25">
      <c r="D7242"/>
    </row>
    <row r="7243" spans="4:4" x14ac:dyDescent="0.25">
      <c r="D7243"/>
    </row>
    <row r="7244" spans="4:4" x14ac:dyDescent="0.25">
      <c r="D7244"/>
    </row>
    <row r="7245" spans="4:4" x14ac:dyDescent="0.25">
      <c r="D7245"/>
    </row>
    <row r="7246" spans="4:4" x14ac:dyDescent="0.25">
      <c r="D7246"/>
    </row>
    <row r="7247" spans="4:4" x14ac:dyDescent="0.25">
      <c r="D7247"/>
    </row>
    <row r="7248" spans="4:4" x14ac:dyDescent="0.25">
      <c r="D7248"/>
    </row>
    <row r="7249" spans="4:4" x14ac:dyDescent="0.25">
      <c r="D7249"/>
    </row>
    <row r="7250" spans="4:4" x14ac:dyDescent="0.25">
      <c r="D7250"/>
    </row>
    <row r="7251" spans="4:4" x14ac:dyDescent="0.25">
      <c r="D7251"/>
    </row>
    <row r="7252" spans="4:4" x14ac:dyDescent="0.25">
      <c r="D7252"/>
    </row>
    <row r="7253" spans="4:4" x14ac:dyDescent="0.25">
      <c r="D7253"/>
    </row>
    <row r="7254" spans="4:4" x14ac:dyDescent="0.25">
      <c r="D7254"/>
    </row>
    <row r="7255" spans="4:4" x14ac:dyDescent="0.25">
      <c r="D7255"/>
    </row>
    <row r="7256" spans="4:4" x14ac:dyDescent="0.25">
      <c r="D7256"/>
    </row>
    <row r="7257" spans="4:4" x14ac:dyDescent="0.25">
      <c r="D7257"/>
    </row>
    <row r="7258" spans="4:4" x14ac:dyDescent="0.25">
      <c r="D7258"/>
    </row>
    <row r="7259" spans="4:4" x14ac:dyDescent="0.25">
      <c r="D7259"/>
    </row>
    <row r="7260" spans="4:4" x14ac:dyDescent="0.25">
      <c r="D7260"/>
    </row>
    <row r="7261" spans="4:4" x14ac:dyDescent="0.25">
      <c r="D7261"/>
    </row>
    <row r="7262" spans="4:4" x14ac:dyDescent="0.25">
      <c r="D7262"/>
    </row>
    <row r="7263" spans="4:4" x14ac:dyDescent="0.25">
      <c r="D7263"/>
    </row>
    <row r="7264" spans="4:4" x14ac:dyDescent="0.25">
      <c r="D7264"/>
    </row>
    <row r="7265" spans="4:4" x14ac:dyDescent="0.25">
      <c r="D7265"/>
    </row>
    <row r="7266" spans="4:4" x14ac:dyDescent="0.25">
      <c r="D7266"/>
    </row>
    <row r="7267" spans="4:4" x14ac:dyDescent="0.25">
      <c r="D7267"/>
    </row>
    <row r="7268" spans="4:4" x14ac:dyDescent="0.25">
      <c r="D7268"/>
    </row>
    <row r="7269" spans="4:4" x14ac:dyDescent="0.25">
      <c r="D7269"/>
    </row>
    <row r="7270" spans="4:4" x14ac:dyDescent="0.25">
      <c r="D7270"/>
    </row>
    <row r="7271" spans="4:4" x14ac:dyDescent="0.25">
      <c r="D7271"/>
    </row>
    <row r="7272" spans="4:4" x14ac:dyDescent="0.25">
      <c r="D7272"/>
    </row>
    <row r="7273" spans="4:4" x14ac:dyDescent="0.25">
      <c r="D7273"/>
    </row>
    <row r="7274" spans="4:4" x14ac:dyDescent="0.25">
      <c r="D7274"/>
    </row>
    <row r="7275" spans="4:4" x14ac:dyDescent="0.25">
      <c r="D7275"/>
    </row>
    <row r="7276" spans="4:4" x14ac:dyDescent="0.25">
      <c r="D7276"/>
    </row>
    <row r="7277" spans="4:4" x14ac:dyDescent="0.25">
      <c r="D7277"/>
    </row>
    <row r="7278" spans="4:4" x14ac:dyDescent="0.25">
      <c r="D7278"/>
    </row>
    <row r="7279" spans="4:4" x14ac:dyDescent="0.25">
      <c r="D7279"/>
    </row>
    <row r="7280" spans="4:4" x14ac:dyDescent="0.25">
      <c r="D7280"/>
    </row>
    <row r="7281" spans="4:4" x14ac:dyDescent="0.25">
      <c r="D7281"/>
    </row>
    <row r="7282" spans="4:4" x14ac:dyDescent="0.25">
      <c r="D7282"/>
    </row>
    <row r="7283" spans="4:4" x14ac:dyDescent="0.25">
      <c r="D7283"/>
    </row>
    <row r="7284" spans="4:4" x14ac:dyDescent="0.25">
      <c r="D7284"/>
    </row>
    <row r="7285" spans="4:4" x14ac:dyDescent="0.25">
      <c r="D7285"/>
    </row>
    <row r="7286" spans="4:4" x14ac:dyDescent="0.25">
      <c r="D7286"/>
    </row>
    <row r="7287" spans="4:4" x14ac:dyDescent="0.25">
      <c r="D7287"/>
    </row>
    <row r="7288" spans="4:4" x14ac:dyDescent="0.25">
      <c r="D7288"/>
    </row>
    <row r="7289" spans="4:4" x14ac:dyDescent="0.25">
      <c r="D7289"/>
    </row>
    <row r="7290" spans="4:4" x14ac:dyDescent="0.25">
      <c r="D7290"/>
    </row>
    <row r="7291" spans="4:4" x14ac:dyDescent="0.25">
      <c r="D7291"/>
    </row>
    <row r="7292" spans="4:4" x14ac:dyDescent="0.25">
      <c r="D7292"/>
    </row>
    <row r="7293" spans="4:4" x14ac:dyDescent="0.25">
      <c r="D7293"/>
    </row>
    <row r="7294" spans="4:4" x14ac:dyDescent="0.25">
      <c r="D7294"/>
    </row>
    <row r="7295" spans="4:4" x14ac:dyDescent="0.25">
      <c r="D7295"/>
    </row>
    <row r="7296" spans="4:4" x14ac:dyDescent="0.25">
      <c r="D7296"/>
    </row>
    <row r="7297" spans="4:4" x14ac:dyDescent="0.25">
      <c r="D7297"/>
    </row>
    <row r="7298" spans="4:4" x14ac:dyDescent="0.25">
      <c r="D7298"/>
    </row>
    <row r="7299" spans="4:4" x14ac:dyDescent="0.25">
      <c r="D7299"/>
    </row>
    <row r="7300" spans="4:4" x14ac:dyDescent="0.25">
      <c r="D7300"/>
    </row>
    <row r="7301" spans="4:4" x14ac:dyDescent="0.25">
      <c r="D7301"/>
    </row>
    <row r="7302" spans="4:4" x14ac:dyDescent="0.25">
      <c r="D7302"/>
    </row>
    <row r="7303" spans="4:4" x14ac:dyDescent="0.25">
      <c r="D7303"/>
    </row>
    <row r="7304" spans="4:4" x14ac:dyDescent="0.25">
      <c r="D7304"/>
    </row>
    <row r="7305" spans="4:4" x14ac:dyDescent="0.25">
      <c r="D7305"/>
    </row>
    <row r="7306" spans="4:4" x14ac:dyDescent="0.25">
      <c r="D7306"/>
    </row>
    <row r="7307" spans="4:4" x14ac:dyDescent="0.25">
      <c r="D7307"/>
    </row>
    <row r="7308" spans="4:4" x14ac:dyDescent="0.25">
      <c r="D7308"/>
    </row>
    <row r="7309" spans="4:4" x14ac:dyDescent="0.25">
      <c r="D7309"/>
    </row>
    <row r="7310" spans="4:4" x14ac:dyDescent="0.25">
      <c r="D7310"/>
    </row>
    <row r="7311" spans="4:4" x14ac:dyDescent="0.25">
      <c r="D7311"/>
    </row>
    <row r="7312" spans="4:4" x14ac:dyDescent="0.25">
      <c r="D7312"/>
    </row>
    <row r="7313" spans="4:4" x14ac:dyDescent="0.25">
      <c r="D7313"/>
    </row>
    <row r="7314" spans="4:4" x14ac:dyDescent="0.25">
      <c r="D7314"/>
    </row>
    <row r="7315" spans="4:4" x14ac:dyDescent="0.25">
      <c r="D7315"/>
    </row>
    <row r="7316" spans="4:4" x14ac:dyDescent="0.25">
      <c r="D7316"/>
    </row>
    <row r="7317" spans="4:4" x14ac:dyDescent="0.25">
      <c r="D7317"/>
    </row>
    <row r="7318" spans="4:4" x14ac:dyDescent="0.25">
      <c r="D7318"/>
    </row>
    <row r="7319" spans="4:4" x14ac:dyDescent="0.25">
      <c r="D7319"/>
    </row>
    <row r="7320" spans="4:4" x14ac:dyDescent="0.25">
      <c r="D7320"/>
    </row>
    <row r="7321" spans="4:4" x14ac:dyDescent="0.25">
      <c r="D7321"/>
    </row>
    <row r="7322" spans="4:4" x14ac:dyDescent="0.25">
      <c r="D7322"/>
    </row>
    <row r="7323" spans="4:4" x14ac:dyDescent="0.25">
      <c r="D7323"/>
    </row>
    <row r="7324" spans="4:4" x14ac:dyDescent="0.25">
      <c r="D7324"/>
    </row>
    <row r="7325" spans="4:4" x14ac:dyDescent="0.25">
      <c r="D7325"/>
    </row>
    <row r="7326" spans="4:4" x14ac:dyDescent="0.25">
      <c r="D7326"/>
    </row>
    <row r="7327" spans="4:4" x14ac:dyDescent="0.25">
      <c r="D7327"/>
    </row>
    <row r="7328" spans="4:4" x14ac:dyDescent="0.25">
      <c r="D7328"/>
    </row>
    <row r="7329" spans="4:4" x14ac:dyDescent="0.25">
      <c r="D7329"/>
    </row>
    <row r="7330" spans="4:4" x14ac:dyDescent="0.25">
      <c r="D7330"/>
    </row>
    <row r="7331" spans="4:4" x14ac:dyDescent="0.25">
      <c r="D7331"/>
    </row>
    <row r="7332" spans="4:4" x14ac:dyDescent="0.25">
      <c r="D7332"/>
    </row>
    <row r="7333" spans="4:4" x14ac:dyDescent="0.25">
      <c r="D7333"/>
    </row>
    <row r="7334" spans="4:4" x14ac:dyDescent="0.25">
      <c r="D7334"/>
    </row>
    <row r="7335" spans="4:4" x14ac:dyDescent="0.25">
      <c r="D7335"/>
    </row>
    <row r="7336" spans="4:4" x14ac:dyDescent="0.25">
      <c r="D7336"/>
    </row>
    <row r="7337" spans="4:4" x14ac:dyDescent="0.25">
      <c r="D7337"/>
    </row>
    <row r="7338" spans="4:4" x14ac:dyDescent="0.25">
      <c r="D7338"/>
    </row>
    <row r="7339" spans="4:4" x14ac:dyDescent="0.25">
      <c r="D7339"/>
    </row>
    <row r="7340" spans="4:4" x14ac:dyDescent="0.25">
      <c r="D7340"/>
    </row>
    <row r="7341" spans="4:4" x14ac:dyDescent="0.25">
      <c r="D7341"/>
    </row>
    <row r="7342" spans="4:4" x14ac:dyDescent="0.25">
      <c r="D7342"/>
    </row>
    <row r="7343" spans="4:4" x14ac:dyDescent="0.25">
      <c r="D7343"/>
    </row>
    <row r="7344" spans="4:4" x14ac:dyDescent="0.25">
      <c r="D7344"/>
    </row>
    <row r="7345" spans="4:4" x14ac:dyDescent="0.25">
      <c r="D7345"/>
    </row>
    <row r="7346" spans="4:4" x14ac:dyDescent="0.25">
      <c r="D7346"/>
    </row>
    <row r="7347" spans="4:4" x14ac:dyDescent="0.25">
      <c r="D7347"/>
    </row>
    <row r="7348" spans="4:4" x14ac:dyDescent="0.25">
      <c r="D7348"/>
    </row>
    <row r="7349" spans="4:4" x14ac:dyDescent="0.25">
      <c r="D7349"/>
    </row>
    <row r="7350" spans="4:4" x14ac:dyDescent="0.25">
      <c r="D7350"/>
    </row>
    <row r="7351" spans="4:4" x14ac:dyDescent="0.25">
      <c r="D7351"/>
    </row>
    <row r="7352" spans="4:4" x14ac:dyDescent="0.25">
      <c r="D7352"/>
    </row>
    <row r="7353" spans="4:4" x14ac:dyDescent="0.25">
      <c r="D7353"/>
    </row>
    <row r="7354" spans="4:4" x14ac:dyDescent="0.25">
      <c r="D7354"/>
    </row>
    <row r="7355" spans="4:4" x14ac:dyDescent="0.25">
      <c r="D7355"/>
    </row>
    <row r="7356" spans="4:4" x14ac:dyDescent="0.25">
      <c r="D7356"/>
    </row>
    <row r="7357" spans="4:4" x14ac:dyDescent="0.25">
      <c r="D7357"/>
    </row>
    <row r="7358" spans="4:4" x14ac:dyDescent="0.25">
      <c r="D7358"/>
    </row>
    <row r="7359" spans="4:4" x14ac:dyDescent="0.25">
      <c r="D7359"/>
    </row>
    <row r="7360" spans="4:4" x14ac:dyDescent="0.25">
      <c r="D7360"/>
    </row>
    <row r="7361" spans="4:4" x14ac:dyDescent="0.25">
      <c r="D7361"/>
    </row>
    <row r="7362" spans="4:4" x14ac:dyDescent="0.25">
      <c r="D7362"/>
    </row>
    <row r="7363" spans="4:4" x14ac:dyDescent="0.25">
      <c r="D7363"/>
    </row>
    <row r="7364" spans="4:4" x14ac:dyDescent="0.25">
      <c r="D7364"/>
    </row>
    <row r="7365" spans="4:4" x14ac:dyDescent="0.25">
      <c r="D7365"/>
    </row>
    <row r="7366" spans="4:4" x14ac:dyDescent="0.25">
      <c r="D7366"/>
    </row>
    <row r="7367" spans="4:4" x14ac:dyDescent="0.25">
      <c r="D7367"/>
    </row>
    <row r="7368" spans="4:4" x14ac:dyDescent="0.25">
      <c r="D7368"/>
    </row>
    <row r="7369" spans="4:4" x14ac:dyDescent="0.25">
      <c r="D7369"/>
    </row>
    <row r="7370" spans="4:4" x14ac:dyDescent="0.25">
      <c r="D7370"/>
    </row>
    <row r="7371" spans="4:4" x14ac:dyDescent="0.25">
      <c r="D7371"/>
    </row>
    <row r="7372" spans="4:4" x14ac:dyDescent="0.25">
      <c r="D7372"/>
    </row>
    <row r="7373" spans="4:4" x14ac:dyDescent="0.25">
      <c r="D7373"/>
    </row>
    <row r="7374" spans="4:4" x14ac:dyDescent="0.25">
      <c r="D7374"/>
    </row>
    <row r="7375" spans="4:4" x14ac:dyDescent="0.25">
      <c r="D7375"/>
    </row>
    <row r="7376" spans="4:4" x14ac:dyDescent="0.25">
      <c r="D7376"/>
    </row>
    <row r="7377" spans="4:4" x14ac:dyDescent="0.25">
      <c r="D7377"/>
    </row>
    <row r="7378" spans="4:4" x14ac:dyDescent="0.25">
      <c r="D7378"/>
    </row>
    <row r="7379" spans="4:4" x14ac:dyDescent="0.25">
      <c r="D7379"/>
    </row>
    <row r="7380" spans="4:4" x14ac:dyDescent="0.25">
      <c r="D7380"/>
    </row>
    <row r="7381" spans="4:4" x14ac:dyDescent="0.25">
      <c r="D7381"/>
    </row>
    <row r="7382" spans="4:4" x14ac:dyDescent="0.25">
      <c r="D7382"/>
    </row>
    <row r="7383" spans="4:4" x14ac:dyDescent="0.25">
      <c r="D7383"/>
    </row>
    <row r="7384" spans="4:4" x14ac:dyDescent="0.25">
      <c r="D7384"/>
    </row>
    <row r="7385" spans="4:4" x14ac:dyDescent="0.25">
      <c r="D7385"/>
    </row>
    <row r="7386" spans="4:4" x14ac:dyDescent="0.25">
      <c r="D7386"/>
    </row>
    <row r="7387" spans="4:4" x14ac:dyDescent="0.25">
      <c r="D7387"/>
    </row>
    <row r="7388" spans="4:4" x14ac:dyDescent="0.25">
      <c r="D7388"/>
    </row>
    <row r="7389" spans="4:4" x14ac:dyDescent="0.25">
      <c r="D7389"/>
    </row>
    <row r="7390" spans="4:4" x14ac:dyDescent="0.25">
      <c r="D7390"/>
    </row>
    <row r="7391" spans="4:4" x14ac:dyDescent="0.25">
      <c r="D7391"/>
    </row>
    <row r="7392" spans="4:4" x14ac:dyDescent="0.25">
      <c r="D7392"/>
    </row>
    <row r="7393" spans="4:4" x14ac:dyDescent="0.25">
      <c r="D7393"/>
    </row>
    <row r="7394" spans="4:4" x14ac:dyDescent="0.25">
      <c r="D7394"/>
    </row>
    <row r="7395" spans="4:4" x14ac:dyDescent="0.25">
      <c r="D7395"/>
    </row>
    <row r="7396" spans="4:4" x14ac:dyDescent="0.25">
      <c r="D7396"/>
    </row>
    <row r="7397" spans="4:4" x14ac:dyDescent="0.25">
      <c r="D7397"/>
    </row>
    <row r="7398" spans="4:4" x14ac:dyDescent="0.25">
      <c r="D7398"/>
    </row>
    <row r="7399" spans="4:4" x14ac:dyDescent="0.25">
      <c r="D7399"/>
    </row>
    <row r="7400" spans="4:4" x14ac:dyDescent="0.25">
      <c r="D7400"/>
    </row>
    <row r="7401" spans="4:4" x14ac:dyDescent="0.25">
      <c r="D7401"/>
    </row>
    <row r="7402" spans="4:4" x14ac:dyDescent="0.25">
      <c r="D7402"/>
    </row>
    <row r="7403" spans="4:4" x14ac:dyDescent="0.25">
      <c r="D7403"/>
    </row>
    <row r="7404" spans="4:4" x14ac:dyDescent="0.25">
      <c r="D7404"/>
    </row>
    <row r="7405" spans="4:4" x14ac:dyDescent="0.25">
      <c r="D7405"/>
    </row>
    <row r="7406" spans="4:4" x14ac:dyDescent="0.25">
      <c r="D7406"/>
    </row>
    <row r="7407" spans="4:4" x14ac:dyDescent="0.25">
      <c r="D7407"/>
    </row>
    <row r="7408" spans="4:4" x14ac:dyDescent="0.25">
      <c r="D7408"/>
    </row>
    <row r="7409" spans="4:4" x14ac:dyDescent="0.25">
      <c r="D7409"/>
    </row>
    <row r="7410" spans="4:4" x14ac:dyDescent="0.25">
      <c r="D7410"/>
    </row>
    <row r="7411" spans="4:4" x14ac:dyDescent="0.25">
      <c r="D7411"/>
    </row>
    <row r="7412" spans="4:4" x14ac:dyDescent="0.25">
      <c r="D7412"/>
    </row>
    <row r="7413" spans="4:4" x14ac:dyDescent="0.25">
      <c r="D7413"/>
    </row>
    <row r="7414" spans="4:4" x14ac:dyDescent="0.25">
      <c r="D7414"/>
    </row>
    <row r="7415" spans="4:4" x14ac:dyDescent="0.25">
      <c r="D7415"/>
    </row>
    <row r="7416" spans="4:4" x14ac:dyDescent="0.25">
      <c r="D7416"/>
    </row>
    <row r="7417" spans="4:4" x14ac:dyDescent="0.25">
      <c r="D7417"/>
    </row>
    <row r="7418" spans="4:4" x14ac:dyDescent="0.25">
      <c r="D7418"/>
    </row>
    <row r="7419" spans="4:4" x14ac:dyDescent="0.25">
      <c r="D7419"/>
    </row>
    <row r="7420" spans="4:4" x14ac:dyDescent="0.25">
      <c r="D7420"/>
    </row>
    <row r="7421" spans="4:4" x14ac:dyDescent="0.25">
      <c r="D7421"/>
    </row>
    <row r="7422" spans="4:4" x14ac:dyDescent="0.25">
      <c r="D7422"/>
    </row>
    <row r="7423" spans="4:4" x14ac:dyDescent="0.25">
      <c r="D7423"/>
    </row>
    <row r="7424" spans="4:4" x14ac:dyDescent="0.25">
      <c r="D7424"/>
    </row>
    <row r="7425" spans="4:4" x14ac:dyDescent="0.25">
      <c r="D7425"/>
    </row>
    <row r="7426" spans="4:4" x14ac:dyDescent="0.25">
      <c r="D7426"/>
    </row>
    <row r="7427" spans="4:4" x14ac:dyDescent="0.25">
      <c r="D7427"/>
    </row>
    <row r="7428" spans="4:4" x14ac:dyDescent="0.25">
      <c r="D7428"/>
    </row>
    <row r="7429" spans="4:4" x14ac:dyDescent="0.25">
      <c r="D7429"/>
    </row>
    <row r="7430" spans="4:4" x14ac:dyDescent="0.25">
      <c r="D7430"/>
    </row>
    <row r="7431" spans="4:4" x14ac:dyDescent="0.25">
      <c r="D7431"/>
    </row>
    <row r="7432" spans="4:4" x14ac:dyDescent="0.25">
      <c r="D7432"/>
    </row>
    <row r="7433" spans="4:4" x14ac:dyDescent="0.25">
      <c r="D7433"/>
    </row>
    <row r="7434" spans="4:4" x14ac:dyDescent="0.25">
      <c r="D7434"/>
    </row>
    <row r="7435" spans="4:4" x14ac:dyDescent="0.25">
      <c r="D7435"/>
    </row>
    <row r="7436" spans="4:4" x14ac:dyDescent="0.25">
      <c r="D7436"/>
    </row>
    <row r="7437" spans="4:4" x14ac:dyDescent="0.25">
      <c r="D7437"/>
    </row>
    <row r="7438" spans="4:4" x14ac:dyDescent="0.25">
      <c r="D7438"/>
    </row>
    <row r="7439" spans="4:4" x14ac:dyDescent="0.25">
      <c r="D7439"/>
    </row>
    <row r="7440" spans="4:4" x14ac:dyDescent="0.25">
      <c r="D7440"/>
    </row>
    <row r="7441" spans="4:4" x14ac:dyDescent="0.25">
      <c r="D7441"/>
    </row>
    <row r="7442" spans="4:4" x14ac:dyDescent="0.25">
      <c r="D7442"/>
    </row>
    <row r="7443" spans="4:4" x14ac:dyDescent="0.25">
      <c r="D7443"/>
    </row>
    <row r="7444" spans="4:4" x14ac:dyDescent="0.25">
      <c r="D7444"/>
    </row>
    <row r="7445" spans="4:4" x14ac:dyDescent="0.25">
      <c r="D7445"/>
    </row>
    <row r="7446" spans="4:4" x14ac:dyDescent="0.25">
      <c r="D7446"/>
    </row>
    <row r="7447" spans="4:4" x14ac:dyDescent="0.25">
      <c r="D7447"/>
    </row>
    <row r="7448" spans="4:4" x14ac:dyDescent="0.25">
      <c r="D7448"/>
    </row>
    <row r="7449" spans="4:4" x14ac:dyDescent="0.25">
      <c r="D7449"/>
    </row>
    <row r="7450" spans="4:4" x14ac:dyDescent="0.25">
      <c r="D7450"/>
    </row>
    <row r="7451" spans="4:4" x14ac:dyDescent="0.25">
      <c r="D7451"/>
    </row>
    <row r="7452" spans="4:4" x14ac:dyDescent="0.25">
      <c r="D7452"/>
    </row>
    <row r="7453" spans="4:4" x14ac:dyDescent="0.25">
      <c r="D7453"/>
    </row>
    <row r="7454" spans="4:4" x14ac:dyDescent="0.25">
      <c r="D7454"/>
    </row>
    <row r="7455" spans="4:4" x14ac:dyDescent="0.25">
      <c r="D7455"/>
    </row>
    <row r="7456" spans="4:4" x14ac:dyDescent="0.25">
      <c r="D7456"/>
    </row>
    <row r="7457" spans="4:4" x14ac:dyDescent="0.25">
      <c r="D7457"/>
    </row>
    <row r="7458" spans="4:4" x14ac:dyDescent="0.25">
      <c r="D7458"/>
    </row>
    <row r="7459" spans="4:4" x14ac:dyDescent="0.25">
      <c r="D7459"/>
    </row>
    <row r="7460" spans="4:4" x14ac:dyDescent="0.25">
      <c r="D7460"/>
    </row>
    <row r="7461" spans="4:4" x14ac:dyDescent="0.25">
      <c r="D7461"/>
    </row>
    <row r="7462" spans="4:4" x14ac:dyDescent="0.25">
      <c r="D7462"/>
    </row>
    <row r="7463" spans="4:4" x14ac:dyDescent="0.25">
      <c r="D7463"/>
    </row>
    <row r="7464" spans="4:4" x14ac:dyDescent="0.25">
      <c r="D7464"/>
    </row>
    <row r="7465" spans="4:4" x14ac:dyDescent="0.25">
      <c r="D7465"/>
    </row>
    <row r="7466" spans="4:4" x14ac:dyDescent="0.25">
      <c r="D7466"/>
    </row>
    <row r="7467" spans="4:4" x14ac:dyDescent="0.25">
      <c r="D7467"/>
    </row>
    <row r="7468" spans="4:4" x14ac:dyDescent="0.25">
      <c r="D7468"/>
    </row>
    <row r="7469" spans="4:4" x14ac:dyDescent="0.25">
      <c r="D7469"/>
    </row>
    <row r="7470" spans="4:4" x14ac:dyDescent="0.25">
      <c r="D7470"/>
    </row>
    <row r="7471" spans="4:4" x14ac:dyDescent="0.25">
      <c r="D7471"/>
    </row>
    <row r="7472" spans="4:4" x14ac:dyDescent="0.25">
      <c r="D7472"/>
    </row>
    <row r="7473" spans="4:4" x14ac:dyDescent="0.25">
      <c r="D7473"/>
    </row>
    <row r="7474" spans="4:4" x14ac:dyDescent="0.25">
      <c r="D7474"/>
    </row>
    <row r="7475" spans="4:4" x14ac:dyDescent="0.25">
      <c r="D7475"/>
    </row>
    <row r="7476" spans="4:4" x14ac:dyDescent="0.25">
      <c r="D7476"/>
    </row>
    <row r="7477" spans="4:4" x14ac:dyDescent="0.25">
      <c r="D7477"/>
    </row>
    <row r="7478" spans="4:4" x14ac:dyDescent="0.25">
      <c r="D7478"/>
    </row>
    <row r="7479" spans="4:4" x14ac:dyDescent="0.25">
      <c r="D7479"/>
    </row>
    <row r="7480" spans="4:4" x14ac:dyDescent="0.25">
      <c r="D7480"/>
    </row>
    <row r="7481" spans="4:4" x14ac:dyDescent="0.25">
      <c r="D7481"/>
    </row>
    <row r="7482" spans="4:4" x14ac:dyDescent="0.25">
      <c r="D7482"/>
    </row>
    <row r="7483" spans="4:4" x14ac:dyDescent="0.25">
      <c r="D7483"/>
    </row>
    <row r="7484" spans="4:4" x14ac:dyDescent="0.25">
      <c r="D7484"/>
    </row>
    <row r="7485" spans="4:4" x14ac:dyDescent="0.25">
      <c r="D7485"/>
    </row>
    <row r="7486" spans="4:4" x14ac:dyDescent="0.25">
      <c r="D7486"/>
    </row>
    <row r="7487" spans="4:4" x14ac:dyDescent="0.25">
      <c r="D7487"/>
    </row>
    <row r="7488" spans="4:4" x14ac:dyDescent="0.25">
      <c r="D7488"/>
    </row>
    <row r="7489" spans="4:4" x14ac:dyDescent="0.25">
      <c r="D7489"/>
    </row>
    <row r="7490" spans="4:4" x14ac:dyDescent="0.25">
      <c r="D7490"/>
    </row>
    <row r="7491" spans="4:4" x14ac:dyDescent="0.25">
      <c r="D7491"/>
    </row>
    <row r="7492" spans="4:4" x14ac:dyDescent="0.25">
      <c r="D7492"/>
    </row>
    <row r="7493" spans="4:4" x14ac:dyDescent="0.25">
      <c r="D7493"/>
    </row>
    <row r="7494" spans="4:4" x14ac:dyDescent="0.25">
      <c r="D7494"/>
    </row>
    <row r="7495" spans="4:4" x14ac:dyDescent="0.25">
      <c r="D7495"/>
    </row>
    <row r="7496" spans="4:4" x14ac:dyDescent="0.25">
      <c r="D7496"/>
    </row>
    <row r="7497" spans="4:4" x14ac:dyDescent="0.25">
      <c r="D7497"/>
    </row>
    <row r="7498" spans="4:4" x14ac:dyDescent="0.25">
      <c r="D7498"/>
    </row>
    <row r="7499" spans="4:4" x14ac:dyDescent="0.25">
      <c r="D7499"/>
    </row>
    <row r="7500" spans="4:4" x14ac:dyDescent="0.25">
      <c r="D7500"/>
    </row>
    <row r="7501" spans="4:4" x14ac:dyDescent="0.25">
      <c r="D7501"/>
    </row>
    <row r="7502" spans="4:4" x14ac:dyDescent="0.25">
      <c r="D7502"/>
    </row>
    <row r="7503" spans="4:4" x14ac:dyDescent="0.25">
      <c r="D7503"/>
    </row>
    <row r="7504" spans="4:4" x14ac:dyDescent="0.25">
      <c r="D7504"/>
    </row>
    <row r="7505" spans="4:4" x14ac:dyDescent="0.25">
      <c r="D7505"/>
    </row>
    <row r="7506" spans="4:4" x14ac:dyDescent="0.25">
      <c r="D7506"/>
    </row>
    <row r="7507" spans="4:4" x14ac:dyDescent="0.25">
      <c r="D7507"/>
    </row>
    <row r="7508" spans="4:4" x14ac:dyDescent="0.25">
      <c r="D7508"/>
    </row>
    <row r="7509" spans="4:4" x14ac:dyDescent="0.25">
      <c r="D7509"/>
    </row>
    <row r="7510" spans="4:4" x14ac:dyDescent="0.25">
      <c r="D7510"/>
    </row>
    <row r="7511" spans="4:4" x14ac:dyDescent="0.25">
      <c r="D7511"/>
    </row>
    <row r="7512" spans="4:4" x14ac:dyDescent="0.25">
      <c r="D7512"/>
    </row>
    <row r="7513" spans="4:4" x14ac:dyDescent="0.25">
      <c r="D7513"/>
    </row>
    <row r="7514" spans="4:4" x14ac:dyDescent="0.25">
      <c r="D7514"/>
    </row>
    <row r="7515" spans="4:4" x14ac:dyDescent="0.25">
      <c r="D7515"/>
    </row>
    <row r="7516" spans="4:4" x14ac:dyDescent="0.25">
      <c r="D7516"/>
    </row>
    <row r="7517" spans="4:4" x14ac:dyDescent="0.25">
      <c r="D7517"/>
    </row>
    <row r="7518" spans="4:4" x14ac:dyDescent="0.25">
      <c r="D7518"/>
    </row>
    <row r="7519" spans="4:4" x14ac:dyDescent="0.25">
      <c r="D7519"/>
    </row>
    <row r="7520" spans="4:4" x14ac:dyDescent="0.25">
      <c r="D7520"/>
    </row>
    <row r="7521" spans="4:4" x14ac:dyDescent="0.25">
      <c r="D7521"/>
    </row>
    <row r="7522" spans="4:4" x14ac:dyDescent="0.25">
      <c r="D7522"/>
    </row>
    <row r="7523" spans="4:4" x14ac:dyDescent="0.25">
      <c r="D7523"/>
    </row>
    <row r="7524" spans="4:4" x14ac:dyDescent="0.25">
      <c r="D7524"/>
    </row>
    <row r="7525" spans="4:4" x14ac:dyDescent="0.25">
      <c r="D7525"/>
    </row>
    <row r="7526" spans="4:4" x14ac:dyDescent="0.25">
      <c r="D7526"/>
    </row>
    <row r="7527" spans="4:4" x14ac:dyDescent="0.25">
      <c r="D7527"/>
    </row>
    <row r="7528" spans="4:4" x14ac:dyDescent="0.25">
      <c r="D7528"/>
    </row>
    <row r="7529" spans="4:4" x14ac:dyDescent="0.25">
      <c r="D7529"/>
    </row>
    <row r="7530" spans="4:4" x14ac:dyDescent="0.25">
      <c r="D7530"/>
    </row>
    <row r="7531" spans="4:4" x14ac:dyDescent="0.25">
      <c r="D7531"/>
    </row>
    <row r="7532" spans="4:4" x14ac:dyDescent="0.25">
      <c r="D7532"/>
    </row>
    <row r="7533" spans="4:4" x14ac:dyDescent="0.25">
      <c r="D7533"/>
    </row>
    <row r="7534" spans="4:4" x14ac:dyDescent="0.25">
      <c r="D7534"/>
    </row>
    <row r="7535" spans="4:4" x14ac:dyDescent="0.25">
      <c r="D7535"/>
    </row>
    <row r="7536" spans="4:4" x14ac:dyDescent="0.25">
      <c r="D7536"/>
    </row>
    <row r="7537" spans="4:4" x14ac:dyDescent="0.25">
      <c r="D7537"/>
    </row>
    <row r="7538" spans="4:4" x14ac:dyDescent="0.25">
      <c r="D7538"/>
    </row>
    <row r="7539" spans="4:4" x14ac:dyDescent="0.25">
      <c r="D7539"/>
    </row>
    <row r="7540" spans="4:4" x14ac:dyDescent="0.25">
      <c r="D7540"/>
    </row>
    <row r="7541" spans="4:4" x14ac:dyDescent="0.25">
      <c r="D7541"/>
    </row>
    <row r="7542" spans="4:4" x14ac:dyDescent="0.25">
      <c r="D7542"/>
    </row>
    <row r="7543" spans="4:4" x14ac:dyDescent="0.25">
      <c r="D7543"/>
    </row>
    <row r="7544" spans="4:4" x14ac:dyDescent="0.25">
      <c r="D7544"/>
    </row>
    <row r="7545" spans="4:4" x14ac:dyDescent="0.25">
      <c r="D7545"/>
    </row>
    <row r="7546" spans="4:4" x14ac:dyDescent="0.25">
      <c r="D7546"/>
    </row>
    <row r="7547" spans="4:4" x14ac:dyDescent="0.25">
      <c r="D7547"/>
    </row>
    <row r="7548" spans="4:4" x14ac:dyDescent="0.25">
      <c r="D7548"/>
    </row>
    <row r="7549" spans="4:4" x14ac:dyDescent="0.25">
      <c r="D7549"/>
    </row>
    <row r="7550" spans="4:4" x14ac:dyDescent="0.25">
      <c r="D7550"/>
    </row>
    <row r="7551" spans="4:4" x14ac:dyDescent="0.25">
      <c r="D7551"/>
    </row>
    <row r="7552" spans="4:4" x14ac:dyDescent="0.25">
      <c r="D7552"/>
    </row>
    <row r="7553" spans="4:4" x14ac:dyDescent="0.25">
      <c r="D7553"/>
    </row>
    <row r="7554" spans="4:4" x14ac:dyDescent="0.25">
      <c r="D7554"/>
    </row>
    <row r="7555" spans="4:4" x14ac:dyDescent="0.25">
      <c r="D7555"/>
    </row>
    <row r="7556" spans="4:4" x14ac:dyDescent="0.25">
      <c r="D7556"/>
    </row>
    <row r="7557" spans="4:4" x14ac:dyDescent="0.25">
      <c r="D7557"/>
    </row>
    <row r="7558" spans="4:4" x14ac:dyDescent="0.25">
      <c r="D7558"/>
    </row>
    <row r="7559" spans="4:4" x14ac:dyDescent="0.25">
      <c r="D7559"/>
    </row>
    <row r="7560" spans="4:4" x14ac:dyDescent="0.25">
      <c r="D7560"/>
    </row>
    <row r="7561" spans="4:4" x14ac:dyDescent="0.25">
      <c r="D7561"/>
    </row>
    <row r="7562" spans="4:4" x14ac:dyDescent="0.25">
      <c r="D7562"/>
    </row>
    <row r="7563" spans="4:4" x14ac:dyDescent="0.25">
      <c r="D7563"/>
    </row>
    <row r="7564" spans="4:4" x14ac:dyDescent="0.25">
      <c r="D7564"/>
    </row>
    <row r="7565" spans="4:4" x14ac:dyDescent="0.25">
      <c r="D7565"/>
    </row>
    <row r="7566" spans="4:4" x14ac:dyDescent="0.25">
      <c r="D7566"/>
    </row>
    <row r="7567" spans="4:4" x14ac:dyDescent="0.25">
      <c r="D7567"/>
    </row>
    <row r="7568" spans="4:4" x14ac:dyDescent="0.25">
      <c r="D7568"/>
    </row>
    <row r="7569" spans="4:4" x14ac:dyDescent="0.25">
      <c r="D7569"/>
    </row>
    <row r="7570" spans="4:4" x14ac:dyDescent="0.25">
      <c r="D7570"/>
    </row>
    <row r="7571" spans="4:4" x14ac:dyDescent="0.25">
      <c r="D7571"/>
    </row>
    <row r="7572" spans="4:4" x14ac:dyDescent="0.25">
      <c r="D7572"/>
    </row>
    <row r="7573" spans="4:4" x14ac:dyDescent="0.25">
      <c r="D7573"/>
    </row>
    <row r="7574" spans="4:4" x14ac:dyDescent="0.25">
      <c r="D7574"/>
    </row>
    <row r="7575" spans="4:4" x14ac:dyDescent="0.25">
      <c r="D7575"/>
    </row>
    <row r="7576" spans="4:4" x14ac:dyDescent="0.25">
      <c r="D7576"/>
    </row>
    <row r="7577" spans="4:4" x14ac:dyDescent="0.25">
      <c r="D7577"/>
    </row>
    <row r="7578" spans="4:4" x14ac:dyDescent="0.25">
      <c r="D7578"/>
    </row>
    <row r="7579" spans="4:4" x14ac:dyDescent="0.25">
      <c r="D7579"/>
    </row>
    <row r="7580" spans="4:4" x14ac:dyDescent="0.25">
      <c r="D7580"/>
    </row>
    <row r="7581" spans="4:4" x14ac:dyDescent="0.25">
      <c r="D7581"/>
    </row>
    <row r="7582" spans="4:4" x14ac:dyDescent="0.25">
      <c r="D7582"/>
    </row>
    <row r="7583" spans="4:4" x14ac:dyDescent="0.25">
      <c r="D7583"/>
    </row>
    <row r="7584" spans="4:4" x14ac:dyDescent="0.25">
      <c r="D7584"/>
    </row>
    <row r="7585" spans="4:4" x14ac:dyDescent="0.25">
      <c r="D7585"/>
    </row>
    <row r="7586" spans="4:4" x14ac:dyDescent="0.25">
      <c r="D7586"/>
    </row>
    <row r="7587" spans="4:4" x14ac:dyDescent="0.25">
      <c r="D7587"/>
    </row>
    <row r="7588" spans="4:4" x14ac:dyDescent="0.25">
      <c r="D7588"/>
    </row>
    <row r="7589" spans="4:4" x14ac:dyDescent="0.25">
      <c r="D7589"/>
    </row>
    <row r="7590" spans="4:4" x14ac:dyDescent="0.25">
      <c r="D7590"/>
    </row>
    <row r="7591" spans="4:4" x14ac:dyDescent="0.25">
      <c r="D7591"/>
    </row>
    <row r="7592" spans="4:4" x14ac:dyDescent="0.25">
      <c r="D7592"/>
    </row>
    <row r="7593" spans="4:4" x14ac:dyDescent="0.25">
      <c r="D7593"/>
    </row>
    <row r="7594" spans="4:4" x14ac:dyDescent="0.25">
      <c r="D7594"/>
    </row>
    <row r="7595" spans="4:4" x14ac:dyDescent="0.25">
      <c r="D7595"/>
    </row>
    <row r="7596" spans="4:4" x14ac:dyDescent="0.25">
      <c r="D7596"/>
    </row>
    <row r="7597" spans="4:4" x14ac:dyDescent="0.25">
      <c r="D7597"/>
    </row>
    <row r="7598" spans="4:4" x14ac:dyDescent="0.25">
      <c r="D7598"/>
    </row>
    <row r="7599" spans="4:4" x14ac:dyDescent="0.25">
      <c r="D7599"/>
    </row>
    <row r="7600" spans="4:4" x14ac:dyDescent="0.25">
      <c r="D7600"/>
    </row>
    <row r="7601" spans="4:4" x14ac:dyDescent="0.25">
      <c r="D7601"/>
    </row>
    <row r="7602" spans="4:4" x14ac:dyDescent="0.25">
      <c r="D7602"/>
    </row>
    <row r="7603" spans="4:4" x14ac:dyDescent="0.25">
      <c r="D7603"/>
    </row>
    <row r="7604" spans="4:4" x14ac:dyDescent="0.25">
      <c r="D7604"/>
    </row>
    <row r="7605" spans="4:4" x14ac:dyDescent="0.25">
      <c r="D7605"/>
    </row>
    <row r="7606" spans="4:4" x14ac:dyDescent="0.25">
      <c r="D7606"/>
    </row>
    <row r="7607" spans="4:4" x14ac:dyDescent="0.25">
      <c r="D7607"/>
    </row>
    <row r="7608" spans="4:4" x14ac:dyDescent="0.25">
      <c r="D7608"/>
    </row>
    <row r="7609" spans="4:4" x14ac:dyDescent="0.25">
      <c r="D7609"/>
    </row>
    <row r="7610" spans="4:4" x14ac:dyDescent="0.25">
      <c r="D7610"/>
    </row>
    <row r="7611" spans="4:4" x14ac:dyDescent="0.25">
      <c r="D7611"/>
    </row>
    <row r="7612" spans="4:4" x14ac:dyDescent="0.25">
      <c r="D7612"/>
    </row>
    <row r="7613" spans="4:4" x14ac:dyDescent="0.25">
      <c r="D7613"/>
    </row>
    <row r="7614" spans="4:4" x14ac:dyDescent="0.25">
      <c r="D7614"/>
    </row>
    <row r="7615" spans="4:4" x14ac:dyDescent="0.25">
      <c r="D7615"/>
    </row>
    <row r="7616" spans="4:4" x14ac:dyDescent="0.25">
      <c r="D7616"/>
    </row>
    <row r="7617" spans="4:4" x14ac:dyDescent="0.25">
      <c r="D7617"/>
    </row>
    <row r="7618" spans="4:4" x14ac:dyDescent="0.25">
      <c r="D7618"/>
    </row>
    <row r="7619" spans="4:4" x14ac:dyDescent="0.25">
      <c r="D7619"/>
    </row>
    <row r="7620" spans="4:4" x14ac:dyDescent="0.25">
      <c r="D7620"/>
    </row>
    <row r="7621" spans="4:4" x14ac:dyDescent="0.25">
      <c r="D7621"/>
    </row>
    <row r="7622" spans="4:4" x14ac:dyDescent="0.25">
      <c r="D7622"/>
    </row>
    <row r="7623" spans="4:4" x14ac:dyDescent="0.25">
      <c r="D7623"/>
    </row>
    <row r="7624" spans="4:4" x14ac:dyDescent="0.25">
      <c r="D7624"/>
    </row>
    <row r="7625" spans="4:4" x14ac:dyDescent="0.25">
      <c r="D7625"/>
    </row>
    <row r="7626" spans="4:4" x14ac:dyDescent="0.25">
      <c r="D7626"/>
    </row>
    <row r="7627" spans="4:4" x14ac:dyDescent="0.25">
      <c r="D7627"/>
    </row>
    <row r="7628" spans="4:4" x14ac:dyDescent="0.25">
      <c r="D7628"/>
    </row>
    <row r="7629" spans="4:4" x14ac:dyDescent="0.25">
      <c r="D7629"/>
    </row>
    <row r="7630" spans="4:4" x14ac:dyDescent="0.25">
      <c r="D7630"/>
    </row>
    <row r="7631" spans="4:4" x14ac:dyDescent="0.25">
      <c r="D7631"/>
    </row>
    <row r="7632" spans="4:4" x14ac:dyDescent="0.25">
      <c r="D7632"/>
    </row>
    <row r="7633" spans="4:4" x14ac:dyDescent="0.25">
      <c r="D7633"/>
    </row>
    <row r="7634" spans="4:4" x14ac:dyDescent="0.25">
      <c r="D7634"/>
    </row>
    <row r="7635" spans="4:4" x14ac:dyDescent="0.25">
      <c r="D7635"/>
    </row>
    <row r="7636" spans="4:4" x14ac:dyDescent="0.25">
      <c r="D7636"/>
    </row>
    <row r="7637" spans="4:4" x14ac:dyDescent="0.25">
      <c r="D7637"/>
    </row>
    <row r="7638" spans="4:4" x14ac:dyDescent="0.25">
      <c r="D7638"/>
    </row>
    <row r="7639" spans="4:4" x14ac:dyDescent="0.25">
      <c r="D7639"/>
    </row>
    <row r="7640" spans="4:4" x14ac:dyDescent="0.25">
      <c r="D7640"/>
    </row>
    <row r="7641" spans="4:4" x14ac:dyDescent="0.25">
      <c r="D7641"/>
    </row>
    <row r="7642" spans="4:4" x14ac:dyDescent="0.25">
      <c r="D7642"/>
    </row>
    <row r="7643" spans="4:4" x14ac:dyDescent="0.25">
      <c r="D7643"/>
    </row>
    <row r="7644" spans="4:4" x14ac:dyDescent="0.25">
      <c r="D7644"/>
    </row>
    <row r="7645" spans="4:4" x14ac:dyDescent="0.25">
      <c r="D7645"/>
    </row>
    <row r="7646" spans="4:4" x14ac:dyDescent="0.25">
      <c r="D7646"/>
    </row>
    <row r="7647" spans="4:4" x14ac:dyDescent="0.25">
      <c r="D7647"/>
    </row>
    <row r="7648" spans="4:4" x14ac:dyDescent="0.25">
      <c r="D7648"/>
    </row>
    <row r="7649" spans="4:4" x14ac:dyDescent="0.25">
      <c r="D7649"/>
    </row>
    <row r="7650" spans="4:4" x14ac:dyDescent="0.25">
      <c r="D7650"/>
    </row>
    <row r="7651" spans="4:4" x14ac:dyDescent="0.25">
      <c r="D7651"/>
    </row>
    <row r="7652" spans="4:4" x14ac:dyDescent="0.25">
      <c r="D7652"/>
    </row>
    <row r="7653" spans="4:4" x14ac:dyDescent="0.25">
      <c r="D7653"/>
    </row>
    <row r="7654" spans="4:4" x14ac:dyDescent="0.25">
      <c r="D7654"/>
    </row>
    <row r="7655" spans="4:4" x14ac:dyDescent="0.25">
      <c r="D7655"/>
    </row>
    <row r="7656" spans="4:4" x14ac:dyDescent="0.25">
      <c r="D7656"/>
    </row>
    <row r="7657" spans="4:4" x14ac:dyDescent="0.25">
      <c r="D7657"/>
    </row>
    <row r="7658" spans="4:4" x14ac:dyDescent="0.25">
      <c r="D7658"/>
    </row>
    <row r="7659" spans="4:4" x14ac:dyDescent="0.25">
      <c r="D7659"/>
    </row>
    <row r="7660" spans="4:4" x14ac:dyDescent="0.25">
      <c r="D7660"/>
    </row>
    <row r="7661" spans="4:4" x14ac:dyDescent="0.25">
      <c r="D7661"/>
    </row>
    <row r="7662" spans="4:4" x14ac:dyDescent="0.25">
      <c r="D7662"/>
    </row>
    <row r="7663" spans="4:4" x14ac:dyDescent="0.25">
      <c r="D7663"/>
    </row>
    <row r="7664" spans="4:4" x14ac:dyDescent="0.25">
      <c r="D7664"/>
    </row>
    <row r="7665" spans="4:4" x14ac:dyDescent="0.25">
      <c r="D7665"/>
    </row>
    <row r="7666" spans="4:4" x14ac:dyDescent="0.25">
      <c r="D7666"/>
    </row>
    <row r="7667" spans="4:4" x14ac:dyDescent="0.25">
      <c r="D7667"/>
    </row>
    <row r="7668" spans="4:4" x14ac:dyDescent="0.25">
      <c r="D7668"/>
    </row>
    <row r="7669" spans="4:4" x14ac:dyDescent="0.25">
      <c r="D7669"/>
    </row>
    <row r="7670" spans="4:4" x14ac:dyDescent="0.25">
      <c r="D7670"/>
    </row>
    <row r="7671" spans="4:4" x14ac:dyDescent="0.25">
      <c r="D7671"/>
    </row>
    <row r="7672" spans="4:4" x14ac:dyDescent="0.25">
      <c r="D7672"/>
    </row>
    <row r="7673" spans="4:4" x14ac:dyDescent="0.25">
      <c r="D7673"/>
    </row>
    <row r="7674" spans="4:4" x14ac:dyDescent="0.25">
      <c r="D7674"/>
    </row>
    <row r="7675" spans="4:4" x14ac:dyDescent="0.25">
      <c r="D7675"/>
    </row>
    <row r="7676" spans="4:4" x14ac:dyDescent="0.25">
      <c r="D7676"/>
    </row>
    <row r="7677" spans="4:4" x14ac:dyDescent="0.25">
      <c r="D7677"/>
    </row>
    <row r="7678" spans="4:4" x14ac:dyDescent="0.25">
      <c r="D7678"/>
    </row>
    <row r="7679" spans="4:4" x14ac:dyDescent="0.25">
      <c r="D7679"/>
    </row>
    <row r="7680" spans="4:4" x14ac:dyDescent="0.25">
      <c r="D7680"/>
    </row>
    <row r="7681" spans="4:4" x14ac:dyDescent="0.25">
      <c r="D7681"/>
    </row>
    <row r="7682" spans="4:4" x14ac:dyDescent="0.25">
      <c r="D7682"/>
    </row>
    <row r="7683" spans="4:4" x14ac:dyDescent="0.25">
      <c r="D7683"/>
    </row>
    <row r="7684" spans="4:4" x14ac:dyDescent="0.25">
      <c r="D7684"/>
    </row>
    <row r="7685" spans="4:4" x14ac:dyDescent="0.25">
      <c r="D7685"/>
    </row>
    <row r="7686" spans="4:4" x14ac:dyDescent="0.25">
      <c r="D7686"/>
    </row>
    <row r="7687" spans="4:4" x14ac:dyDescent="0.25">
      <c r="D7687"/>
    </row>
    <row r="7688" spans="4:4" x14ac:dyDescent="0.25">
      <c r="D7688"/>
    </row>
    <row r="7689" spans="4:4" x14ac:dyDescent="0.25">
      <c r="D7689"/>
    </row>
    <row r="7690" spans="4:4" x14ac:dyDescent="0.25">
      <c r="D7690"/>
    </row>
    <row r="7691" spans="4:4" x14ac:dyDescent="0.25">
      <c r="D7691"/>
    </row>
    <row r="7692" spans="4:4" x14ac:dyDescent="0.25">
      <c r="D7692"/>
    </row>
    <row r="7693" spans="4:4" x14ac:dyDescent="0.25">
      <c r="D7693"/>
    </row>
    <row r="7694" spans="4:4" x14ac:dyDescent="0.25">
      <c r="D7694"/>
    </row>
    <row r="7695" spans="4:4" x14ac:dyDescent="0.25">
      <c r="D7695"/>
    </row>
    <row r="7696" spans="4:4" x14ac:dyDescent="0.25">
      <c r="D7696"/>
    </row>
    <row r="7697" spans="4:4" x14ac:dyDescent="0.25">
      <c r="D7697"/>
    </row>
    <row r="7698" spans="4:4" x14ac:dyDescent="0.25">
      <c r="D7698"/>
    </row>
    <row r="7699" spans="4:4" x14ac:dyDescent="0.25">
      <c r="D7699"/>
    </row>
    <row r="7700" spans="4:4" x14ac:dyDescent="0.25">
      <c r="D7700"/>
    </row>
    <row r="7701" spans="4:4" x14ac:dyDescent="0.25">
      <c r="D7701"/>
    </row>
    <row r="7702" spans="4:4" x14ac:dyDescent="0.25">
      <c r="D7702"/>
    </row>
    <row r="7703" spans="4:4" x14ac:dyDescent="0.25">
      <c r="D7703"/>
    </row>
    <row r="7704" spans="4:4" x14ac:dyDescent="0.25">
      <c r="D7704"/>
    </row>
    <row r="7705" spans="4:4" x14ac:dyDescent="0.25">
      <c r="D7705"/>
    </row>
    <row r="7706" spans="4:4" x14ac:dyDescent="0.25">
      <c r="D7706"/>
    </row>
    <row r="7707" spans="4:4" x14ac:dyDescent="0.25">
      <c r="D7707"/>
    </row>
    <row r="7708" spans="4:4" x14ac:dyDescent="0.25">
      <c r="D7708"/>
    </row>
    <row r="7709" spans="4:4" x14ac:dyDescent="0.25">
      <c r="D7709"/>
    </row>
    <row r="7710" spans="4:4" x14ac:dyDescent="0.25">
      <c r="D7710"/>
    </row>
    <row r="7711" spans="4:4" x14ac:dyDescent="0.25">
      <c r="D7711"/>
    </row>
    <row r="7712" spans="4:4" x14ac:dyDescent="0.25">
      <c r="D7712"/>
    </row>
    <row r="7713" spans="4:4" x14ac:dyDescent="0.25">
      <c r="D7713"/>
    </row>
    <row r="7714" spans="4:4" x14ac:dyDescent="0.25">
      <c r="D7714"/>
    </row>
    <row r="7715" spans="4:4" x14ac:dyDescent="0.25">
      <c r="D7715"/>
    </row>
    <row r="7716" spans="4:4" x14ac:dyDescent="0.25">
      <c r="D7716"/>
    </row>
    <row r="7717" spans="4:4" x14ac:dyDescent="0.25">
      <c r="D7717"/>
    </row>
    <row r="7718" spans="4:4" x14ac:dyDescent="0.25">
      <c r="D7718"/>
    </row>
    <row r="7719" spans="4:4" x14ac:dyDescent="0.25">
      <c r="D7719"/>
    </row>
    <row r="7720" spans="4:4" x14ac:dyDescent="0.25">
      <c r="D7720"/>
    </row>
    <row r="7721" spans="4:4" x14ac:dyDescent="0.25">
      <c r="D7721"/>
    </row>
    <row r="7722" spans="4:4" x14ac:dyDescent="0.25">
      <c r="D7722"/>
    </row>
    <row r="7723" spans="4:4" x14ac:dyDescent="0.25">
      <c r="D7723"/>
    </row>
    <row r="7724" spans="4:4" x14ac:dyDescent="0.25">
      <c r="D7724"/>
    </row>
    <row r="7725" spans="4:4" x14ac:dyDescent="0.25">
      <c r="D7725"/>
    </row>
    <row r="7726" spans="4:4" x14ac:dyDescent="0.25">
      <c r="D7726"/>
    </row>
    <row r="7727" spans="4:4" x14ac:dyDescent="0.25">
      <c r="D7727"/>
    </row>
    <row r="7728" spans="4:4" x14ac:dyDescent="0.25">
      <c r="D7728"/>
    </row>
    <row r="7729" spans="4:4" x14ac:dyDescent="0.25">
      <c r="D7729"/>
    </row>
    <row r="7730" spans="4:4" x14ac:dyDescent="0.25">
      <c r="D7730"/>
    </row>
    <row r="7731" spans="4:4" x14ac:dyDescent="0.25">
      <c r="D7731"/>
    </row>
    <row r="7732" spans="4:4" x14ac:dyDescent="0.25">
      <c r="D7732"/>
    </row>
    <row r="7733" spans="4:4" x14ac:dyDescent="0.25">
      <c r="D7733"/>
    </row>
    <row r="7734" spans="4:4" x14ac:dyDescent="0.25">
      <c r="D7734"/>
    </row>
    <row r="7735" spans="4:4" x14ac:dyDescent="0.25">
      <c r="D7735"/>
    </row>
    <row r="7736" spans="4:4" x14ac:dyDescent="0.25">
      <c r="D7736"/>
    </row>
    <row r="7737" spans="4:4" x14ac:dyDescent="0.25">
      <c r="D7737"/>
    </row>
    <row r="7738" spans="4:4" x14ac:dyDescent="0.25">
      <c r="D7738"/>
    </row>
    <row r="7739" spans="4:4" x14ac:dyDescent="0.25">
      <c r="D7739"/>
    </row>
    <row r="7740" spans="4:4" x14ac:dyDescent="0.25">
      <c r="D7740"/>
    </row>
    <row r="7741" spans="4:4" x14ac:dyDescent="0.25">
      <c r="D7741"/>
    </row>
    <row r="7742" spans="4:4" x14ac:dyDescent="0.25">
      <c r="D7742"/>
    </row>
    <row r="7743" spans="4:4" x14ac:dyDescent="0.25">
      <c r="D7743"/>
    </row>
    <row r="7744" spans="4:4" x14ac:dyDescent="0.25">
      <c r="D7744"/>
    </row>
    <row r="7745" spans="4:4" x14ac:dyDescent="0.25">
      <c r="D7745"/>
    </row>
    <row r="7746" spans="4:4" x14ac:dyDescent="0.25">
      <c r="D7746"/>
    </row>
    <row r="7747" spans="4:4" x14ac:dyDescent="0.25">
      <c r="D7747"/>
    </row>
    <row r="7748" spans="4:4" x14ac:dyDescent="0.25">
      <c r="D7748"/>
    </row>
    <row r="7749" spans="4:4" x14ac:dyDescent="0.25">
      <c r="D7749"/>
    </row>
    <row r="7750" spans="4:4" x14ac:dyDescent="0.25">
      <c r="D7750"/>
    </row>
    <row r="7751" spans="4:4" x14ac:dyDescent="0.25">
      <c r="D7751"/>
    </row>
    <row r="7752" spans="4:4" x14ac:dyDescent="0.25">
      <c r="D7752"/>
    </row>
    <row r="7753" spans="4:4" x14ac:dyDescent="0.25">
      <c r="D7753"/>
    </row>
    <row r="7754" spans="4:4" x14ac:dyDescent="0.25">
      <c r="D7754"/>
    </row>
    <row r="7755" spans="4:4" x14ac:dyDescent="0.25">
      <c r="D7755"/>
    </row>
    <row r="7756" spans="4:4" x14ac:dyDescent="0.25">
      <c r="D7756"/>
    </row>
    <row r="7757" spans="4:4" x14ac:dyDescent="0.25">
      <c r="D7757"/>
    </row>
    <row r="7758" spans="4:4" x14ac:dyDescent="0.25">
      <c r="D7758"/>
    </row>
    <row r="7759" spans="4:4" x14ac:dyDescent="0.25">
      <c r="D7759"/>
    </row>
    <row r="7760" spans="4:4" x14ac:dyDescent="0.25">
      <c r="D7760"/>
    </row>
    <row r="7761" spans="4:4" x14ac:dyDescent="0.25">
      <c r="D7761"/>
    </row>
    <row r="7762" spans="4:4" x14ac:dyDescent="0.25">
      <c r="D7762"/>
    </row>
    <row r="7763" spans="4:4" x14ac:dyDescent="0.25">
      <c r="D7763"/>
    </row>
    <row r="7764" spans="4:4" x14ac:dyDescent="0.25">
      <c r="D7764"/>
    </row>
    <row r="7765" spans="4:4" x14ac:dyDescent="0.25">
      <c r="D7765"/>
    </row>
    <row r="7766" spans="4:4" x14ac:dyDescent="0.25">
      <c r="D7766"/>
    </row>
    <row r="7767" spans="4:4" x14ac:dyDescent="0.25">
      <c r="D7767"/>
    </row>
    <row r="7768" spans="4:4" x14ac:dyDescent="0.25">
      <c r="D7768"/>
    </row>
    <row r="7769" spans="4:4" x14ac:dyDescent="0.25">
      <c r="D7769"/>
    </row>
    <row r="7770" spans="4:4" x14ac:dyDescent="0.25">
      <c r="D7770"/>
    </row>
    <row r="7771" spans="4:4" x14ac:dyDescent="0.25">
      <c r="D7771"/>
    </row>
    <row r="7772" spans="4:4" x14ac:dyDescent="0.25">
      <c r="D7772"/>
    </row>
    <row r="7773" spans="4:4" x14ac:dyDescent="0.25">
      <c r="D7773"/>
    </row>
    <row r="7774" spans="4:4" x14ac:dyDescent="0.25">
      <c r="D7774"/>
    </row>
    <row r="7775" spans="4:4" x14ac:dyDescent="0.25">
      <c r="D7775"/>
    </row>
    <row r="7776" spans="4:4" x14ac:dyDescent="0.25">
      <c r="D7776"/>
    </row>
    <row r="7777" spans="4:4" x14ac:dyDescent="0.25">
      <c r="D7777"/>
    </row>
    <row r="7778" spans="4:4" x14ac:dyDescent="0.25">
      <c r="D7778"/>
    </row>
    <row r="7779" spans="4:4" x14ac:dyDescent="0.25">
      <c r="D7779"/>
    </row>
    <row r="7780" spans="4:4" x14ac:dyDescent="0.25">
      <c r="D7780"/>
    </row>
    <row r="7781" spans="4:4" x14ac:dyDescent="0.25">
      <c r="D7781"/>
    </row>
    <row r="7782" spans="4:4" x14ac:dyDescent="0.25">
      <c r="D7782"/>
    </row>
    <row r="7783" spans="4:4" x14ac:dyDescent="0.25">
      <c r="D7783"/>
    </row>
    <row r="7784" spans="4:4" x14ac:dyDescent="0.25">
      <c r="D7784"/>
    </row>
    <row r="7785" spans="4:4" x14ac:dyDescent="0.25">
      <c r="D7785"/>
    </row>
    <row r="7786" spans="4:4" x14ac:dyDescent="0.25">
      <c r="D7786"/>
    </row>
    <row r="7787" spans="4:4" x14ac:dyDescent="0.25">
      <c r="D7787"/>
    </row>
    <row r="7788" spans="4:4" x14ac:dyDescent="0.25">
      <c r="D7788"/>
    </row>
    <row r="7789" spans="4:4" x14ac:dyDescent="0.25">
      <c r="D7789"/>
    </row>
    <row r="7790" spans="4:4" x14ac:dyDescent="0.25">
      <c r="D7790"/>
    </row>
    <row r="7791" spans="4:4" x14ac:dyDescent="0.25">
      <c r="D7791"/>
    </row>
    <row r="7792" spans="4:4" x14ac:dyDescent="0.25">
      <c r="D7792"/>
    </row>
    <row r="7793" spans="4:4" x14ac:dyDescent="0.25">
      <c r="D7793"/>
    </row>
    <row r="7794" spans="4:4" x14ac:dyDescent="0.25">
      <c r="D7794"/>
    </row>
    <row r="7795" spans="4:4" x14ac:dyDescent="0.25">
      <c r="D7795"/>
    </row>
    <row r="7796" spans="4:4" x14ac:dyDescent="0.25">
      <c r="D7796"/>
    </row>
    <row r="7797" spans="4:4" x14ac:dyDescent="0.25">
      <c r="D7797"/>
    </row>
    <row r="7798" spans="4:4" x14ac:dyDescent="0.25">
      <c r="D7798"/>
    </row>
    <row r="7799" spans="4:4" x14ac:dyDescent="0.25">
      <c r="D7799"/>
    </row>
    <row r="7800" spans="4:4" x14ac:dyDescent="0.25">
      <c r="D7800"/>
    </row>
    <row r="7801" spans="4:4" x14ac:dyDescent="0.25">
      <c r="D7801"/>
    </row>
    <row r="7802" spans="4:4" x14ac:dyDescent="0.25">
      <c r="D7802"/>
    </row>
    <row r="7803" spans="4:4" x14ac:dyDescent="0.25">
      <c r="D7803"/>
    </row>
    <row r="7804" spans="4:4" x14ac:dyDescent="0.25">
      <c r="D7804"/>
    </row>
    <row r="7805" spans="4:4" x14ac:dyDescent="0.25">
      <c r="D7805"/>
    </row>
    <row r="7806" spans="4:4" x14ac:dyDescent="0.25">
      <c r="D7806"/>
    </row>
    <row r="7807" spans="4:4" x14ac:dyDescent="0.25">
      <c r="D7807"/>
    </row>
    <row r="7808" spans="4:4" x14ac:dyDescent="0.25">
      <c r="D7808"/>
    </row>
    <row r="7809" spans="4:4" x14ac:dyDescent="0.25">
      <c r="D7809"/>
    </row>
    <row r="7810" spans="4:4" x14ac:dyDescent="0.25">
      <c r="D7810"/>
    </row>
    <row r="7811" spans="4:4" x14ac:dyDescent="0.25">
      <c r="D7811"/>
    </row>
    <row r="7812" spans="4:4" x14ac:dyDescent="0.25">
      <c r="D7812"/>
    </row>
    <row r="7813" spans="4:4" x14ac:dyDescent="0.25">
      <c r="D7813"/>
    </row>
    <row r="7814" spans="4:4" x14ac:dyDescent="0.25">
      <c r="D7814"/>
    </row>
    <row r="7815" spans="4:4" x14ac:dyDescent="0.25">
      <c r="D7815"/>
    </row>
    <row r="7816" spans="4:4" x14ac:dyDescent="0.25">
      <c r="D7816"/>
    </row>
    <row r="7817" spans="4:4" x14ac:dyDescent="0.25">
      <c r="D7817"/>
    </row>
    <row r="7818" spans="4:4" x14ac:dyDescent="0.25">
      <c r="D7818"/>
    </row>
    <row r="7819" spans="4:4" x14ac:dyDescent="0.25">
      <c r="D7819"/>
    </row>
    <row r="7820" spans="4:4" x14ac:dyDescent="0.25">
      <c r="D7820"/>
    </row>
    <row r="7821" spans="4:4" x14ac:dyDescent="0.25">
      <c r="D7821"/>
    </row>
    <row r="7822" spans="4:4" x14ac:dyDescent="0.25">
      <c r="D7822"/>
    </row>
    <row r="7823" spans="4:4" x14ac:dyDescent="0.25">
      <c r="D7823"/>
    </row>
    <row r="7824" spans="4:4" x14ac:dyDescent="0.25">
      <c r="D7824"/>
    </row>
    <row r="7825" spans="4:4" x14ac:dyDescent="0.25">
      <c r="D7825"/>
    </row>
    <row r="7826" spans="4:4" x14ac:dyDescent="0.25">
      <c r="D7826"/>
    </row>
    <row r="7827" spans="4:4" x14ac:dyDescent="0.25">
      <c r="D7827"/>
    </row>
    <row r="7828" spans="4:4" x14ac:dyDescent="0.25">
      <c r="D7828"/>
    </row>
    <row r="7829" spans="4:4" x14ac:dyDescent="0.25">
      <c r="D7829"/>
    </row>
    <row r="7830" spans="4:4" x14ac:dyDescent="0.25">
      <c r="D7830"/>
    </row>
    <row r="7831" spans="4:4" x14ac:dyDescent="0.25">
      <c r="D7831"/>
    </row>
    <row r="7832" spans="4:4" x14ac:dyDescent="0.25">
      <c r="D7832"/>
    </row>
    <row r="7833" spans="4:4" x14ac:dyDescent="0.25">
      <c r="D7833"/>
    </row>
    <row r="7834" spans="4:4" x14ac:dyDescent="0.25">
      <c r="D7834"/>
    </row>
    <row r="7835" spans="4:4" x14ac:dyDescent="0.25">
      <c r="D7835"/>
    </row>
    <row r="7836" spans="4:4" x14ac:dyDescent="0.25">
      <c r="D7836"/>
    </row>
    <row r="7837" spans="4:4" x14ac:dyDescent="0.25">
      <c r="D7837"/>
    </row>
    <row r="7838" spans="4:4" x14ac:dyDescent="0.25">
      <c r="D7838"/>
    </row>
    <row r="7839" spans="4:4" x14ac:dyDescent="0.25">
      <c r="D7839"/>
    </row>
    <row r="7840" spans="4:4" x14ac:dyDescent="0.25">
      <c r="D7840"/>
    </row>
    <row r="7841" spans="4:4" x14ac:dyDescent="0.25">
      <c r="D7841"/>
    </row>
    <row r="7842" spans="4:4" x14ac:dyDescent="0.25">
      <c r="D7842"/>
    </row>
    <row r="7843" spans="4:4" x14ac:dyDescent="0.25">
      <c r="D7843"/>
    </row>
    <row r="7844" spans="4:4" x14ac:dyDescent="0.25">
      <c r="D7844"/>
    </row>
    <row r="7845" spans="4:4" x14ac:dyDescent="0.25">
      <c r="D7845"/>
    </row>
    <row r="7846" spans="4:4" x14ac:dyDescent="0.25">
      <c r="D7846"/>
    </row>
    <row r="7847" spans="4:4" x14ac:dyDescent="0.25">
      <c r="D7847"/>
    </row>
    <row r="7848" spans="4:4" x14ac:dyDescent="0.25">
      <c r="D7848"/>
    </row>
    <row r="7849" spans="4:4" x14ac:dyDescent="0.25">
      <c r="D7849"/>
    </row>
    <row r="7850" spans="4:4" x14ac:dyDescent="0.25">
      <c r="D7850"/>
    </row>
    <row r="7851" spans="4:4" x14ac:dyDescent="0.25">
      <c r="D7851"/>
    </row>
    <row r="7852" spans="4:4" x14ac:dyDescent="0.25">
      <c r="D7852"/>
    </row>
    <row r="7853" spans="4:4" x14ac:dyDescent="0.25">
      <c r="D7853"/>
    </row>
    <row r="7854" spans="4:4" x14ac:dyDescent="0.25">
      <c r="D7854"/>
    </row>
    <row r="7855" spans="4:4" x14ac:dyDescent="0.25">
      <c r="D7855"/>
    </row>
    <row r="7856" spans="4:4" x14ac:dyDescent="0.25">
      <c r="D7856"/>
    </row>
    <row r="7857" spans="4:4" x14ac:dyDescent="0.25">
      <c r="D7857"/>
    </row>
    <row r="7858" spans="4:4" x14ac:dyDescent="0.25">
      <c r="D7858"/>
    </row>
    <row r="7859" spans="4:4" x14ac:dyDescent="0.25">
      <c r="D7859"/>
    </row>
    <row r="7860" spans="4:4" x14ac:dyDescent="0.25">
      <c r="D7860"/>
    </row>
    <row r="7861" spans="4:4" x14ac:dyDescent="0.25">
      <c r="D7861"/>
    </row>
    <row r="7862" spans="4:4" x14ac:dyDescent="0.25">
      <c r="D7862"/>
    </row>
    <row r="7863" spans="4:4" x14ac:dyDescent="0.25">
      <c r="D7863"/>
    </row>
    <row r="7864" spans="4:4" x14ac:dyDescent="0.25">
      <c r="D7864"/>
    </row>
    <row r="7865" spans="4:4" x14ac:dyDescent="0.25">
      <c r="D7865"/>
    </row>
    <row r="7866" spans="4:4" x14ac:dyDescent="0.25">
      <c r="D7866"/>
    </row>
    <row r="7867" spans="4:4" x14ac:dyDescent="0.25">
      <c r="D7867"/>
    </row>
    <row r="7868" spans="4:4" x14ac:dyDescent="0.25">
      <c r="D7868"/>
    </row>
    <row r="7869" spans="4:4" x14ac:dyDescent="0.25">
      <c r="D7869"/>
    </row>
    <row r="7870" spans="4:4" x14ac:dyDescent="0.25">
      <c r="D7870"/>
    </row>
    <row r="7871" spans="4:4" x14ac:dyDescent="0.25">
      <c r="D7871"/>
    </row>
    <row r="7872" spans="4:4" x14ac:dyDescent="0.25">
      <c r="D7872"/>
    </row>
    <row r="7873" spans="4:4" x14ac:dyDescent="0.25">
      <c r="D7873"/>
    </row>
    <row r="7874" spans="4:4" x14ac:dyDescent="0.25">
      <c r="D7874"/>
    </row>
    <row r="7875" spans="4:4" x14ac:dyDescent="0.25">
      <c r="D7875"/>
    </row>
    <row r="7876" spans="4:4" x14ac:dyDescent="0.25">
      <c r="D7876"/>
    </row>
    <row r="7877" spans="4:4" x14ac:dyDescent="0.25">
      <c r="D7877"/>
    </row>
    <row r="7878" spans="4:4" x14ac:dyDescent="0.25">
      <c r="D7878"/>
    </row>
    <row r="7879" spans="4:4" x14ac:dyDescent="0.25">
      <c r="D7879"/>
    </row>
    <row r="7880" spans="4:4" x14ac:dyDescent="0.25">
      <c r="D7880"/>
    </row>
    <row r="7881" spans="4:4" x14ac:dyDescent="0.25">
      <c r="D7881"/>
    </row>
    <row r="7882" spans="4:4" x14ac:dyDescent="0.25">
      <c r="D7882"/>
    </row>
    <row r="7883" spans="4:4" x14ac:dyDescent="0.25">
      <c r="D7883"/>
    </row>
    <row r="7884" spans="4:4" x14ac:dyDescent="0.25">
      <c r="D7884"/>
    </row>
    <row r="7885" spans="4:4" x14ac:dyDescent="0.25">
      <c r="D7885"/>
    </row>
    <row r="7886" spans="4:4" x14ac:dyDescent="0.25">
      <c r="D7886"/>
    </row>
    <row r="7887" spans="4:4" x14ac:dyDescent="0.25">
      <c r="D7887"/>
    </row>
    <row r="7888" spans="4:4" x14ac:dyDescent="0.25">
      <c r="D7888"/>
    </row>
    <row r="7889" spans="4:4" x14ac:dyDescent="0.25">
      <c r="D7889"/>
    </row>
    <row r="7890" spans="4:4" x14ac:dyDescent="0.25">
      <c r="D7890"/>
    </row>
    <row r="7891" spans="4:4" x14ac:dyDescent="0.25">
      <c r="D7891"/>
    </row>
    <row r="7892" spans="4:4" x14ac:dyDescent="0.25">
      <c r="D7892"/>
    </row>
    <row r="7893" spans="4:4" x14ac:dyDescent="0.25">
      <c r="D7893"/>
    </row>
    <row r="7894" spans="4:4" x14ac:dyDescent="0.25">
      <c r="D7894"/>
    </row>
    <row r="7895" spans="4:4" x14ac:dyDescent="0.25">
      <c r="D7895"/>
    </row>
    <row r="7896" spans="4:4" x14ac:dyDescent="0.25">
      <c r="D7896"/>
    </row>
    <row r="7897" spans="4:4" x14ac:dyDescent="0.25">
      <c r="D7897"/>
    </row>
    <row r="7898" spans="4:4" x14ac:dyDescent="0.25">
      <c r="D7898"/>
    </row>
    <row r="7899" spans="4:4" x14ac:dyDescent="0.25">
      <c r="D7899"/>
    </row>
    <row r="7900" spans="4:4" x14ac:dyDescent="0.25">
      <c r="D7900"/>
    </row>
    <row r="7901" spans="4:4" x14ac:dyDescent="0.25">
      <c r="D7901"/>
    </row>
    <row r="7902" spans="4:4" x14ac:dyDescent="0.25">
      <c r="D7902"/>
    </row>
    <row r="7903" spans="4:4" x14ac:dyDescent="0.25">
      <c r="D7903"/>
    </row>
    <row r="7904" spans="4:4" x14ac:dyDescent="0.25">
      <c r="D7904"/>
    </row>
    <row r="7905" spans="4:4" x14ac:dyDescent="0.25">
      <c r="D7905"/>
    </row>
    <row r="7906" spans="4:4" x14ac:dyDescent="0.25">
      <c r="D7906"/>
    </row>
    <row r="7907" spans="4:4" x14ac:dyDescent="0.25">
      <c r="D7907"/>
    </row>
    <row r="7908" spans="4:4" x14ac:dyDescent="0.25">
      <c r="D7908"/>
    </row>
    <row r="7909" spans="4:4" x14ac:dyDescent="0.25">
      <c r="D7909"/>
    </row>
    <row r="7910" spans="4:4" x14ac:dyDescent="0.25">
      <c r="D7910"/>
    </row>
    <row r="7911" spans="4:4" x14ac:dyDescent="0.25">
      <c r="D7911"/>
    </row>
    <row r="7912" spans="4:4" x14ac:dyDescent="0.25">
      <c r="D7912"/>
    </row>
    <row r="7913" spans="4:4" x14ac:dyDescent="0.25">
      <c r="D7913"/>
    </row>
    <row r="7914" spans="4:4" x14ac:dyDescent="0.25">
      <c r="D7914"/>
    </row>
    <row r="7915" spans="4:4" x14ac:dyDescent="0.25">
      <c r="D7915"/>
    </row>
    <row r="7916" spans="4:4" x14ac:dyDescent="0.25">
      <c r="D7916"/>
    </row>
    <row r="7917" spans="4:4" x14ac:dyDescent="0.25">
      <c r="D7917"/>
    </row>
    <row r="7918" spans="4:4" x14ac:dyDescent="0.25">
      <c r="D7918"/>
    </row>
    <row r="7919" spans="4:4" x14ac:dyDescent="0.25">
      <c r="D7919"/>
    </row>
    <row r="7920" spans="4:4" x14ac:dyDescent="0.25">
      <c r="D7920"/>
    </row>
    <row r="7921" spans="4:4" x14ac:dyDescent="0.25">
      <c r="D7921"/>
    </row>
    <row r="7922" spans="4:4" x14ac:dyDescent="0.25">
      <c r="D7922"/>
    </row>
    <row r="7923" spans="4:4" x14ac:dyDescent="0.25">
      <c r="D7923"/>
    </row>
    <row r="7924" spans="4:4" x14ac:dyDescent="0.25">
      <c r="D7924"/>
    </row>
    <row r="7925" spans="4:4" x14ac:dyDescent="0.25">
      <c r="D7925"/>
    </row>
    <row r="7926" spans="4:4" x14ac:dyDescent="0.25">
      <c r="D7926"/>
    </row>
    <row r="7927" spans="4:4" x14ac:dyDescent="0.25">
      <c r="D7927"/>
    </row>
    <row r="7928" spans="4:4" x14ac:dyDescent="0.25">
      <c r="D7928"/>
    </row>
    <row r="7929" spans="4:4" x14ac:dyDescent="0.25">
      <c r="D7929"/>
    </row>
    <row r="7930" spans="4:4" x14ac:dyDescent="0.25">
      <c r="D7930"/>
    </row>
    <row r="7931" spans="4:4" x14ac:dyDescent="0.25">
      <c r="D7931"/>
    </row>
    <row r="7932" spans="4:4" x14ac:dyDescent="0.25">
      <c r="D7932"/>
    </row>
    <row r="7933" spans="4:4" x14ac:dyDescent="0.25">
      <c r="D7933"/>
    </row>
    <row r="7934" spans="4:4" x14ac:dyDescent="0.25">
      <c r="D7934"/>
    </row>
    <row r="7935" spans="4:4" x14ac:dyDescent="0.25">
      <c r="D7935"/>
    </row>
    <row r="7936" spans="4:4" x14ac:dyDescent="0.25">
      <c r="D7936"/>
    </row>
    <row r="7937" spans="4:4" x14ac:dyDescent="0.25">
      <c r="D7937"/>
    </row>
    <row r="7938" spans="4:4" x14ac:dyDescent="0.25">
      <c r="D7938"/>
    </row>
    <row r="7939" spans="4:4" x14ac:dyDescent="0.25">
      <c r="D7939"/>
    </row>
    <row r="7940" spans="4:4" x14ac:dyDescent="0.25">
      <c r="D7940"/>
    </row>
    <row r="7941" spans="4:4" x14ac:dyDescent="0.25">
      <c r="D7941"/>
    </row>
    <row r="7942" spans="4:4" x14ac:dyDescent="0.25">
      <c r="D7942"/>
    </row>
    <row r="7943" spans="4:4" x14ac:dyDescent="0.25">
      <c r="D7943"/>
    </row>
    <row r="7944" spans="4:4" x14ac:dyDescent="0.25">
      <c r="D7944"/>
    </row>
    <row r="7945" spans="4:4" x14ac:dyDescent="0.25">
      <c r="D7945"/>
    </row>
    <row r="7946" spans="4:4" x14ac:dyDescent="0.25">
      <c r="D7946"/>
    </row>
    <row r="7947" spans="4:4" x14ac:dyDescent="0.25">
      <c r="D7947"/>
    </row>
    <row r="7948" spans="4:4" x14ac:dyDescent="0.25">
      <c r="D7948"/>
    </row>
    <row r="7949" spans="4:4" x14ac:dyDescent="0.25">
      <c r="D7949"/>
    </row>
    <row r="7950" spans="4:4" x14ac:dyDescent="0.25">
      <c r="D7950"/>
    </row>
    <row r="7951" spans="4:4" x14ac:dyDescent="0.25">
      <c r="D7951"/>
    </row>
    <row r="7952" spans="4:4" x14ac:dyDescent="0.25">
      <c r="D7952"/>
    </row>
    <row r="7953" spans="4:4" x14ac:dyDescent="0.25">
      <c r="D7953"/>
    </row>
    <row r="7954" spans="4:4" x14ac:dyDescent="0.25">
      <c r="D7954"/>
    </row>
    <row r="7955" spans="4:4" x14ac:dyDescent="0.25">
      <c r="D7955"/>
    </row>
    <row r="7956" spans="4:4" x14ac:dyDescent="0.25">
      <c r="D7956"/>
    </row>
    <row r="7957" spans="4:4" x14ac:dyDescent="0.25">
      <c r="D7957"/>
    </row>
    <row r="7958" spans="4:4" x14ac:dyDescent="0.25">
      <c r="D7958"/>
    </row>
    <row r="7959" spans="4:4" x14ac:dyDescent="0.25">
      <c r="D7959"/>
    </row>
    <row r="7960" spans="4:4" x14ac:dyDescent="0.25">
      <c r="D7960"/>
    </row>
    <row r="7961" spans="4:4" x14ac:dyDescent="0.25">
      <c r="D7961"/>
    </row>
    <row r="7962" spans="4:4" x14ac:dyDescent="0.25">
      <c r="D7962"/>
    </row>
    <row r="7963" spans="4:4" x14ac:dyDescent="0.25">
      <c r="D7963"/>
    </row>
    <row r="7964" spans="4:4" x14ac:dyDescent="0.25">
      <c r="D7964"/>
    </row>
    <row r="7965" spans="4:4" x14ac:dyDescent="0.25">
      <c r="D7965"/>
    </row>
    <row r="7966" spans="4:4" x14ac:dyDescent="0.25">
      <c r="D7966"/>
    </row>
    <row r="7967" spans="4:4" x14ac:dyDescent="0.25">
      <c r="D7967"/>
    </row>
    <row r="7968" spans="4:4" x14ac:dyDescent="0.25">
      <c r="D7968"/>
    </row>
    <row r="7969" spans="4:4" x14ac:dyDescent="0.25">
      <c r="D7969"/>
    </row>
    <row r="7970" spans="4:4" x14ac:dyDescent="0.25">
      <c r="D7970"/>
    </row>
    <row r="7971" spans="4:4" x14ac:dyDescent="0.25">
      <c r="D7971"/>
    </row>
    <row r="7972" spans="4:4" x14ac:dyDescent="0.25">
      <c r="D7972"/>
    </row>
    <row r="7973" spans="4:4" x14ac:dyDescent="0.25">
      <c r="D7973"/>
    </row>
    <row r="7974" spans="4:4" x14ac:dyDescent="0.25">
      <c r="D7974"/>
    </row>
    <row r="7975" spans="4:4" x14ac:dyDescent="0.25">
      <c r="D7975"/>
    </row>
    <row r="7976" spans="4:4" x14ac:dyDescent="0.25">
      <c r="D7976"/>
    </row>
    <row r="7977" spans="4:4" x14ac:dyDescent="0.25">
      <c r="D7977"/>
    </row>
    <row r="7978" spans="4:4" x14ac:dyDescent="0.25">
      <c r="D7978"/>
    </row>
    <row r="7979" spans="4:4" x14ac:dyDescent="0.25">
      <c r="D7979"/>
    </row>
    <row r="7980" spans="4:4" x14ac:dyDescent="0.25">
      <c r="D7980"/>
    </row>
    <row r="7981" spans="4:4" x14ac:dyDescent="0.25">
      <c r="D7981"/>
    </row>
    <row r="7982" spans="4:4" x14ac:dyDescent="0.25">
      <c r="D7982"/>
    </row>
    <row r="7983" spans="4:4" x14ac:dyDescent="0.25">
      <c r="D7983"/>
    </row>
    <row r="7984" spans="4:4" x14ac:dyDescent="0.25">
      <c r="D7984"/>
    </row>
    <row r="7985" spans="4:4" x14ac:dyDescent="0.25">
      <c r="D7985"/>
    </row>
    <row r="7986" spans="4:4" x14ac:dyDescent="0.25">
      <c r="D7986"/>
    </row>
    <row r="7987" spans="4:4" x14ac:dyDescent="0.25">
      <c r="D7987"/>
    </row>
    <row r="7988" spans="4:4" x14ac:dyDescent="0.25">
      <c r="D7988"/>
    </row>
    <row r="7989" spans="4:4" x14ac:dyDescent="0.25">
      <c r="D7989"/>
    </row>
    <row r="7990" spans="4:4" x14ac:dyDescent="0.25">
      <c r="D7990"/>
    </row>
    <row r="7991" spans="4:4" x14ac:dyDescent="0.25">
      <c r="D7991"/>
    </row>
    <row r="7992" spans="4:4" x14ac:dyDescent="0.25">
      <c r="D7992"/>
    </row>
    <row r="7993" spans="4:4" x14ac:dyDescent="0.25">
      <c r="D7993"/>
    </row>
    <row r="7994" spans="4:4" x14ac:dyDescent="0.25">
      <c r="D7994"/>
    </row>
    <row r="7995" spans="4:4" x14ac:dyDescent="0.25">
      <c r="D7995"/>
    </row>
    <row r="7996" spans="4:4" x14ac:dyDescent="0.25">
      <c r="D7996"/>
    </row>
    <row r="7997" spans="4:4" x14ac:dyDescent="0.25">
      <c r="D7997"/>
    </row>
    <row r="7998" spans="4:4" x14ac:dyDescent="0.25">
      <c r="D7998"/>
    </row>
    <row r="7999" spans="4:4" x14ac:dyDescent="0.25">
      <c r="D7999"/>
    </row>
    <row r="8000" spans="4:4" x14ac:dyDescent="0.25">
      <c r="D8000"/>
    </row>
    <row r="8001" spans="4:4" x14ac:dyDescent="0.25">
      <c r="D8001"/>
    </row>
    <row r="8002" spans="4:4" x14ac:dyDescent="0.25">
      <c r="D8002"/>
    </row>
    <row r="8003" spans="4:4" x14ac:dyDescent="0.25">
      <c r="D8003"/>
    </row>
    <row r="8004" spans="4:4" x14ac:dyDescent="0.25">
      <c r="D8004"/>
    </row>
    <row r="8005" spans="4:4" x14ac:dyDescent="0.25">
      <c r="D8005"/>
    </row>
    <row r="8006" spans="4:4" x14ac:dyDescent="0.25">
      <c r="D8006"/>
    </row>
    <row r="8007" spans="4:4" x14ac:dyDescent="0.25">
      <c r="D8007"/>
    </row>
    <row r="8008" spans="4:4" x14ac:dyDescent="0.25">
      <c r="D8008"/>
    </row>
    <row r="8009" spans="4:4" x14ac:dyDescent="0.25">
      <c r="D8009"/>
    </row>
    <row r="8010" spans="4:4" x14ac:dyDescent="0.25">
      <c r="D8010"/>
    </row>
    <row r="8011" spans="4:4" x14ac:dyDescent="0.25">
      <c r="D8011"/>
    </row>
    <row r="8012" spans="4:4" x14ac:dyDescent="0.25">
      <c r="D8012"/>
    </row>
    <row r="8013" spans="4:4" x14ac:dyDescent="0.25">
      <c r="D8013"/>
    </row>
    <row r="8014" spans="4:4" x14ac:dyDescent="0.25">
      <c r="D8014"/>
    </row>
    <row r="8015" spans="4:4" x14ac:dyDescent="0.25">
      <c r="D8015"/>
    </row>
    <row r="8016" spans="4:4" x14ac:dyDescent="0.25">
      <c r="D8016"/>
    </row>
    <row r="8017" spans="4:4" x14ac:dyDescent="0.25">
      <c r="D8017"/>
    </row>
    <row r="8018" spans="4:4" x14ac:dyDescent="0.25">
      <c r="D8018"/>
    </row>
    <row r="8019" spans="4:4" x14ac:dyDescent="0.25">
      <c r="D8019"/>
    </row>
    <row r="8020" spans="4:4" x14ac:dyDescent="0.25">
      <c r="D8020"/>
    </row>
    <row r="8021" spans="4:4" x14ac:dyDescent="0.25">
      <c r="D8021"/>
    </row>
    <row r="8022" spans="4:4" x14ac:dyDescent="0.25">
      <c r="D8022"/>
    </row>
    <row r="8023" spans="4:4" x14ac:dyDescent="0.25">
      <c r="D8023"/>
    </row>
    <row r="8024" spans="4:4" x14ac:dyDescent="0.25">
      <c r="D8024"/>
    </row>
    <row r="8025" spans="4:4" x14ac:dyDescent="0.25">
      <c r="D8025"/>
    </row>
    <row r="8026" spans="4:4" x14ac:dyDescent="0.25">
      <c r="D8026"/>
    </row>
    <row r="8027" spans="4:4" x14ac:dyDescent="0.25">
      <c r="D8027"/>
    </row>
    <row r="8028" spans="4:4" x14ac:dyDescent="0.25">
      <c r="D8028"/>
    </row>
    <row r="8029" spans="4:4" x14ac:dyDescent="0.25">
      <c r="D8029"/>
    </row>
    <row r="8030" spans="4:4" x14ac:dyDescent="0.25">
      <c r="D8030"/>
    </row>
    <row r="8031" spans="4:4" x14ac:dyDescent="0.25">
      <c r="D8031"/>
    </row>
    <row r="8032" spans="4:4" x14ac:dyDescent="0.25">
      <c r="D8032"/>
    </row>
    <row r="8033" spans="4:4" x14ac:dyDescent="0.25">
      <c r="D8033"/>
    </row>
    <row r="8034" spans="4:4" x14ac:dyDescent="0.25">
      <c r="D8034"/>
    </row>
    <row r="8035" spans="4:4" x14ac:dyDescent="0.25">
      <c r="D8035"/>
    </row>
    <row r="8036" spans="4:4" x14ac:dyDescent="0.25">
      <c r="D8036"/>
    </row>
    <row r="8037" spans="4:4" x14ac:dyDescent="0.25">
      <c r="D8037"/>
    </row>
    <row r="8038" spans="4:4" x14ac:dyDescent="0.25">
      <c r="D8038"/>
    </row>
    <row r="8039" spans="4:4" x14ac:dyDescent="0.25">
      <c r="D8039"/>
    </row>
    <row r="8040" spans="4:4" x14ac:dyDescent="0.25">
      <c r="D8040"/>
    </row>
    <row r="8041" spans="4:4" x14ac:dyDescent="0.25">
      <c r="D8041"/>
    </row>
    <row r="8042" spans="4:4" x14ac:dyDescent="0.25">
      <c r="D8042"/>
    </row>
    <row r="8043" spans="4:4" x14ac:dyDescent="0.25">
      <c r="D8043"/>
    </row>
    <row r="8044" spans="4:4" x14ac:dyDescent="0.25">
      <c r="D8044"/>
    </row>
    <row r="8045" spans="4:4" x14ac:dyDescent="0.25">
      <c r="D8045"/>
    </row>
    <row r="8046" spans="4:4" x14ac:dyDescent="0.25">
      <c r="D8046"/>
    </row>
    <row r="8047" spans="4:4" x14ac:dyDescent="0.25">
      <c r="D8047"/>
    </row>
    <row r="8048" spans="4:4" x14ac:dyDescent="0.25">
      <c r="D8048"/>
    </row>
    <row r="8049" spans="4:4" x14ac:dyDescent="0.25">
      <c r="D8049"/>
    </row>
    <row r="8050" spans="4:4" x14ac:dyDescent="0.25">
      <c r="D8050"/>
    </row>
    <row r="8051" spans="4:4" x14ac:dyDescent="0.25">
      <c r="D8051"/>
    </row>
    <row r="8052" spans="4:4" x14ac:dyDescent="0.25">
      <c r="D8052"/>
    </row>
    <row r="8053" spans="4:4" x14ac:dyDescent="0.25">
      <c r="D8053"/>
    </row>
    <row r="8054" spans="4:4" x14ac:dyDescent="0.25">
      <c r="D8054"/>
    </row>
    <row r="8055" spans="4:4" x14ac:dyDescent="0.25">
      <c r="D8055"/>
    </row>
    <row r="8056" spans="4:4" x14ac:dyDescent="0.25">
      <c r="D8056"/>
    </row>
    <row r="8057" spans="4:4" x14ac:dyDescent="0.25">
      <c r="D8057"/>
    </row>
    <row r="8058" spans="4:4" x14ac:dyDescent="0.25">
      <c r="D8058"/>
    </row>
    <row r="8059" spans="4:4" x14ac:dyDescent="0.25">
      <c r="D8059"/>
    </row>
    <row r="8060" spans="4:4" x14ac:dyDescent="0.25">
      <c r="D8060"/>
    </row>
    <row r="8061" spans="4:4" x14ac:dyDescent="0.25">
      <c r="D8061"/>
    </row>
    <row r="8062" spans="4:4" x14ac:dyDescent="0.25">
      <c r="D8062"/>
    </row>
    <row r="8063" spans="4:4" x14ac:dyDescent="0.25">
      <c r="D8063"/>
    </row>
    <row r="8064" spans="4:4" x14ac:dyDescent="0.25">
      <c r="D8064"/>
    </row>
    <row r="8065" spans="4:4" x14ac:dyDescent="0.25">
      <c r="D8065"/>
    </row>
    <row r="8066" spans="4:4" x14ac:dyDescent="0.25">
      <c r="D8066"/>
    </row>
    <row r="8067" spans="4:4" x14ac:dyDescent="0.25">
      <c r="D8067"/>
    </row>
    <row r="8068" spans="4:4" x14ac:dyDescent="0.25">
      <c r="D8068"/>
    </row>
    <row r="8069" spans="4:4" x14ac:dyDescent="0.25">
      <c r="D8069"/>
    </row>
    <row r="8070" spans="4:4" x14ac:dyDescent="0.25">
      <c r="D8070"/>
    </row>
    <row r="8071" spans="4:4" x14ac:dyDescent="0.25">
      <c r="D8071"/>
    </row>
    <row r="8072" spans="4:4" x14ac:dyDescent="0.25">
      <c r="D8072"/>
    </row>
    <row r="8073" spans="4:4" x14ac:dyDescent="0.25">
      <c r="D8073"/>
    </row>
    <row r="8074" spans="4:4" x14ac:dyDescent="0.25">
      <c r="D8074"/>
    </row>
    <row r="8075" spans="4:4" x14ac:dyDescent="0.25">
      <c r="D8075"/>
    </row>
    <row r="8076" spans="4:4" x14ac:dyDescent="0.25">
      <c r="D8076"/>
    </row>
    <row r="8077" spans="4:4" x14ac:dyDescent="0.25">
      <c r="D8077"/>
    </row>
    <row r="8078" spans="4:4" x14ac:dyDescent="0.25">
      <c r="D8078"/>
    </row>
    <row r="8079" spans="4:4" x14ac:dyDescent="0.25">
      <c r="D8079"/>
    </row>
    <row r="8080" spans="4:4" x14ac:dyDescent="0.25">
      <c r="D8080"/>
    </row>
    <row r="8081" spans="4:4" x14ac:dyDescent="0.25">
      <c r="D8081"/>
    </row>
    <row r="8082" spans="4:4" x14ac:dyDescent="0.25">
      <c r="D8082"/>
    </row>
    <row r="8083" spans="4:4" x14ac:dyDescent="0.25">
      <c r="D8083"/>
    </row>
    <row r="8084" spans="4:4" x14ac:dyDescent="0.25">
      <c r="D8084"/>
    </row>
    <row r="8085" spans="4:4" x14ac:dyDescent="0.25">
      <c r="D8085"/>
    </row>
    <row r="8086" spans="4:4" x14ac:dyDescent="0.25">
      <c r="D8086"/>
    </row>
    <row r="8087" spans="4:4" x14ac:dyDescent="0.25">
      <c r="D8087"/>
    </row>
    <row r="8088" spans="4:4" x14ac:dyDescent="0.25">
      <c r="D8088"/>
    </row>
    <row r="8089" spans="4:4" x14ac:dyDescent="0.25">
      <c r="D8089"/>
    </row>
    <row r="8090" spans="4:4" x14ac:dyDescent="0.25">
      <c r="D8090"/>
    </row>
    <row r="8091" spans="4:4" x14ac:dyDescent="0.25">
      <c r="D8091"/>
    </row>
    <row r="8092" spans="4:4" x14ac:dyDescent="0.25">
      <c r="D8092"/>
    </row>
    <row r="8093" spans="4:4" x14ac:dyDescent="0.25">
      <c r="D8093"/>
    </row>
    <row r="8094" spans="4:4" x14ac:dyDescent="0.25">
      <c r="D8094"/>
    </row>
    <row r="8095" spans="4:4" x14ac:dyDescent="0.25">
      <c r="D8095"/>
    </row>
    <row r="8096" spans="4:4" x14ac:dyDescent="0.25">
      <c r="D8096"/>
    </row>
    <row r="8097" spans="4:4" x14ac:dyDescent="0.25">
      <c r="D8097"/>
    </row>
    <row r="8098" spans="4:4" x14ac:dyDescent="0.25">
      <c r="D8098"/>
    </row>
    <row r="8099" spans="4:4" x14ac:dyDescent="0.25">
      <c r="D8099"/>
    </row>
    <row r="8100" spans="4:4" x14ac:dyDescent="0.25">
      <c r="D8100"/>
    </row>
    <row r="8101" spans="4:4" x14ac:dyDescent="0.25">
      <c r="D8101"/>
    </row>
    <row r="8102" spans="4:4" x14ac:dyDescent="0.25">
      <c r="D8102"/>
    </row>
    <row r="8103" spans="4:4" x14ac:dyDescent="0.25">
      <c r="D8103"/>
    </row>
    <row r="8104" spans="4:4" x14ac:dyDescent="0.25">
      <c r="D8104"/>
    </row>
    <row r="8105" spans="4:4" x14ac:dyDescent="0.25">
      <c r="D8105"/>
    </row>
    <row r="8106" spans="4:4" x14ac:dyDescent="0.25">
      <c r="D8106"/>
    </row>
    <row r="8107" spans="4:4" x14ac:dyDescent="0.25">
      <c r="D8107"/>
    </row>
    <row r="8108" spans="4:4" x14ac:dyDescent="0.25">
      <c r="D8108"/>
    </row>
    <row r="8109" spans="4:4" x14ac:dyDescent="0.25">
      <c r="D8109"/>
    </row>
    <row r="8110" spans="4:4" x14ac:dyDescent="0.25">
      <c r="D8110"/>
    </row>
    <row r="8111" spans="4:4" x14ac:dyDescent="0.25">
      <c r="D8111"/>
    </row>
    <row r="8112" spans="4:4" x14ac:dyDescent="0.25">
      <c r="D8112"/>
    </row>
    <row r="8113" spans="4:4" x14ac:dyDescent="0.25">
      <c r="D8113"/>
    </row>
    <row r="8114" spans="4:4" x14ac:dyDescent="0.25">
      <c r="D8114"/>
    </row>
    <row r="8115" spans="4:4" x14ac:dyDescent="0.25">
      <c r="D8115"/>
    </row>
    <row r="8116" spans="4:4" x14ac:dyDescent="0.25">
      <c r="D8116"/>
    </row>
    <row r="8117" spans="4:4" x14ac:dyDescent="0.25">
      <c r="D8117"/>
    </row>
    <row r="8118" spans="4:4" x14ac:dyDescent="0.25">
      <c r="D8118"/>
    </row>
    <row r="8119" spans="4:4" x14ac:dyDescent="0.25">
      <c r="D8119"/>
    </row>
    <row r="8120" spans="4:4" x14ac:dyDescent="0.25">
      <c r="D8120"/>
    </row>
    <row r="8121" spans="4:4" x14ac:dyDescent="0.25">
      <c r="D8121"/>
    </row>
    <row r="8122" spans="4:4" x14ac:dyDescent="0.25">
      <c r="D8122"/>
    </row>
    <row r="8123" spans="4:4" x14ac:dyDescent="0.25">
      <c r="D8123"/>
    </row>
    <row r="8124" spans="4:4" x14ac:dyDescent="0.25">
      <c r="D8124"/>
    </row>
    <row r="8125" spans="4:4" x14ac:dyDescent="0.25">
      <c r="D8125"/>
    </row>
    <row r="8126" spans="4:4" x14ac:dyDescent="0.25">
      <c r="D8126"/>
    </row>
    <row r="8127" spans="4:4" x14ac:dyDescent="0.25">
      <c r="D8127"/>
    </row>
    <row r="8128" spans="4:4" x14ac:dyDescent="0.25">
      <c r="D8128"/>
    </row>
    <row r="8129" spans="4:4" x14ac:dyDescent="0.25">
      <c r="D8129"/>
    </row>
    <row r="8130" spans="4:4" x14ac:dyDescent="0.25">
      <c r="D8130"/>
    </row>
    <row r="8131" spans="4:4" x14ac:dyDescent="0.25">
      <c r="D8131"/>
    </row>
    <row r="8132" spans="4:4" x14ac:dyDescent="0.25">
      <c r="D8132"/>
    </row>
    <row r="8133" spans="4:4" x14ac:dyDescent="0.25">
      <c r="D8133"/>
    </row>
    <row r="8134" spans="4:4" x14ac:dyDescent="0.25">
      <c r="D8134"/>
    </row>
    <row r="8135" spans="4:4" x14ac:dyDescent="0.25">
      <c r="D8135"/>
    </row>
    <row r="8136" spans="4:4" x14ac:dyDescent="0.25">
      <c r="D8136"/>
    </row>
    <row r="8137" spans="4:4" x14ac:dyDescent="0.25">
      <c r="D8137"/>
    </row>
    <row r="8138" spans="4:4" x14ac:dyDescent="0.25">
      <c r="D8138"/>
    </row>
    <row r="8139" spans="4:4" x14ac:dyDescent="0.25">
      <c r="D8139"/>
    </row>
    <row r="8140" spans="4:4" x14ac:dyDescent="0.25">
      <c r="D8140"/>
    </row>
    <row r="8141" spans="4:4" x14ac:dyDescent="0.25">
      <c r="D8141"/>
    </row>
    <row r="8142" spans="4:4" x14ac:dyDescent="0.25">
      <c r="D8142"/>
    </row>
    <row r="8143" spans="4:4" x14ac:dyDescent="0.25">
      <c r="D8143"/>
    </row>
    <row r="8144" spans="4:4" x14ac:dyDescent="0.25">
      <c r="D8144"/>
    </row>
    <row r="8145" spans="4:4" x14ac:dyDescent="0.25">
      <c r="D8145"/>
    </row>
    <row r="8146" spans="4:4" x14ac:dyDescent="0.25">
      <c r="D8146"/>
    </row>
    <row r="8147" spans="4:4" x14ac:dyDescent="0.25">
      <c r="D8147"/>
    </row>
    <row r="8148" spans="4:4" x14ac:dyDescent="0.25">
      <c r="D8148"/>
    </row>
    <row r="8149" spans="4:4" x14ac:dyDescent="0.25">
      <c r="D8149"/>
    </row>
    <row r="8150" spans="4:4" x14ac:dyDescent="0.25">
      <c r="D8150"/>
    </row>
    <row r="8151" spans="4:4" x14ac:dyDescent="0.25">
      <c r="D8151"/>
    </row>
    <row r="8152" spans="4:4" x14ac:dyDescent="0.25">
      <c r="D8152"/>
    </row>
    <row r="8153" spans="4:4" x14ac:dyDescent="0.25">
      <c r="D8153"/>
    </row>
    <row r="8154" spans="4:4" x14ac:dyDescent="0.25">
      <c r="D8154"/>
    </row>
    <row r="8155" spans="4:4" x14ac:dyDescent="0.25">
      <c r="D8155"/>
    </row>
    <row r="8156" spans="4:4" x14ac:dyDescent="0.25">
      <c r="D8156"/>
    </row>
    <row r="8157" spans="4:4" x14ac:dyDescent="0.25">
      <c r="D8157"/>
    </row>
    <row r="8158" spans="4:4" x14ac:dyDescent="0.25">
      <c r="D8158"/>
    </row>
    <row r="8159" spans="4:4" x14ac:dyDescent="0.25">
      <c r="D8159"/>
    </row>
    <row r="8160" spans="4:4" x14ac:dyDescent="0.25">
      <c r="D8160"/>
    </row>
    <row r="8161" spans="4:4" x14ac:dyDescent="0.25">
      <c r="D8161"/>
    </row>
    <row r="8162" spans="4:4" x14ac:dyDescent="0.25">
      <c r="D8162"/>
    </row>
    <row r="8163" spans="4:4" x14ac:dyDescent="0.25">
      <c r="D8163"/>
    </row>
    <row r="8164" spans="4:4" x14ac:dyDescent="0.25">
      <c r="D8164"/>
    </row>
    <row r="8165" spans="4:4" x14ac:dyDescent="0.25">
      <c r="D8165"/>
    </row>
    <row r="8166" spans="4:4" x14ac:dyDescent="0.25">
      <c r="D8166"/>
    </row>
    <row r="8167" spans="4:4" x14ac:dyDescent="0.25">
      <c r="D8167"/>
    </row>
    <row r="8168" spans="4:4" x14ac:dyDescent="0.25">
      <c r="D8168"/>
    </row>
    <row r="8169" spans="4:4" x14ac:dyDescent="0.25">
      <c r="D8169"/>
    </row>
    <row r="8170" spans="4:4" x14ac:dyDescent="0.25">
      <c r="D8170"/>
    </row>
    <row r="8171" spans="4:4" x14ac:dyDescent="0.25">
      <c r="D8171"/>
    </row>
    <row r="8172" spans="4:4" x14ac:dyDescent="0.25">
      <c r="D8172"/>
    </row>
    <row r="8173" spans="4:4" x14ac:dyDescent="0.25">
      <c r="D8173"/>
    </row>
    <row r="8174" spans="4:4" x14ac:dyDescent="0.25">
      <c r="D8174"/>
    </row>
    <row r="8175" spans="4:4" x14ac:dyDescent="0.25">
      <c r="D8175"/>
    </row>
    <row r="8176" spans="4:4" x14ac:dyDescent="0.25">
      <c r="D8176"/>
    </row>
    <row r="8177" spans="4:4" x14ac:dyDescent="0.25">
      <c r="D8177"/>
    </row>
    <row r="8178" spans="4:4" x14ac:dyDescent="0.25">
      <c r="D8178"/>
    </row>
    <row r="8179" spans="4:4" x14ac:dyDescent="0.25">
      <c r="D8179"/>
    </row>
    <row r="8180" spans="4:4" x14ac:dyDescent="0.25">
      <c r="D8180"/>
    </row>
    <row r="8181" spans="4:4" x14ac:dyDescent="0.25">
      <c r="D8181"/>
    </row>
    <row r="8182" spans="4:4" x14ac:dyDescent="0.25">
      <c r="D8182"/>
    </row>
    <row r="8183" spans="4:4" x14ac:dyDescent="0.25">
      <c r="D8183"/>
    </row>
    <row r="8184" spans="4:4" x14ac:dyDescent="0.25">
      <c r="D8184"/>
    </row>
    <row r="8185" spans="4:4" x14ac:dyDescent="0.25">
      <c r="D8185"/>
    </row>
    <row r="8186" spans="4:4" x14ac:dyDescent="0.25">
      <c r="D8186"/>
    </row>
    <row r="8187" spans="4:4" x14ac:dyDescent="0.25">
      <c r="D8187"/>
    </row>
    <row r="8188" spans="4:4" x14ac:dyDescent="0.25">
      <c r="D8188"/>
    </row>
    <row r="8189" spans="4:4" x14ac:dyDescent="0.25">
      <c r="D8189"/>
    </row>
    <row r="8190" spans="4:4" x14ac:dyDescent="0.25">
      <c r="D8190"/>
    </row>
    <row r="8191" spans="4:4" x14ac:dyDescent="0.25">
      <c r="D8191"/>
    </row>
    <row r="8192" spans="4:4" x14ac:dyDescent="0.25">
      <c r="D8192"/>
    </row>
    <row r="8193" spans="4:4" x14ac:dyDescent="0.25">
      <c r="D8193"/>
    </row>
    <row r="8194" spans="4:4" x14ac:dyDescent="0.25">
      <c r="D8194"/>
    </row>
    <row r="8195" spans="4:4" x14ac:dyDescent="0.25">
      <c r="D8195"/>
    </row>
    <row r="8196" spans="4:4" x14ac:dyDescent="0.25">
      <c r="D8196"/>
    </row>
    <row r="8197" spans="4:4" x14ac:dyDescent="0.25">
      <c r="D8197"/>
    </row>
    <row r="8198" spans="4:4" x14ac:dyDescent="0.25">
      <c r="D8198"/>
    </row>
    <row r="8199" spans="4:4" x14ac:dyDescent="0.25">
      <c r="D8199"/>
    </row>
    <row r="8200" spans="4:4" x14ac:dyDescent="0.25">
      <c r="D8200"/>
    </row>
    <row r="8201" spans="4:4" x14ac:dyDescent="0.25">
      <c r="D8201"/>
    </row>
    <row r="8202" spans="4:4" x14ac:dyDescent="0.25">
      <c r="D8202"/>
    </row>
    <row r="8203" spans="4:4" x14ac:dyDescent="0.25">
      <c r="D8203"/>
    </row>
    <row r="8204" spans="4:4" x14ac:dyDescent="0.25">
      <c r="D8204"/>
    </row>
    <row r="8205" spans="4:4" x14ac:dyDescent="0.25">
      <c r="D8205"/>
    </row>
    <row r="8206" spans="4:4" x14ac:dyDescent="0.25">
      <c r="D8206"/>
    </row>
    <row r="8207" spans="4:4" x14ac:dyDescent="0.25">
      <c r="D8207"/>
    </row>
    <row r="8208" spans="4:4" x14ac:dyDescent="0.25">
      <c r="D8208"/>
    </row>
    <row r="8209" spans="4:4" x14ac:dyDescent="0.25">
      <c r="D8209"/>
    </row>
    <row r="8210" spans="4:4" x14ac:dyDescent="0.25">
      <c r="D8210"/>
    </row>
    <row r="8211" spans="4:4" x14ac:dyDescent="0.25">
      <c r="D8211"/>
    </row>
    <row r="8212" spans="4:4" x14ac:dyDescent="0.25">
      <c r="D8212"/>
    </row>
    <row r="8213" spans="4:4" x14ac:dyDescent="0.25">
      <c r="D8213"/>
    </row>
    <row r="8214" spans="4:4" x14ac:dyDescent="0.25">
      <c r="D8214"/>
    </row>
    <row r="8215" spans="4:4" x14ac:dyDescent="0.25">
      <c r="D8215"/>
    </row>
    <row r="8216" spans="4:4" x14ac:dyDescent="0.25">
      <c r="D8216"/>
    </row>
    <row r="8217" spans="4:4" x14ac:dyDescent="0.25">
      <c r="D8217"/>
    </row>
    <row r="8218" spans="4:4" x14ac:dyDescent="0.25">
      <c r="D8218"/>
    </row>
    <row r="8219" spans="4:4" x14ac:dyDescent="0.25">
      <c r="D8219"/>
    </row>
    <row r="8220" spans="4:4" x14ac:dyDescent="0.25">
      <c r="D8220"/>
    </row>
    <row r="8221" spans="4:4" x14ac:dyDescent="0.25">
      <c r="D8221"/>
    </row>
    <row r="8222" spans="4:4" x14ac:dyDescent="0.25">
      <c r="D8222"/>
    </row>
    <row r="8223" spans="4:4" x14ac:dyDescent="0.25">
      <c r="D8223"/>
    </row>
    <row r="8224" spans="4:4" x14ac:dyDescent="0.25">
      <c r="D8224"/>
    </row>
    <row r="8225" spans="4:4" x14ac:dyDescent="0.25">
      <c r="D8225"/>
    </row>
    <row r="8226" spans="4:4" x14ac:dyDescent="0.25">
      <c r="D8226"/>
    </row>
    <row r="8227" spans="4:4" x14ac:dyDescent="0.25">
      <c r="D8227"/>
    </row>
    <row r="8228" spans="4:4" x14ac:dyDescent="0.25">
      <c r="D8228"/>
    </row>
    <row r="8229" spans="4:4" x14ac:dyDescent="0.25">
      <c r="D8229"/>
    </row>
    <row r="8230" spans="4:4" x14ac:dyDescent="0.25">
      <c r="D8230"/>
    </row>
    <row r="8231" spans="4:4" x14ac:dyDescent="0.25">
      <c r="D8231"/>
    </row>
    <row r="8232" spans="4:4" x14ac:dyDescent="0.25">
      <c r="D8232"/>
    </row>
    <row r="8233" spans="4:4" x14ac:dyDescent="0.25">
      <c r="D8233"/>
    </row>
    <row r="8234" spans="4:4" x14ac:dyDescent="0.25">
      <c r="D8234"/>
    </row>
    <row r="8235" spans="4:4" x14ac:dyDescent="0.25">
      <c r="D8235"/>
    </row>
    <row r="8236" spans="4:4" x14ac:dyDescent="0.25">
      <c r="D8236"/>
    </row>
    <row r="8237" spans="4:4" x14ac:dyDescent="0.25">
      <c r="D8237"/>
    </row>
    <row r="8238" spans="4:4" x14ac:dyDescent="0.25">
      <c r="D8238"/>
    </row>
    <row r="8239" spans="4:4" x14ac:dyDescent="0.25">
      <c r="D8239"/>
    </row>
    <row r="8240" spans="4:4" x14ac:dyDescent="0.25">
      <c r="D8240"/>
    </row>
    <row r="8241" spans="4:4" x14ac:dyDescent="0.25">
      <c r="D8241"/>
    </row>
    <row r="8242" spans="4:4" x14ac:dyDescent="0.25">
      <c r="D8242"/>
    </row>
    <row r="8243" spans="4:4" x14ac:dyDescent="0.25">
      <c r="D8243"/>
    </row>
    <row r="8244" spans="4:4" x14ac:dyDescent="0.25">
      <c r="D8244"/>
    </row>
    <row r="8245" spans="4:4" x14ac:dyDescent="0.25">
      <c r="D8245"/>
    </row>
    <row r="8246" spans="4:4" x14ac:dyDescent="0.25">
      <c r="D8246"/>
    </row>
    <row r="8247" spans="4:4" x14ac:dyDescent="0.25">
      <c r="D8247"/>
    </row>
    <row r="8248" spans="4:4" x14ac:dyDescent="0.25">
      <c r="D8248"/>
    </row>
    <row r="8249" spans="4:4" x14ac:dyDescent="0.25">
      <c r="D8249"/>
    </row>
    <row r="8250" spans="4:4" x14ac:dyDescent="0.25">
      <c r="D8250"/>
    </row>
    <row r="8251" spans="4:4" x14ac:dyDescent="0.25">
      <c r="D8251"/>
    </row>
    <row r="8252" spans="4:4" x14ac:dyDescent="0.25">
      <c r="D8252"/>
    </row>
    <row r="8253" spans="4:4" x14ac:dyDescent="0.25">
      <c r="D8253"/>
    </row>
    <row r="8254" spans="4:4" x14ac:dyDescent="0.25">
      <c r="D8254"/>
    </row>
    <row r="8255" spans="4:4" x14ac:dyDescent="0.25">
      <c r="D8255"/>
    </row>
    <row r="8256" spans="4:4" x14ac:dyDescent="0.25">
      <c r="D8256"/>
    </row>
    <row r="8257" spans="4:4" x14ac:dyDescent="0.25">
      <c r="D8257"/>
    </row>
    <row r="8258" spans="4:4" x14ac:dyDescent="0.25">
      <c r="D8258"/>
    </row>
    <row r="8259" spans="4:4" x14ac:dyDescent="0.25">
      <c r="D8259"/>
    </row>
    <row r="8260" spans="4:4" x14ac:dyDescent="0.25">
      <c r="D8260"/>
    </row>
    <row r="8261" spans="4:4" x14ac:dyDescent="0.25">
      <c r="D8261"/>
    </row>
    <row r="8262" spans="4:4" x14ac:dyDescent="0.25">
      <c r="D8262"/>
    </row>
    <row r="8263" spans="4:4" x14ac:dyDescent="0.25">
      <c r="D8263"/>
    </row>
    <row r="8264" spans="4:4" x14ac:dyDescent="0.25">
      <c r="D8264"/>
    </row>
    <row r="8265" spans="4:4" x14ac:dyDescent="0.25">
      <c r="D8265"/>
    </row>
    <row r="8266" spans="4:4" x14ac:dyDescent="0.25">
      <c r="D8266"/>
    </row>
    <row r="8267" spans="4:4" x14ac:dyDescent="0.25">
      <c r="D8267"/>
    </row>
    <row r="8268" spans="4:4" x14ac:dyDescent="0.25">
      <c r="D8268"/>
    </row>
    <row r="8269" spans="4:4" x14ac:dyDescent="0.25">
      <c r="D8269"/>
    </row>
    <row r="8270" spans="4:4" x14ac:dyDescent="0.25">
      <c r="D8270"/>
    </row>
    <row r="8271" spans="4:4" x14ac:dyDescent="0.25">
      <c r="D8271"/>
    </row>
    <row r="8272" spans="4:4" x14ac:dyDescent="0.25">
      <c r="D8272"/>
    </row>
    <row r="8273" spans="4:4" x14ac:dyDescent="0.25">
      <c r="D8273"/>
    </row>
    <row r="8274" spans="4:4" x14ac:dyDescent="0.25">
      <c r="D8274"/>
    </row>
    <row r="8275" spans="4:4" x14ac:dyDescent="0.25">
      <c r="D8275"/>
    </row>
    <row r="8276" spans="4:4" x14ac:dyDescent="0.25">
      <c r="D8276"/>
    </row>
    <row r="8277" spans="4:4" x14ac:dyDescent="0.25">
      <c r="D8277"/>
    </row>
    <row r="8278" spans="4:4" x14ac:dyDescent="0.25">
      <c r="D8278"/>
    </row>
    <row r="8279" spans="4:4" x14ac:dyDescent="0.25">
      <c r="D8279"/>
    </row>
    <row r="8280" spans="4:4" x14ac:dyDescent="0.25">
      <c r="D8280"/>
    </row>
    <row r="8281" spans="4:4" x14ac:dyDescent="0.25">
      <c r="D8281"/>
    </row>
    <row r="8282" spans="4:4" x14ac:dyDescent="0.25">
      <c r="D8282"/>
    </row>
    <row r="8283" spans="4:4" x14ac:dyDescent="0.25">
      <c r="D8283"/>
    </row>
    <row r="8284" spans="4:4" x14ac:dyDescent="0.25">
      <c r="D8284"/>
    </row>
    <row r="8285" spans="4:4" x14ac:dyDescent="0.25">
      <c r="D8285"/>
    </row>
    <row r="8286" spans="4:4" x14ac:dyDescent="0.25">
      <c r="D8286"/>
    </row>
    <row r="8287" spans="4:4" x14ac:dyDescent="0.25">
      <c r="D8287"/>
    </row>
    <row r="8288" spans="4:4" x14ac:dyDescent="0.25">
      <c r="D8288"/>
    </row>
    <row r="8289" spans="4:4" x14ac:dyDescent="0.25">
      <c r="D8289"/>
    </row>
    <row r="8290" spans="4:4" x14ac:dyDescent="0.25">
      <c r="D8290"/>
    </row>
    <row r="8291" spans="4:4" x14ac:dyDescent="0.25">
      <c r="D8291"/>
    </row>
    <row r="8292" spans="4:4" x14ac:dyDescent="0.25">
      <c r="D8292"/>
    </row>
    <row r="8293" spans="4:4" x14ac:dyDescent="0.25">
      <c r="D8293"/>
    </row>
    <row r="8294" spans="4:4" x14ac:dyDescent="0.25">
      <c r="D8294"/>
    </row>
    <row r="8295" spans="4:4" x14ac:dyDescent="0.25">
      <c r="D8295"/>
    </row>
    <row r="8296" spans="4:4" x14ac:dyDescent="0.25">
      <c r="D8296"/>
    </row>
    <row r="8297" spans="4:4" x14ac:dyDescent="0.25">
      <c r="D8297"/>
    </row>
    <row r="8298" spans="4:4" x14ac:dyDescent="0.25">
      <c r="D8298"/>
    </row>
    <row r="8299" spans="4:4" x14ac:dyDescent="0.25">
      <c r="D8299"/>
    </row>
    <row r="8300" spans="4:4" x14ac:dyDescent="0.25">
      <c r="D8300"/>
    </row>
    <row r="8301" spans="4:4" x14ac:dyDescent="0.25">
      <c r="D8301"/>
    </row>
    <row r="8302" spans="4:4" x14ac:dyDescent="0.25">
      <c r="D8302"/>
    </row>
    <row r="8303" spans="4:4" x14ac:dyDescent="0.25">
      <c r="D8303"/>
    </row>
    <row r="8304" spans="4:4" x14ac:dyDescent="0.25">
      <c r="D8304"/>
    </row>
    <row r="8305" spans="4:4" x14ac:dyDescent="0.25">
      <c r="D8305"/>
    </row>
    <row r="8306" spans="4:4" x14ac:dyDescent="0.25">
      <c r="D8306"/>
    </row>
    <row r="8307" spans="4:4" x14ac:dyDescent="0.25">
      <c r="D8307"/>
    </row>
    <row r="8308" spans="4:4" x14ac:dyDescent="0.25">
      <c r="D8308"/>
    </row>
    <row r="8309" spans="4:4" x14ac:dyDescent="0.25">
      <c r="D8309"/>
    </row>
    <row r="8310" spans="4:4" x14ac:dyDescent="0.25">
      <c r="D8310"/>
    </row>
    <row r="8311" spans="4:4" x14ac:dyDescent="0.25">
      <c r="D8311"/>
    </row>
    <row r="8312" spans="4:4" x14ac:dyDescent="0.25">
      <c r="D8312"/>
    </row>
    <row r="8313" spans="4:4" x14ac:dyDescent="0.25">
      <c r="D8313"/>
    </row>
    <row r="8314" spans="4:4" x14ac:dyDescent="0.25">
      <c r="D8314"/>
    </row>
    <row r="8315" spans="4:4" x14ac:dyDescent="0.25">
      <c r="D8315"/>
    </row>
    <row r="8316" spans="4:4" x14ac:dyDescent="0.25">
      <c r="D8316"/>
    </row>
    <row r="8317" spans="4:4" x14ac:dyDescent="0.25">
      <c r="D8317"/>
    </row>
    <row r="8318" spans="4:4" x14ac:dyDescent="0.25">
      <c r="D8318"/>
    </row>
    <row r="8319" spans="4:4" x14ac:dyDescent="0.25">
      <c r="D8319"/>
    </row>
    <row r="8320" spans="4:4" x14ac:dyDescent="0.25">
      <c r="D8320"/>
    </row>
    <row r="8321" spans="4:4" x14ac:dyDescent="0.25">
      <c r="D8321"/>
    </row>
    <row r="8322" spans="4:4" x14ac:dyDescent="0.25">
      <c r="D8322"/>
    </row>
    <row r="8323" spans="4:4" x14ac:dyDescent="0.25">
      <c r="D8323"/>
    </row>
    <row r="8324" spans="4:4" x14ac:dyDescent="0.25">
      <c r="D8324"/>
    </row>
    <row r="8325" spans="4:4" x14ac:dyDescent="0.25">
      <c r="D8325"/>
    </row>
    <row r="8326" spans="4:4" x14ac:dyDescent="0.25">
      <c r="D8326"/>
    </row>
    <row r="8327" spans="4:4" x14ac:dyDescent="0.25">
      <c r="D8327"/>
    </row>
    <row r="8328" spans="4:4" x14ac:dyDescent="0.25">
      <c r="D8328"/>
    </row>
    <row r="8329" spans="4:4" x14ac:dyDescent="0.25">
      <c r="D8329"/>
    </row>
    <row r="8330" spans="4:4" x14ac:dyDescent="0.25">
      <c r="D8330"/>
    </row>
    <row r="8331" spans="4:4" x14ac:dyDescent="0.25">
      <c r="D8331"/>
    </row>
    <row r="8332" spans="4:4" x14ac:dyDescent="0.25">
      <c r="D8332"/>
    </row>
    <row r="8333" spans="4:4" x14ac:dyDescent="0.25">
      <c r="D8333"/>
    </row>
    <row r="8334" spans="4:4" x14ac:dyDescent="0.25">
      <c r="D8334"/>
    </row>
    <row r="8335" spans="4:4" x14ac:dyDescent="0.25">
      <c r="D8335"/>
    </row>
    <row r="8336" spans="4:4" x14ac:dyDescent="0.25">
      <c r="D8336"/>
    </row>
    <row r="8337" spans="4:4" x14ac:dyDescent="0.25">
      <c r="D8337"/>
    </row>
    <row r="8338" spans="4:4" x14ac:dyDescent="0.25">
      <c r="D8338"/>
    </row>
    <row r="8339" spans="4:4" x14ac:dyDescent="0.25">
      <c r="D8339"/>
    </row>
    <row r="8340" spans="4:4" x14ac:dyDescent="0.25">
      <c r="D8340"/>
    </row>
    <row r="8341" spans="4:4" x14ac:dyDescent="0.25">
      <c r="D8341"/>
    </row>
    <row r="8342" spans="4:4" x14ac:dyDescent="0.25">
      <c r="D8342"/>
    </row>
    <row r="8343" spans="4:4" x14ac:dyDescent="0.25">
      <c r="D8343"/>
    </row>
    <row r="8344" spans="4:4" x14ac:dyDescent="0.25">
      <c r="D8344"/>
    </row>
    <row r="8345" spans="4:4" x14ac:dyDescent="0.25">
      <c r="D8345"/>
    </row>
    <row r="8346" spans="4:4" x14ac:dyDescent="0.25">
      <c r="D8346"/>
    </row>
    <row r="8347" spans="4:4" x14ac:dyDescent="0.25">
      <c r="D8347"/>
    </row>
    <row r="8348" spans="4:4" x14ac:dyDescent="0.25">
      <c r="D8348"/>
    </row>
    <row r="8349" spans="4:4" x14ac:dyDescent="0.25">
      <c r="D8349"/>
    </row>
    <row r="8350" spans="4:4" x14ac:dyDescent="0.25">
      <c r="D8350"/>
    </row>
    <row r="8351" spans="4:4" x14ac:dyDescent="0.25">
      <c r="D8351"/>
    </row>
    <row r="8352" spans="4:4" x14ac:dyDescent="0.25">
      <c r="D8352"/>
    </row>
    <row r="8353" spans="4:4" x14ac:dyDescent="0.25">
      <c r="D8353"/>
    </row>
    <row r="8354" spans="4:4" x14ac:dyDescent="0.25">
      <c r="D8354"/>
    </row>
    <row r="8355" spans="4:4" x14ac:dyDescent="0.25">
      <c r="D8355"/>
    </row>
    <row r="8356" spans="4:4" x14ac:dyDescent="0.25">
      <c r="D8356"/>
    </row>
    <row r="8357" spans="4:4" x14ac:dyDescent="0.25">
      <c r="D8357"/>
    </row>
    <row r="8358" spans="4:4" x14ac:dyDescent="0.25">
      <c r="D8358"/>
    </row>
    <row r="8359" spans="4:4" x14ac:dyDescent="0.25">
      <c r="D8359"/>
    </row>
    <row r="8360" spans="4:4" x14ac:dyDescent="0.25">
      <c r="D8360"/>
    </row>
    <row r="8361" spans="4:4" x14ac:dyDescent="0.25">
      <c r="D8361"/>
    </row>
    <row r="8362" spans="4:4" x14ac:dyDescent="0.25">
      <c r="D8362"/>
    </row>
    <row r="8363" spans="4:4" x14ac:dyDescent="0.25">
      <c r="D8363"/>
    </row>
    <row r="8364" spans="4:4" x14ac:dyDescent="0.25">
      <c r="D8364"/>
    </row>
    <row r="8365" spans="4:4" x14ac:dyDescent="0.25">
      <c r="D8365"/>
    </row>
    <row r="8366" spans="4:4" x14ac:dyDescent="0.25">
      <c r="D8366"/>
    </row>
    <row r="8367" spans="4:4" x14ac:dyDescent="0.25">
      <c r="D8367"/>
    </row>
    <row r="8368" spans="4:4" x14ac:dyDescent="0.25">
      <c r="D8368"/>
    </row>
    <row r="8369" spans="4:4" x14ac:dyDescent="0.25">
      <c r="D8369"/>
    </row>
    <row r="8370" spans="4:4" x14ac:dyDescent="0.25">
      <c r="D8370"/>
    </row>
    <row r="8371" spans="4:4" x14ac:dyDescent="0.25">
      <c r="D8371"/>
    </row>
    <row r="8372" spans="4:4" x14ac:dyDescent="0.25">
      <c r="D8372"/>
    </row>
    <row r="8373" spans="4:4" x14ac:dyDescent="0.25">
      <c r="D8373"/>
    </row>
    <row r="8374" spans="4:4" x14ac:dyDescent="0.25">
      <c r="D8374"/>
    </row>
    <row r="8375" spans="4:4" x14ac:dyDescent="0.25">
      <c r="D8375"/>
    </row>
    <row r="8376" spans="4:4" x14ac:dyDescent="0.25">
      <c r="D8376"/>
    </row>
    <row r="8377" spans="4:4" x14ac:dyDescent="0.25">
      <c r="D8377"/>
    </row>
    <row r="8378" spans="4:4" x14ac:dyDescent="0.25">
      <c r="D8378"/>
    </row>
    <row r="8379" spans="4:4" x14ac:dyDescent="0.25">
      <c r="D8379"/>
    </row>
    <row r="8380" spans="4:4" x14ac:dyDescent="0.25">
      <c r="D8380"/>
    </row>
    <row r="8381" spans="4:4" x14ac:dyDescent="0.25">
      <c r="D8381"/>
    </row>
    <row r="8382" spans="4:4" x14ac:dyDescent="0.25">
      <c r="D8382"/>
    </row>
    <row r="8383" spans="4:4" x14ac:dyDescent="0.25">
      <c r="D8383"/>
    </row>
    <row r="8384" spans="4:4" x14ac:dyDescent="0.25">
      <c r="D8384"/>
    </row>
    <row r="8385" spans="4:4" x14ac:dyDescent="0.25">
      <c r="D8385"/>
    </row>
    <row r="8386" spans="4:4" x14ac:dyDescent="0.25">
      <c r="D8386"/>
    </row>
    <row r="8387" spans="4:4" x14ac:dyDescent="0.25">
      <c r="D8387"/>
    </row>
    <row r="8388" spans="4:4" x14ac:dyDescent="0.25">
      <c r="D8388"/>
    </row>
    <row r="8389" spans="4:4" x14ac:dyDescent="0.25">
      <c r="D8389"/>
    </row>
    <row r="8390" spans="4:4" x14ac:dyDescent="0.25">
      <c r="D8390"/>
    </row>
    <row r="8391" spans="4:4" x14ac:dyDescent="0.25">
      <c r="D8391"/>
    </row>
    <row r="8392" spans="4:4" x14ac:dyDescent="0.25">
      <c r="D8392"/>
    </row>
    <row r="8393" spans="4:4" x14ac:dyDescent="0.25">
      <c r="D8393"/>
    </row>
    <row r="8394" spans="4:4" x14ac:dyDescent="0.25">
      <c r="D8394"/>
    </row>
    <row r="8395" spans="4:4" x14ac:dyDescent="0.25">
      <c r="D8395"/>
    </row>
    <row r="8396" spans="4:4" x14ac:dyDescent="0.25">
      <c r="D8396"/>
    </row>
    <row r="8397" spans="4:4" x14ac:dyDescent="0.25">
      <c r="D8397"/>
    </row>
    <row r="8398" spans="4:4" x14ac:dyDescent="0.25">
      <c r="D8398"/>
    </row>
    <row r="8399" spans="4:4" x14ac:dyDescent="0.25">
      <c r="D8399"/>
    </row>
    <row r="8400" spans="4:4" x14ac:dyDescent="0.25">
      <c r="D8400"/>
    </row>
    <row r="8401" spans="4:4" x14ac:dyDescent="0.25">
      <c r="D8401"/>
    </row>
    <row r="8402" spans="4:4" x14ac:dyDescent="0.25">
      <c r="D8402"/>
    </row>
    <row r="8403" spans="4:4" x14ac:dyDescent="0.25">
      <c r="D8403"/>
    </row>
    <row r="8404" spans="4:4" x14ac:dyDescent="0.25">
      <c r="D8404"/>
    </row>
    <row r="8405" spans="4:4" x14ac:dyDescent="0.25">
      <c r="D8405"/>
    </row>
    <row r="8406" spans="4:4" x14ac:dyDescent="0.25">
      <c r="D8406"/>
    </row>
    <row r="8407" spans="4:4" x14ac:dyDescent="0.25">
      <c r="D8407"/>
    </row>
    <row r="8408" spans="4:4" x14ac:dyDescent="0.25">
      <c r="D8408"/>
    </row>
    <row r="8409" spans="4:4" x14ac:dyDescent="0.25">
      <c r="D8409"/>
    </row>
    <row r="8410" spans="4:4" x14ac:dyDescent="0.25">
      <c r="D8410"/>
    </row>
    <row r="8411" spans="4:4" x14ac:dyDescent="0.25">
      <c r="D8411"/>
    </row>
    <row r="8412" spans="4:4" x14ac:dyDescent="0.25">
      <c r="D8412"/>
    </row>
    <row r="8413" spans="4:4" x14ac:dyDescent="0.25">
      <c r="D8413"/>
    </row>
    <row r="8414" spans="4:4" x14ac:dyDescent="0.25">
      <c r="D8414"/>
    </row>
    <row r="8415" spans="4:4" x14ac:dyDescent="0.25">
      <c r="D8415"/>
    </row>
    <row r="8416" spans="4:4" x14ac:dyDescent="0.25">
      <c r="D8416"/>
    </row>
    <row r="8417" spans="4:4" x14ac:dyDescent="0.25">
      <c r="D8417"/>
    </row>
    <row r="8418" spans="4:4" x14ac:dyDescent="0.25">
      <c r="D8418"/>
    </row>
    <row r="8419" spans="4:4" x14ac:dyDescent="0.25">
      <c r="D8419"/>
    </row>
    <row r="8420" spans="4:4" x14ac:dyDescent="0.25">
      <c r="D8420"/>
    </row>
    <row r="8421" spans="4:4" x14ac:dyDescent="0.25">
      <c r="D8421"/>
    </row>
    <row r="8422" spans="4:4" x14ac:dyDescent="0.25">
      <c r="D8422"/>
    </row>
    <row r="8423" spans="4:4" x14ac:dyDescent="0.25">
      <c r="D8423"/>
    </row>
    <row r="8424" spans="4:4" x14ac:dyDescent="0.25">
      <c r="D8424"/>
    </row>
    <row r="8425" spans="4:4" x14ac:dyDescent="0.25">
      <c r="D8425"/>
    </row>
    <row r="8426" spans="4:4" x14ac:dyDescent="0.25">
      <c r="D8426"/>
    </row>
    <row r="8427" spans="4:4" x14ac:dyDescent="0.25">
      <c r="D8427"/>
    </row>
    <row r="8428" spans="4:4" x14ac:dyDescent="0.25">
      <c r="D8428"/>
    </row>
    <row r="8429" spans="4:4" x14ac:dyDescent="0.25">
      <c r="D8429"/>
    </row>
    <row r="8430" spans="4:4" x14ac:dyDescent="0.25">
      <c r="D8430"/>
    </row>
    <row r="8431" spans="4:4" x14ac:dyDescent="0.25">
      <c r="D8431"/>
    </row>
    <row r="8432" spans="4:4" x14ac:dyDescent="0.25">
      <c r="D8432"/>
    </row>
    <row r="8433" spans="4:4" x14ac:dyDescent="0.25">
      <c r="D8433"/>
    </row>
    <row r="8434" spans="4:4" x14ac:dyDescent="0.25">
      <c r="D8434"/>
    </row>
    <row r="8435" spans="4:4" x14ac:dyDescent="0.25">
      <c r="D8435"/>
    </row>
    <row r="8436" spans="4:4" x14ac:dyDescent="0.25">
      <c r="D8436"/>
    </row>
    <row r="8437" spans="4:4" x14ac:dyDescent="0.25">
      <c r="D8437"/>
    </row>
    <row r="8438" spans="4:4" x14ac:dyDescent="0.25">
      <c r="D8438"/>
    </row>
    <row r="8439" spans="4:4" x14ac:dyDescent="0.25">
      <c r="D8439"/>
    </row>
    <row r="8440" spans="4:4" x14ac:dyDescent="0.25">
      <c r="D8440"/>
    </row>
    <row r="8441" spans="4:4" x14ac:dyDescent="0.25">
      <c r="D8441"/>
    </row>
    <row r="8442" spans="4:4" x14ac:dyDescent="0.25">
      <c r="D8442"/>
    </row>
    <row r="8443" spans="4:4" x14ac:dyDescent="0.25">
      <c r="D8443"/>
    </row>
    <row r="8444" spans="4:4" x14ac:dyDescent="0.25">
      <c r="D8444"/>
    </row>
    <row r="8445" spans="4:4" x14ac:dyDescent="0.25">
      <c r="D8445"/>
    </row>
    <row r="8446" spans="4:4" x14ac:dyDescent="0.25">
      <c r="D8446"/>
    </row>
    <row r="8447" spans="4:4" x14ac:dyDescent="0.25">
      <c r="D8447"/>
    </row>
    <row r="8448" spans="4:4" x14ac:dyDescent="0.25">
      <c r="D8448"/>
    </row>
    <row r="8449" spans="4:4" x14ac:dyDescent="0.25">
      <c r="D8449"/>
    </row>
    <row r="8450" spans="4:4" x14ac:dyDescent="0.25">
      <c r="D8450"/>
    </row>
    <row r="8451" spans="4:4" x14ac:dyDescent="0.25">
      <c r="D8451"/>
    </row>
    <row r="8452" spans="4:4" x14ac:dyDescent="0.25">
      <c r="D8452"/>
    </row>
    <row r="8453" spans="4:4" x14ac:dyDescent="0.25">
      <c r="D8453"/>
    </row>
    <row r="8454" spans="4:4" x14ac:dyDescent="0.25">
      <c r="D8454"/>
    </row>
    <row r="8455" spans="4:4" x14ac:dyDescent="0.25">
      <c r="D8455"/>
    </row>
    <row r="8456" spans="4:4" x14ac:dyDescent="0.25">
      <c r="D8456"/>
    </row>
    <row r="8457" spans="4:4" x14ac:dyDescent="0.25">
      <c r="D8457"/>
    </row>
    <row r="8458" spans="4:4" x14ac:dyDescent="0.25">
      <c r="D8458"/>
    </row>
    <row r="8459" spans="4:4" x14ac:dyDescent="0.25">
      <c r="D8459"/>
    </row>
    <row r="8460" spans="4:4" x14ac:dyDescent="0.25">
      <c r="D8460"/>
    </row>
    <row r="8461" spans="4:4" x14ac:dyDescent="0.25">
      <c r="D8461"/>
    </row>
    <row r="8462" spans="4:4" x14ac:dyDescent="0.25">
      <c r="D8462"/>
    </row>
    <row r="8463" spans="4:4" x14ac:dyDescent="0.25">
      <c r="D8463"/>
    </row>
    <row r="8464" spans="4:4" x14ac:dyDescent="0.25">
      <c r="D8464"/>
    </row>
    <row r="8465" spans="4:4" x14ac:dyDescent="0.25">
      <c r="D8465"/>
    </row>
    <row r="8466" spans="4:4" x14ac:dyDescent="0.25">
      <c r="D8466"/>
    </row>
    <row r="8467" spans="4:4" x14ac:dyDescent="0.25">
      <c r="D8467"/>
    </row>
    <row r="8468" spans="4:4" x14ac:dyDescent="0.25">
      <c r="D8468"/>
    </row>
    <row r="8469" spans="4:4" x14ac:dyDescent="0.25">
      <c r="D8469"/>
    </row>
    <row r="8470" spans="4:4" x14ac:dyDescent="0.25">
      <c r="D8470"/>
    </row>
    <row r="8471" spans="4:4" x14ac:dyDescent="0.25">
      <c r="D8471"/>
    </row>
    <row r="8472" spans="4:4" x14ac:dyDescent="0.25">
      <c r="D8472"/>
    </row>
    <row r="8473" spans="4:4" x14ac:dyDescent="0.25">
      <c r="D8473"/>
    </row>
    <row r="8474" spans="4:4" x14ac:dyDescent="0.25">
      <c r="D8474"/>
    </row>
    <row r="8475" spans="4:4" x14ac:dyDescent="0.25">
      <c r="D8475"/>
    </row>
    <row r="8476" spans="4:4" x14ac:dyDescent="0.25">
      <c r="D8476"/>
    </row>
    <row r="8477" spans="4:4" x14ac:dyDescent="0.25">
      <c r="D8477"/>
    </row>
    <row r="8478" spans="4:4" x14ac:dyDescent="0.25">
      <c r="D8478"/>
    </row>
    <row r="8479" spans="4:4" x14ac:dyDescent="0.25">
      <c r="D8479"/>
    </row>
    <row r="8480" spans="4:4" x14ac:dyDescent="0.25">
      <c r="D8480"/>
    </row>
    <row r="8481" spans="4:4" x14ac:dyDescent="0.25">
      <c r="D8481"/>
    </row>
    <row r="8482" spans="4:4" x14ac:dyDescent="0.25">
      <c r="D8482"/>
    </row>
    <row r="8483" spans="4:4" x14ac:dyDescent="0.25">
      <c r="D8483"/>
    </row>
    <row r="8484" spans="4:4" x14ac:dyDescent="0.25">
      <c r="D8484"/>
    </row>
    <row r="8485" spans="4:4" x14ac:dyDescent="0.25">
      <c r="D8485"/>
    </row>
    <row r="8486" spans="4:4" x14ac:dyDescent="0.25">
      <c r="D8486"/>
    </row>
    <row r="8487" spans="4:4" x14ac:dyDescent="0.25">
      <c r="D8487"/>
    </row>
    <row r="8488" spans="4:4" x14ac:dyDescent="0.25">
      <c r="D8488"/>
    </row>
    <row r="8489" spans="4:4" x14ac:dyDescent="0.25">
      <c r="D8489"/>
    </row>
    <row r="8490" spans="4:4" x14ac:dyDescent="0.25">
      <c r="D8490"/>
    </row>
    <row r="8491" spans="4:4" x14ac:dyDescent="0.25">
      <c r="D8491"/>
    </row>
    <row r="8492" spans="4:4" x14ac:dyDescent="0.25">
      <c r="D8492"/>
    </row>
    <row r="8493" spans="4:4" x14ac:dyDescent="0.25">
      <c r="D8493"/>
    </row>
    <row r="8494" spans="4:4" x14ac:dyDescent="0.25">
      <c r="D8494"/>
    </row>
    <row r="8495" spans="4:4" x14ac:dyDescent="0.25">
      <c r="D8495"/>
    </row>
    <row r="8496" spans="4:4" x14ac:dyDescent="0.25">
      <c r="D8496"/>
    </row>
    <row r="8497" spans="4:4" x14ac:dyDescent="0.25">
      <c r="D8497"/>
    </row>
    <row r="8498" spans="4:4" x14ac:dyDescent="0.25">
      <c r="D8498"/>
    </row>
    <row r="8499" spans="4:4" x14ac:dyDescent="0.25">
      <c r="D8499"/>
    </row>
    <row r="8500" spans="4:4" x14ac:dyDescent="0.25">
      <c r="D8500"/>
    </row>
    <row r="8501" spans="4:4" x14ac:dyDescent="0.25">
      <c r="D8501"/>
    </row>
    <row r="8502" spans="4:4" x14ac:dyDescent="0.25">
      <c r="D8502"/>
    </row>
    <row r="8503" spans="4:4" x14ac:dyDescent="0.25">
      <c r="D8503"/>
    </row>
    <row r="8504" spans="4:4" x14ac:dyDescent="0.25">
      <c r="D8504"/>
    </row>
    <row r="8505" spans="4:4" x14ac:dyDescent="0.25">
      <c r="D8505"/>
    </row>
    <row r="8506" spans="4:4" x14ac:dyDescent="0.25">
      <c r="D8506"/>
    </row>
    <row r="8507" spans="4:4" x14ac:dyDescent="0.25">
      <c r="D8507"/>
    </row>
    <row r="8508" spans="4:4" x14ac:dyDescent="0.25">
      <c r="D8508"/>
    </row>
    <row r="8509" spans="4:4" x14ac:dyDescent="0.25">
      <c r="D8509"/>
    </row>
    <row r="8510" spans="4:4" x14ac:dyDescent="0.25">
      <c r="D8510"/>
    </row>
    <row r="8511" spans="4:4" x14ac:dyDescent="0.25">
      <c r="D8511"/>
    </row>
    <row r="8512" spans="4:4" x14ac:dyDescent="0.25">
      <c r="D8512"/>
    </row>
    <row r="8513" spans="4:4" x14ac:dyDescent="0.25">
      <c r="D8513"/>
    </row>
    <row r="8514" spans="4:4" x14ac:dyDescent="0.25">
      <c r="D8514"/>
    </row>
    <row r="8515" spans="4:4" x14ac:dyDescent="0.25">
      <c r="D8515"/>
    </row>
    <row r="8516" spans="4:4" x14ac:dyDescent="0.25">
      <c r="D8516"/>
    </row>
    <row r="8517" spans="4:4" x14ac:dyDescent="0.25">
      <c r="D8517"/>
    </row>
    <row r="8518" spans="4:4" x14ac:dyDescent="0.25">
      <c r="D8518"/>
    </row>
    <row r="8519" spans="4:4" x14ac:dyDescent="0.25">
      <c r="D8519"/>
    </row>
    <row r="8520" spans="4:4" x14ac:dyDescent="0.25">
      <c r="D8520"/>
    </row>
    <row r="8521" spans="4:4" x14ac:dyDescent="0.25">
      <c r="D8521"/>
    </row>
    <row r="8522" spans="4:4" x14ac:dyDescent="0.25">
      <c r="D8522"/>
    </row>
    <row r="8523" spans="4:4" x14ac:dyDescent="0.25">
      <c r="D8523"/>
    </row>
    <row r="8524" spans="4:4" x14ac:dyDescent="0.25">
      <c r="D8524"/>
    </row>
    <row r="8525" spans="4:4" x14ac:dyDescent="0.25">
      <c r="D8525"/>
    </row>
    <row r="8526" spans="4:4" x14ac:dyDescent="0.25">
      <c r="D8526"/>
    </row>
    <row r="8527" spans="4:4" x14ac:dyDescent="0.25">
      <c r="D8527"/>
    </row>
    <row r="8528" spans="4:4" x14ac:dyDescent="0.25">
      <c r="D8528"/>
    </row>
    <row r="8529" spans="4:4" x14ac:dyDescent="0.25">
      <c r="D8529"/>
    </row>
    <row r="8530" spans="4:4" x14ac:dyDescent="0.25">
      <c r="D8530"/>
    </row>
    <row r="8531" spans="4:4" x14ac:dyDescent="0.25">
      <c r="D8531"/>
    </row>
    <row r="8532" spans="4:4" x14ac:dyDescent="0.25">
      <c r="D8532"/>
    </row>
    <row r="8533" spans="4:4" x14ac:dyDescent="0.25">
      <c r="D8533"/>
    </row>
    <row r="8534" spans="4:4" x14ac:dyDescent="0.25">
      <c r="D8534"/>
    </row>
    <row r="8535" spans="4:4" x14ac:dyDescent="0.25">
      <c r="D8535"/>
    </row>
    <row r="8536" spans="4:4" x14ac:dyDescent="0.25">
      <c r="D8536"/>
    </row>
    <row r="8537" spans="4:4" x14ac:dyDescent="0.25">
      <c r="D8537"/>
    </row>
    <row r="8538" spans="4:4" x14ac:dyDescent="0.25">
      <c r="D8538"/>
    </row>
    <row r="8539" spans="4:4" x14ac:dyDescent="0.25">
      <c r="D8539"/>
    </row>
    <row r="8540" spans="4:4" x14ac:dyDescent="0.25">
      <c r="D8540"/>
    </row>
    <row r="8541" spans="4:4" x14ac:dyDescent="0.25">
      <c r="D8541"/>
    </row>
    <row r="8542" spans="4:4" x14ac:dyDescent="0.25">
      <c r="D8542"/>
    </row>
    <row r="8543" spans="4:4" x14ac:dyDescent="0.25">
      <c r="D8543"/>
    </row>
    <row r="8544" spans="4:4" x14ac:dyDescent="0.25">
      <c r="D8544"/>
    </row>
    <row r="8545" spans="4:4" x14ac:dyDescent="0.25">
      <c r="D8545"/>
    </row>
    <row r="8546" spans="4:4" x14ac:dyDescent="0.25">
      <c r="D8546"/>
    </row>
    <row r="8547" spans="4:4" x14ac:dyDescent="0.25">
      <c r="D8547"/>
    </row>
    <row r="8548" spans="4:4" x14ac:dyDescent="0.25">
      <c r="D8548"/>
    </row>
    <row r="8549" spans="4:4" x14ac:dyDescent="0.25">
      <c r="D8549"/>
    </row>
    <row r="8550" spans="4:4" x14ac:dyDescent="0.25">
      <c r="D8550"/>
    </row>
    <row r="8551" spans="4:4" x14ac:dyDescent="0.25">
      <c r="D8551"/>
    </row>
    <row r="8552" spans="4:4" x14ac:dyDescent="0.25">
      <c r="D8552"/>
    </row>
    <row r="8553" spans="4:4" x14ac:dyDescent="0.25">
      <c r="D8553"/>
    </row>
    <row r="8554" spans="4:4" x14ac:dyDescent="0.25">
      <c r="D8554"/>
    </row>
    <row r="8555" spans="4:4" x14ac:dyDescent="0.25">
      <c r="D8555"/>
    </row>
    <row r="8556" spans="4:4" x14ac:dyDescent="0.25">
      <c r="D8556"/>
    </row>
    <row r="8557" spans="4:4" x14ac:dyDescent="0.25">
      <c r="D8557"/>
    </row>
    <row r="8558" spans="4:4" x14ac:dyDescent="0.25">
      <c r="D8558"/>
    </row>
    <row r="8559" spans="4:4" x14ac:dyDescent="0.25">
      <c r="D8559"/>
    </row>
    <row r="8560" spans="4:4" x14ac:dyDescent="0.25">
      <c r="D8560"/>
    </row>
    <row r="8561" spans="4:4" x14ac:dyDescent="0.25">
      <c r="D8561"/>
    </row>
    <row r="8562" spans="4:4" x14ac:dyDescent="0.25">
      <c r="D8562"/>
    </row>
    <row r="8563" spans="4:4" x14ac:dyDescent="0.25">
      <c r="D8563"/>
    </row>
    <row r="8564" spans="4:4" x14ac:dyDescent="0.25">
      <c r="D8564"/>
    </row>
    <row r="8565" spans="4:4" x14ac:dyDescent="0.25">
      <c r="D8565"/>
    </row>
    <row r="8566" spans="4:4" x14ac:dyDescent="0.25">
      <c r="D8566"/>
    </row>
    <row r="8567" spans="4:4" x14ac:dyDescent="0.25">
      <c r="D8567"/>
    </row>
    <row r="8568" spans="4:4" x14ac:dyDescent="0.25">
      <c r="D8568"/>
    </row>
    <row r="8569" spans="4:4" x14ac:dyDescent="0.25">
      <c r="D8569"/>
    </row>
    <row r="8570" spans="4:4" x14ac:dyDescent="0.25">
      <c r="D8570"/>
    </row>
    <row r="8571" spans="4:4" x14ac:dyDescent="0.25">
      <c r="D8571"/>
    </row>
    <row r="8572" spans="4:4" x14ac:dyDescent="0.25">
      <c r="D8572"/>
    </row>
    <row r="8573" spans="4:4" x14ac:dyDescent="0.25">
      <c r="D8573"/>
    </row>
    <row r="8574" spans="4:4" x14ac:dyDescent="0.25">
      <c r="D8574"/>
    </row>
    <row r="8575" spans="4:4" x14ac:dyDescent="0.25">
      <c r="D8575"/>
    </row>
    <row r="8576" spans="4:4" x14ac:dyDescent="0.25">
      <c r="D8576"/>
    </row>
    <row r="8577" spans="4:4" x14ac:dyDescent="0.25">
      <c r="D8577"/>
    </row>
    <row r="8578" spans="4:4" x14ac:dyDescent="0.25">
      <c r="D8578"/>
    </row>
    <row r="8579" spans="4:4" x14ac:dyDescent="0.25">
      <c r="D8579"/>
    </row>
    <row r="8580" spans="4:4" x14ac:dyDescent="0.25">
      <c r="D8580"/>
    </row>
    <row r="8581" spans="4:4" x14ac:dyDescent="0.25">
      <c r="D8581"/>
    </row>
    <row r="8582" spans="4:4" x14ac:dyDescent="0.25">
      <c r="D8582"/>
    </row>
    <row r="8583" spans="4:4" x14ac:dyDescent="0.25">
      <c r="D8583"/>
    </row>
    <row r="8584" spans="4:4" x14ac:dyDescent="0.25">
      <c r="D8584"/>
    </row>
    <row r="8585" spans="4:4" x14ac:dyDescent="0.25">
      <c r="D8585"/>
    </row>
    <row r="8586" spans="4:4" x14ac:dyDescent="0.25">
      <c r="D8586"/>
    </row>
    <row r="8587" spans="4:4" x14ac:dyDescent="0.25">
      <c r="D8587"/>
    </row>
    <row r="8588" spans="4:4" x14ac:dyDescent="0.25">
      <c r="D8588"/>
    </row>
    <row r="8589" spans="4:4" x14ac:dyDescent="0.25">
      <c r="D8589"/>
    </row>
    <row r="8590" spans="4:4" x14ac:dyDescent="0.25">
      <c r="D8590"/>
    </row>
    <row r="8591" spans="4:4" x14ac:dyDescent="0.25">
      <c r="D8591"/>
    </row>
    <row r="8592" spans="4:4" x14ac:dyDescent="0.25">
      <c r="D8592"/>
    </row>
    <row r="8593" spans="4:4" x14ac:dyDescent="0.25">
      <c r="D8593"/>
    </row>
    <row r="8594" spans="4:4" x14ac:dyDescent="0.25">
      <c r="D8594"/>
    </row>
    <row r="8595" spans="4:4" x14ac:dyDescent="0.25">
      <c r="D8595"/>
    </row>
    <row r="8596" spans="4:4" x14ac:dyDescent="0.25">
      <c r="D8596"/>
    </row>
    <row r="8597" spans="4:4" x14ac:dyDescent="0.25">
      <c r="D8597"/>
    </row>
    <row r="8598" spans="4:4" x14ac:dyDescent="0.25">
      <c r="D8598"/>
    </row>
    <row r="8599" spans="4:4" x14ac:dyDescent="0.25">
      <c r="D8599"/>
    </row>
    <row r="8600" spans="4:4" x14ac:dyDescent="0.25">
      <c r="D8600"/>
    </row>
    <row r="8601" spans="4:4" x14ac:dyDescent="0.25">
      <c r="D8601"/>
    </row>
    <row r="8602" spans="4:4" x14ac:dyDescent="0.25">
      <c r="D8602"/>
    </row>
    <row r="8603" spans="4:4" x14ac:dyDescent="0.25">
      <c r="D8603"/>
    </row>
    <row r="8604" spans="4:4" x14ac:dyDescent="0.25">
      <c r="D8604"/>
    </row>
    <row r="8605" spans="4:4" x14ac:dyDescent="0.25">
      <c r="D8605"/>
    </row>
    <row r="8606" spans="4:4" x14ac:dyDescent="0.25">
      <c r="D8606"/>
    </row>
    <row r="8607" spans="4:4" x14ac:dyDescent="0.25">
      <c r="D8607"/>
    </row>
    <row r="8608" spans="4:4" x14ac:dyDescent="0.25">
      <c r="D8608"/>
    </row>
    <row r="8609" spans="4:4" x14ac:dyDescent="0.25">
      <c r="D8609"/>
    </row>
    <row r="8610" spans="4:4" x14ac:dyDescent="0.25">
      <c r="D8610"/>
    </row>
    <row r="8611" spans="4:4" x14ac:dyDescent="0.25">
      <c r="D8611"/>
    </row>
    <row r="8612" spans="4:4" x14ac:dyDescent="0.25">
      <c r="D8612"/>
    </row>
    <row r="8613" spans="4:4" x14ac:dyDescent="0.25">
      <c r="D8613"/>
    </row>
    <row r="8614" spans="4:4" x14ac:dyDescent="0.25">
      <c r="D8614"/>
    </row>
    <row r="8615" spans="4:4" x14ac:dyDescent="0.25">
      <c r="D8615"/>
    </row>
    <row r="8616" spans="4:4" x14ac:dyDescent="0.25">
      <c r="D8616"/>
    </row>
    <row r="8617" spans="4:4" x14ac:dyDescent="0.25">
      <c r="D8617"/>
    </row>
    <row r="8618" spans="4:4" x14ac:dyDescent="0.25">
      <c r="D8618"/>
    </row>
    <row r="8619" spans="4:4" x14ac:dyDescent="0.25">
      <c r="D8619"/>
    </row>
    <row r="8620" spans="4:4" x14ac:dyDescent="0.25">
      <c r="D8620"/>
    </row>
    <row r="8621" spans="4:4" x14ac:dyDescent="0.25">
      <c r="D8621"/>
    </row>
    <row r="8622" spans="4:4" x14ac:dyDescent="0.25">
      <c r="D8622"/>
    </row>
    <row r="8623" spans="4:4" x14ac:dyDescent="0.25">
      <c r="D8623"/>
    </row>
    <row r="8624" spans="4:4" x14ac:dyDescent="0.25">
      <c r="D8624"/>
    </row>
    <row r="8625" spans="4:4" x14ac:dyDescent="0.25">
      <c r="D8625"/>
    </row>
    <row r="8626" spans="4:4" x14ac:dyDescent="0.25">
      <c r="D8626"/>
    </row>
    <row r="8627" spans="4:4" x14ac:dyDescent="0.25">
      <c r="D8627"/>
    </row>
    <row r="8628" spans="4:4" x14ac:dyDescent="0.25">
      <c r="D8628"/>
    </row>
    <row r="8629" spans="4:4" x14ac:dyDescent="0.25">
      <c r="D8629"/>
    </row>
    <row r="8630" spans="4:4" x14ac:dyDescent="0.25">
      <c r="D8630"/>
    </row>
    <row r="8631" spans="4:4" x14ac:dyDescent="0.25">
      <c r="D8631"/>
    </row>
    <row r="8632" spans="4:4" x14ac:dyDescent="0.25">
      <c r="D8632"/>
    </row>
    <row r="8633" spans="4:4" x14ac:dyDescent="0.25">
      <c r="D8633"/>
    </row>
    <row r="8634" spans="4:4" x14ac:dyDescent="0.25">
      <c r="D8634"/>
    </row>
    <row r="8635" spans="4:4" x14ac:dyDescent="0.25">
      <c r="D8635"/>
    </row>
    <row r="8636" spans="4:4" x14ac:dyDescent="0.25">
      <c r="D8636"/>
    </row>
    <row r="8637" spans="4:4" x14ac:dyDescent="0.25">
      <c r="D8637"/>
    </row>
    <row r="8638" spans="4:4" x14ac:dyDescent="0.25">
      <c r="D8638"/>
    </row>
    <row r="8639" spans="4:4" x14ac:dyDescent="0.25">
      <c r="D8639"/>
    </row>
    <row r="8640" spans="4:4" x14ac:dyDescent="0.25">
      <c r="D8640"/>
    </row>
    <row r="8641" spans="4:4" x14ac:dyDescent="0.25">
      <c r="D8641"/>
    </row>
    <row r="8642" spans="4:4" x14ac:dyDescent="0.25">
      <c r="D8642"/>
    </row>
    <row r="8643" spans="4:4" x14ac:dyDescent="0.25">
      <c r="D8643"/>
    </row>
    <row r="8644" spans="4:4" x14ac:dyDescent="0.25">
      <c r="D8644"/>
    </row>
    <row r="8645" spans="4:4" x14ac:dyDescent="0.25">
      <c r="D8645"/>
    </row>
    <row r="8646" spans="4:4" x14ac:dyDescent="0.25">
      <c r="D8646"/>
    </row>
    <row r="8647" spans="4:4" x14ac:dyDescent="0.25">
      <c r="D8647"/>
    </row>
    <row r="8648" spans="4:4" x14ac:dyDescent="0.25">
      <c r="D8648"/>
    </row>
    <row r="8649" spans="4:4" x14ac:dyDescent="0.25">
      <c r="D8649"/>
    </row>
    <row r="8650" spans="4:4" x14ac:dyDescent="0.25">
      <c r="D8650"/>
    </row>
    <row r="8651" spans="4:4" x14ac:dyDescent="0.25">
      <c r="D8651"/>
    </row>
    <row r="8652" spans="4:4" x14ac:dyDescent="0.25">
      <c r="D8652"/>
    </row>
    <row r="8653" spans="4:4" x14ac:dyDescent="0.25">
      <c r="D8653"/>
    </row>
    <row r="8654" spans="4:4" x14ac:dyDescent="0.25">
      <c r="D8654"/>
    </row>
    <row r="8655" spans="4:4" x14ac:dyDescent="0.25">
      <c r="D8655"/>
    </row>
    <row r="8656" spans="4:4" x14ac:dyDescent="0.25">
      <c r="D8656"/>
    </row>
    <row r="8657" spans="4:4" x14ac:dyDescent="0.25">
      <c r="D8657"/>
    </row>
    <row r="8658" spans="4:4" x14ac:dyDescent="0.25">
      <c r="D8658"/>
    </row>
    <row r="8659" spans="4:4" x14ac:dyDescent="0.25">
      <c r="D8659"/>
    </row>
    <row r="8660" spans="4:4" x14ac:dyDescent="0.25">
      <c r="D8660"/>
    </row>
    <row r="8661" spans="4:4" x14ac:dyDescent="0.25">
      <c r="D8661"/>
    </row>
    <row r="8662" spans="4:4" x14ac:dyDescent="0.25">
      <c r="D8662"/>
    </row>
    <row r="8663" spans="4:4" x14ac:dyDescent="0.25">
      <c r="D8663"/>
    </row>
    <row r="8664" spans="4:4" x14ac:dyDescent="0.25">
      <c r="D8664"/>
    </row>
    <row r="8665" spans="4:4" x14ac:dyDescent="0.25">
      <c r="D8665"/>
    </row>
    <row r="8666" spans="4:4" x14ac:dyDescent="0.25">
      <c r="D8666"/>
    </row>
    <row r="8667" spans="4:4" x14ac:dyDescent="0.25">
      <c r="D8667"/>
    </row>
    <row r="8668" spans="4:4" x14ac:dyDescent="0.25">
      <c r="D8668"/>
    </row>
    <row r="8669" spans="4:4" x14ac:dyDescent="0.25">
      <c r="D8669"/>
    </row>
    <row r="8670" spans="4:4" x14ac:dyDescent="0.25">
      <c r="D8670"/>
    </row>
    <row r="8671" spans="4:4" x14ac:dyDescent="0.25">
      <c r="D8671"/>
    </row>
    <row r="8672" spans="4:4" x14ac:dyDescent="0.25">
      <c r="D8672"/>
    </row>
    <row r="8673" spans="4:4" x14ac:dyDescent="0.25">
      <c r="D8673"/>
    </row>
    <row r="8674" spans="4:4" x14ac:dyDescent="0.25">
      <c r="D8674"/>
    </row>
    <row r="8675" spans="4:4" x14ac:dyDescent="0.25">
      <c r="D8675"/>
    </row>
    <row r="8676" spans="4:4" x14ac:dyDescent="0.25">
      <c r="D8676"/>
    </row>
    <row r="8677" spans="4:4" x14ac:dyDescent="0.25">
      <c r="D8677"/>
    </row>
    <row r="8678" spans="4:4" x14ac:dyDescent="0.25">
      <c r="D8678"/>
    </row>
    <row r="8679" spans="4:4" x14ac:dyDescent="0.25">
      <c r="D8679"/>
    </row>
    <row r="8680" spans="4:4" x14ac:dyDescent="0.25">
      <c r="D8680"/>
    </row>
    <row r="8681" spans="4:4" x14ac:dyDescent="0.25">
      <c r="D8681"/>
    </row>
    <row r="8682" spans="4:4" x14ac:dyDescent="0.25">
      <c r="D8682"/>
    </row>
    <row r="8683" spans="4:4" x14ac:dyDescent="0.25">
      <c r="D8683"/>
    </row>
    <row r="8684" spans="4:4" x14ac:dyDescent="0.25">
      <c r="D8684"/>
    </row>
    <row r="8685" spans="4:4" x14ac:dyDescent="0.25">
      <c r="D8685"/>
    </row>
    <row r="8686" spans="4:4" x14ac:dyDescent="0.25">
      <c r="D8686"/>
    </row>
    <row r="8687" spans="4:4" x14ac:dyDescent="0.25">
      <c r="D8687"/>
    </row>
    <row r="8688" spans="4:4" x14ac:dyDescent="0.25">
      <c r="D8688"/>
    </row>
    <row r="8689" spans="4:4" x14ac:dyDescent="0.25">
      <c r="D8689"/>
    </row>
    <row r="8690" spans="4:4" x14ac:dyDescent="0.25">
      <c r="D8690"/>
    </row>
    <row r="8691" spans="4:4" x14ac:dyDescent="0.25">
      <c r="D8691"/>
    </row>
    <row r="8692" spans="4:4" x14ac:dyDescent="0.25">
      <c r="D8692"/>
    </row>
    <row r="8693" spans="4:4" x14ac:dyDescent="0.25">
      <c r="D8693"/>
    </row>
    <row r="8694" spans="4:4" x14ac:dyDescent="0.25">
      <c r="D8694"/>
    </row>
    <row r="8695" spans="4:4" x14ac:dyDescent="0.25">
      <c r="D8695"/>
    </row>
    <row r="8696" spans="4:4" x14ac:dyDescent="0.25">
      <c r="D8696"/>
    </row>
    <row r="8697" spans="4:4" x14ac:dyDescent="0.25">
      <c r="D8697"/>
    </row>
    <row r="8698" spans="4:4" x14ac:dyDescent="0.25">
      <c r="D8698"/>
    </row>
    <row r="8699" spans="4:4" x14ac:dyDescent="0.25">
      <c r="D8699"/>
    </row>
    <row r="8700" spans="4:4" x14ac:dyDescent="0.25">
      <c r="D8700"/>
    </row>
    <row r="8701" spans="4:4" x14ac:dyDescent="0.25">
      <c r="D8701"/>
    </row>
    <row r="8702" spans="4:4" x14ac:dyDescent="0.25">
      <c r="D8702"/>
    </row>
    <row r="8703" spans="4:4" x14ac:dyDescent="0.25">
      <c r="D8703"/>
    </row>
    <row r="8704" spans="4:4" x14ac:dyDescent="0.25">
      <c r="D8704"/>
    </row>
    <row r="8705" spans="4:4" x14ac:dyDescent="0.25">
      <c r="D8705"/>
    </row>
    <row r="8706" spans="4:4" x14ac:dyDescent="0.25">
      <c r="D8706"/>
    </row>
    <row r="8707" spans="4:4" x14ac:dyDescent="0.25">
      <c r="D8707"/>
    </row>
    <row r="8708" spans="4:4" x14ac:dyDescent="0.25">
      <c r="D8708"/>
    </row>
    <row r="8709" spans="4:4" x14ac:dyDescent="0.25">
      <c r="D8709"/>
    </row>
    <row r="8710" spans="4:4" x14ac:dyDescent="0.25">
      <c r="D8710"/>
    </row>
    <row r="8711" spans="4:4" x14ac:dyDescent="0.25">
      <c r="D8711"/>
    </row>
    <row r="8712" spans="4:4" x14ac:dyDescent="0.25">
      <c r="D8712"/>
    </row>
    <row r="8713" spans="4:4" x14ac:dyDescent="0.25">
      <c r="D8713"/>
    </row>
    <row r="8714" spans="4:4" x14ac:dyDescent="0.25">
      <c r="D8714"/>
    </row>
    <row r="8715" spans="4:4" x14ac:dyDescent="0.25">
      <c r="D8715"/>
    </row>
    <row r="8716" spans="4:4" x14ac:dyDescent="0.25">
      <c r="D8716"/>
    </row>
    <row r="8717" spans="4:4" x14ac:dyDescent="0.25">
      <c r="D8717"/>
    </row>
    <row r="8718" spans="4:4" x14ac:dyDescent="0.25">
      <c r="D8718"/>
    </row>
    <row r="8719" spans="4:4" x14ac:dyDescent="0.25">
      <c r="D8719"/>
    </row>
    <row r="8720" spans="4:4" x14ac:dyDescent="0.25">
      <c r="D8720"/>
    </row>
    <row r="8721" spans="4:4" x14ac:dyDescent="0.25">
      <c r="D8721"/>
    </row>
    <row r="8722" spans="4:4" x14ac:dyDescent="0.25">
      <c r="D8722"/>
    </row>
    <row r="8723" spans="4:4" x14ac:dyDescent="0.25">
      <c r="D8723"/>
    </row>
    <row r="8724" spans="4:4" x14ac:dyDescent="0.25">
      <c r="D8724"/>
    </row>
    <row r="8725" spans="4:4" x14ac:dyDescent="0.25">
      <c r="D8725"/>
    </row>
    <row r="8726" spans="4:4" x14ac:dyDescent="0.25">
      <c r="D8726"/>
    </row>
    <row r="8727" spans="4:4" x14ac:dyDescent="0.25">
      <c r="D8727"/>
    </row>
    <row r="8728" spans="4:4" x14ac:dyDescent="0.25">
      <c r="D8728"/>
    </row>
    <row r="8729" spans="4:4" x14ac:dyDescent="0.25">
      <c r="D8729"/>
    </row>
    <row r="8730" spans="4:4" x14ac:dyDescent="0.25">
      <c r="D8730"/>
    </row>
    <row r="8731" spans="4:4" x14ac:dyDescent="0.25">
      <c r="D8731"/>
    </row>
    <row r="8732" spans="4:4" x14ac:dyDescent="0.25">
      <c r="D8732"/>
    </row>
    <row r="8733" spans="4:4" x14ac:dyDescent="0.25">
      <c r="D8733"/>
    </row>
    <row r="8734" spans="4:4" x14ac:dyDescent="0.25">
      <c r="D8734"/>
    </row>
    <row r="8735" spans="4:4" x14ac:dyDescent="0.25">
      <c r="D8735"/>
    </row>
    <row r="8736" spans="4:4" x14ac:dyDescent="0.25">
      <c r="D8736"/>
    </row>
    <row r="8737" spans="4:4" x14ac:dyDescent="0.25">
      <c r="D8737"/>
    </row>
    <row r="8738" spans="4:4" x14ac:dyDescent="0.25">
      <c r="D8738"/>
    </row>
    <row r="8739" spans="4:4" x14ac:dyDescent="0.25">
      <c r="D8739"/>
    </row>
    <row r="8740" spans="4:4" x14ac:dyDescent="0.25">
      <c r="D8740"/>
    </row>
    <row r="8741" spans="4:4" x14ac:dyDescent="0.25">
      <c r="D8741"/>
    </row>
    <row r="8742" spans="4:4" x14ac:dyDescent="0.25">
      <c r="D8742"/>
    </row>
    <row r="8743" spans="4:4" x14ac:dyDescent="0.25">
      <c r="D8743"/>
    </row>
    <row r="8744" spans="4:4" x14ac:dyDescent="0.25">
      <c r="D8744"/>
    </row>
    <row r="8745" spans="4:4" x14ac:dyDescent="0.25">
      <c r="D8745"/>
    </row>
    <row r="8746" spans="4:4" x14ac:dyDescent="0.25">
      <c r="D8746"/>
    </row>
    <row r="8747" spans="4:4" x14ac:dyDescent="0.25">
      <c r="D8747"/>
    </row>
    <row r="8748" spans="4:4" x14ac:dyDescent="0.25">
      <c r="D8748"/>
    </row>
    <row r="8749" spans="4:4" x14ac:dyDescent="0.25">
      <c r="D8749"/>
    </row>
    <row r="8750" spans="4:4" x14ac:dyDescent="0.25">
      <c r="D8750"/>
    </row>
    <row r="8751" spans="4:4" x14ac:dyDescent="0.25">
      <c r="D8751"/>
    </row>
    <row r="8752" spans="4:4" x14ac:dyDescent="0.25">
      <c r="D8752"/>
    </row>
    <row r="8753" spans="4:4" x14ac:dyDescent="0.25">
      <c r="D8753"/>
    </row>
    <row r="8754" spans="4:4" x14ac:dyDescent="0.25">
      <c r="D8754"/>
    </row>
    <row r="8755" spans="4:4" x14ac:dyDescent="0.25">
      <c r="D8755"/>
    </row>
    <row r="8756" spans="4:4" x14ac:dyDescent="0.25">
      <c r="D8756"/>
    </row>
    <row r="8757" spans="4:4" x14ac:dyDescent="0.25">
      <c r="D8757"/>
    </row>
    <row r="8758" spans="4:4" x14ac:dyDescent="0.25">
      <c r="D8758"/>
    </row>
    <row r="8759" spans="4:4" x14ac:dyDescent="0.25">
      <c r="D8759"/>
    </row>
    <row r="8760" spans="4:4" x14ac:dyDescent="0.25">
      <c r="D8760"/>
    </row>
    <row r="8761" spans="4:4" x14ac:dyDescent="0.25">
      <c r="D8761"/>
    </row>
    <row r="8762" spans="4:4" x14ac:dyDescent="0.25">
      <c r="D8762"/>
    </row>
    <row r="8763" spans="4:4" x14ac:dyDescent="0.25">
      <c r="D8763"/>
    </row>
    <row r="8764" spans="4:4" x14ac:dyDescent="0.25">
      <c r="D8764"/>
    </row>
    <row r="8765" spans="4:4" x14ac:dyDescent="0.25">
      <c r="D8765"/>
    </row>
    <row r="8766" spans="4:4" x14ac:dyDescent="0.25">
      <c r="D8766"/>
    </row>
    <row r="8767" spans="4:4" x14ac:dyDescent="0.25">
      <c r="D8767"/>
    </row>
    <row r="8768" spans="4:4" x14ac:dyDescent="0.25">
      <c r="D8768"/>
    </row>
    <row r="8769" spans="4:4" x14ac:dyDescent="0.25">
      <c r="D8769"/>
    </row>
    <row r="8770" spans="4:4" x14ac:dyDescent="0.25">
      <c r="D8770"/>
    </row>
    <row r="8771" spans="4:4" x14ac:dyDescent="0.25">
      <c r="D8771"/>
    </row>
    <row r="8772" spans="4:4" x14ac:dyDescent="0.25">
      <c r="D8772"/>
    </row>
    <row r="8773" spans="4:4" x14ac:dyDescent="0.25">
      <c r="D8773"/>
    </row>
    <row r="8774" spans="4:4" x14ac:dyDescent="0.25">
      <c r="D8774"/>
    </row>
    <row r="8775" spans="4:4" x14ac:dyDescent="0.25">
      <c r="D8775"/>
    </row>
    <row r="8776" spans="4:4" x14ac:dyDescent="0.25">
      <c r="D8776"/>
    </row>
    <row r="8777" spans="4:4" x14ac:dyDescent="0.25">
      <c r="D8777"/>
    </row>
    <row r="8778" spans="4:4" x14ac:dyDescent="0.25">
      <c r="D8778"/>
    </row>
    <row r="8779" spans="4:4" x14ac:dyDescent="0.25">
      <c r="D8779"/>
    </row>
    <row r="8780" spans="4:4" x14ac:dyDescent="0.25">
      <c r="D8780"/>
    </row>
    <row r="8781" spans="4:4" x14ac:dyDescent="0.25">
      <c r="D8781"/>
    </row>
    <row r="8782" spans="4:4" x14ac:dyDescent="0.25">
      <c r="D8782"/>
    </row>
    <row r="8783" spans="4:4" x14ac:dyDescent="0.25">
      <c r="D8783"/>
    </row>
    <row r="8784" spans="4:4" x14ac:dyDescent="0.25">
      <c r="D8784"/>
    </row>
    <row r="8785" spans="4:4" x14ac:dyDescent="0.25">
      <c r="D8785"/>
    </row>
    <row r="8786" spans="4:4" x14ac:dyDescent="0.25">
      <c r="D8786"/>
    </row>
    <row r="8787" spans="4:4" x14ac:dyDescent="0.25">
      <c r="D8787"/>
    </row>
    <row r="8788" spans="4:4" x14ac:dyDescent="0.25">
      <c r="D8788"/>
    </row>
    <row r="8789" spans="4:4" x14ac:dyDescent="0.25">
      <c r="D8789"/>
    </row>
    <row r="8790" spans="4:4" x14ac:dyDescent="0.25">
      <c r="D8790"/>
    </row>
    <row r="8791" spans="4:4" x14ac:dyDescent="0.25">
      <c r="D8791"/>
    </row>
    <row r="8792" spans="4:4" x14ac:dyDescent="0.25">
      <c r="D8792"/>
    </row>
    <row r="8793" spans="4:4" x14ac:dyDescent="0.25">
      <c r="D8793"/>
    </row>
    <row r="8794" spans="4:4" x14ac:dyDescent="0.25">
      <c r="D8794"/>
    </row>
    <row r="8795" spans="4:4" x14ac:dyDescent="0.25">
      <c r="D8795"/>
    </row>
    <row r="8796" spans="4:4" x14ac:dyDescent="0.25">
      <c r="D8796"/>
    </row>
    <row r="8797" spans="4:4" x14ac:dyDescent="0.25">
      <c r="D8797"/>
    </row>
    <row r="8798" spans="4:4" x14ac:dyDescent="0.25">
      <c r="D8798"/>
    </row>
    <row r="8799" spans="4:4" x14ac:dyDescent="0.25">
      <c r="D8799"/>
    </row>
    <row r="8800" spans="4:4" x14ac:dyDescent="0.25">
      <c r="D8800"/>
    </row>
    <row r="8801" spans="4:4" x14ac:dyDescent="0.25">
      <c r="D8801"/>
    </row>
    <row r="8802" spans="4:4" x14ac:dyDescent="0.25">
      <c r="D8802"/>
    </row>
    <row r="8803" spans="4:4" x14ac:dyDescent="0.25">
      <c r="D8803"/>
    </row>
    <row r="8804" spans="4:4" x14ac:dyDescent="0.25">
      <c r="D8804"/>
    </row>
    <row r="8805" spans="4:4" x14ac:dyDescent="0.25">
      <c r="D8805"/>
    </row>
    <row r="8806" spans="4:4" x14ac:dyDescent="0.25">
      <c r="D8806"/>
    </row>
    <row r="8807" spans="4:4" x14ac:dyDescent="0.25">
      <c r="D8807"/>
    </row>
    <row r="8808" spans="4:4" x14ac:dyDescent="0.25">
      <c r="D8808"/>
    </row>
    <row r="8809" spans="4:4" x14ac:dyDescent="0.25">
      <c r="D8809"/>
    </row>
    <row r="8810" spans="4:4" x14ac:dyDescent="0.25">
      <c r="D8810"/>
    </row>
    <row r="8811" spans="4:4" x14ac:dyDescent="0.25">
      <c r="D8811"/>
    </row>
    <row r="8812" spans="4:4" x14ac:dyDescent="0.25">
      <c r="D8812"/>
    </row>
    <row r="8813" spans="4:4" x14ac:dyDescent="0.25">
      <c r="D8813"/>
    </row>
    <row r="8814" spans="4:4" x14ac:dyDescent="0.25">
      <c r="D8814"/>
    </row>
    <row r="8815" spans="4:4" x14ac:dyDescent="0.25">
      <c r="D8815"/>
    </row>
    <row r="8816" spans="4:4" x14ac:dyDescent="0.25">
      <c r="D8816"/>
    </row>
    <row r="8817" spans="4:4" x14ac:dyDescent="0.25">
      <c r="D8817"/>
    </row>
    <row r="8818" spans="4:4" x14ac:dyDescent="0.25">
      <c r="D8818"/>
    </row>
    <row r="8819" spans="4:4" x14ac:dyDescent="0.25">
      <c r="D8819"/>
    </row>
    <row r="8820" spans="4:4" x14ac:dyDescent="0.25">
      <c r="D8820"/>
    </row>
    <row r="8821" spans="4:4" x14ac:dyDescent="0.25">
      <c r="D8821"/>
    </row>
    <row r="8822" spans="4:4" x14ac:dyDescent="0.25">
      <c r="D8822"/>
    </row>
    <row r="8823" spans="4:4" x14ac:dyDescent="0.25">
      <c r="D8823"/>
    </row>
    <row r="8824" spans="4:4" x14ac:dyDescent="0.25">
      <c r="D8824"/>
    </row>
    <row r="8825" spans="4:4" x14ac:dyDescent="0.25">
      <c r="D8825"/>
    </row>
    <row r="8826" spans="4:4" x14ac:dyDescent="0.25">
      <c r="D8826"/>
    </row>
    <row r="8827" spans="4:4" x14ac:dyDescent="0.25">
      <c r="D8827"/>
    </row>
    <row r="8828" spans="4:4" x14ac:dyDescent="0.25">
      <c r="D8828"/>
    </row>
    <row r="8829" spans="4:4" x14ac:dyDescent="0.25">
      <c r="D8829"/>
    </row>
    <row r="8830" spans="4:4" x14ac:dyDescent="0.25">
      <c r="D8830"/>
    </row>
    <row r="8831" spans="4:4" x14ac:dyDescent="0.25">
      <c r="D8831"/>
    </row>
    <row r="8832" spans="4:4" x14ac:dyDescent="0.25">
      <c r="D8832"/>
    </row>
    <row r="8833" spans="4:4" x14ac:dyDescent="0.25">
      <c r="D8833"/>
    </row>
    <row r="8834" spans="4:4" x14ac:dyDescent="0.25">
      <c r="D8834"/>
    </row>
    <row r="8835" spans="4:4" x14ac:dyDescent="0.25">
      <c r="D8835"/>
    </row>
    <row r="8836" spans="4:4" x14ac:dyDescent="0.25">
      <c r="D8836"/>
    </row>
    <row r="8837" spans="4:4" x14ac:dyDescent="0.25">
      <c r="D8837"/>
    </row>
    <row r="8838" spans="4:4" x14ac:dyDescent="0.25">
      <c r="D8838"/>
    </row>
    <row r="8839" spans="4:4" x14ac:dyDescent="0.25">
      <c r="D8839"/>
    </row>
    <row r="8840" spans="4:4" x14ac:dyDescent="0.25">
      <c r="D8840"/>
    </row>
    <row r="8841" spans="4:4" x14ac:dyDescent="0.25">
      <c r="D8841"/>
    </row>
    <row r="8842" spans="4:4" x14ac:dyDescent="0.25">
      <c r="D8842"/>
    </row>
    <row r="8843" spans="4:4" x14ac:dyDescent="0.25">
      <c r="D8843"/>
    </row>
    <row r="8844" spans="4:4" x14ac:dyDescent="0.25">
      <c r="D8844"/>
    </row>
    <row r="8845" spans="4:4" x14ac:dyDescent="0.25">
      <c r="D8845"/>
    </row>
    <row r="8846" spans="4:4" x14ac:dyDescent="0.25">
      <c r="D8846"/>
    </row>
    <row r="8847" spans="4:4" x14ac:dyDescent="0.25">
      <c r="D8847"/>
    </row>
    <row r="8848" spans="4:4" x14ac:dyDescent="0.25">
      <c r="D8848"/>
    </row>
    <row r="8849" spans="4:4" x14ac:dyDescent="0.25">
      <c r="D8849"/>
    </row>
    <row r="8850" spans="4:4" x14ac:dyDescent="0.25">
      <c r="D8850"/>
    </row>
    <row r="8851" spans="4:4" x14ac:dyDescent="0.25">
      <c r="D8851"/>
    </row>
    <row r="8852" spans="4:4" x14ac:dyDescent="0.25">
      <c r="D8852"/>
    </row>
    <row r="8853" spans="4:4" x14ac:dyDescent="0.25">
      <c r="D8853"/>
    </row>
    <row r="8854" spans="4:4" x14ac:dyDescent="0.25">
      <c r="D8854"/>
    </row>
    <row r="8855" spans="4:4" x14ac:dyDescent="0.25">
      <c r="D8855"/>
    </row>
    <row r="8856" spans="4:4" x14ac:dyDescent="0.25">
      <c r="D8856"/>
    </row>
    <row r="8857" spans="4:4" x14ac:dyDescent="0.25">
      <c r="D8857"/>
    </row>
    <row r="8858" spans="4:4" x14ac:dyDescent="0.25">
      <c r="D8858"/>
    </row>
    <row r="8859" spans="4:4" x14ac:dyDescent="0.25">
      <c r="D8859"/>
    </row>
    <row r="8860" spans="4:4" x14ac:dyDescent="0.25">
      <c r="D8860"/>
    </row>
    <row r="8861" spans="4:4" x14ac:dyDescent="0.25">
      <c r="D8861"/>
    </row>
    <row r="8862" spans="4:4" x14ac:dyDescent="0.25">
      <c r="D8862"/>
    </row>
    <row r="8863" spans="4:4" x14ac:dyDescent="0.25">
      <c r="D8863"/>
    </row>
    <row r="8864" spans="4:4" x14ac:dyDescent="0.25">
      <c r="D8864"/>
    </row>
    <row r="8865" spans="4:4" x14ac:dyDescent="0.25">
      <c r="D8865"/>
    </row>
    <row r="8866" spans="4:4" x14ac:dyDescent="0.25">
      <c r="D8866"/>
    </row>
    <row r="8867" spans="4:4" x14ac:dyDescent="0.25">
      <c r="D8867"/>
    </row>
    <row r="8868" spans="4:4" x14ac:dyDescent="0.25">
      <c r="D8868"/>
    </row>
    <row r="8869" spans="4:4" x14ac:dyDescent="0.25">
      <c r="D8869"/>
    </row>
    <row r="8870" spans="4:4" x14ac:dyDescent="0.25">
      <c r="D8870"/>
    </row>
    <row r="8871" spans="4:4" x14ac:dyDescent="0.25">
      <c r="D8871"/>
    </row>
    <row r="8872" spans="4:4" x14ac:dyDescent="0.25">
      <c r="D8872"/>
    </row>
    <row r="8873" spans="4:4" x14ac:dyDescent="0.25">
      <c r="D8873"/>
    </row>
    <row r="8874" spans="4:4" x14ac:dyDescent="0.25">
      <c r="D8874"/>
    </row>
    <row r="8875" spans="4:4" x14ac:dyDescent="0.25">
      <c r="D8875"/>
    </row>
    <row r="8876" spans="4:4" x14ac:dyDescent="0.25">
      <c r="D8876"/>
    </row>
    <row r="8877" spans="4:4" x14ac:dyDescent="0.25">
      <c r="D8877"/>
    </row>
    <row r="8878" spans="4:4" x14ac:dyDescent="0.25">
      <c r="D8878"/>
    </row>
    <row r="8879" spans="4:4" x14ac:dyDescent="0.25">
      <c r="D8879"/>
    </row>
    <row r="8880" spans="4:4" x14ac:dyDescent="0.25">
      <c r="D8880"/>
    </row>
    <row r="8881" spans="4:4" x14ac:dyDescent="0.25">
      <c r="D8881"/>
    </row>
    <row r="8882" spans="4:4" x14ac:dyDescent="0.25">
      <c r="D8882"/>
    </row>
    <row r="8883" spans="4:4" x14ac:dyDescent="0.25">
      <c r="D8883"/>
    </row>
    <row r="8884" spans="4:4" x14ac:dyDescent="0.25">
      <c r="D8884"/>
    </row>
    <row r="8885" spans="4:4" x14ac:dyDescent="0.25">
      <c r="D8885"/>
    </row>
    <row r="8886" spans="4:4" x14ac:dyDescent="0.25">
      <c r="D8886"/>
    </row>
    <row r="8887" spans="4:4" x14ac:dyDescent="0.25">
      <c r="D8887"/>
    </row>
    <row r="8888" spans="4:4" x14ac:dyDescent="0.25">
      <c r="D8888"/>
    </row>
    <row r="8889" spans="4:4" x14ac:dyDescent="0.25">
      <c r="D8889"/>
    </row>
    <row r="8890" spans="4:4" x14ac:dyDescent="0.25">
      <c r="D8890"/>
    </row>
    <row r="8891" spans="4:4" x14ac:dyDescent="0.25">
      <c r="D8891"/>
    </row>
    <row r="8892" spans="4:4" x14ac:dyDescent="0.25">
      <c r="D8892"/>
    </row>
    <row r="8893" spans="4:4" x14ac:dyDescent="0.25">
      <c r="D8893"/>
    </row>
    <row r="8894" spans="4:4" x14ac:dyDescent="0.25">
      <c r="D8894"/>
    </row>
    <row r="8895" spans="4:4" x14ac:dyDescent="0.25">
      <c r="D8895"/>
    </row>
    <row r="8896" spans="4:4" x14ac:dyDescent="0.25">
      <c r="D8896"/>
    </row>
    <row r="8897" spans="4:4" x14ac:dyDescent="0.25">
      <c r="D8897"/>
    </row>
    <row r="8898" spans="4:4" x14ac:dyDescent="0.25">
      <c r="D8898"/>
    </row>
    <row r="8899" spans="4:4" x14ac:dyDescent="0.25">
      <c r="D8899"/>
    </row>
    <row r="8900" spans="4:4" x14ac:dyDescent="0.25">
      <c r="D8900"/>
    </row>
    <row r="8901" spans="4:4" x14ac:dyDescent="0.25">
      <c r="D8901"/>
    </row>
    <row r="8902" spans="4:4" x14ac:dyDescent="0.25">
      <c r="D8902"/>
    </row>
    <row r="8903" spans="4:4" x14ac:dyDescent="0.25">
      <c r="D8903"/>
    </row>
    <row r="8904" spans="4:4" x14ac:dyDescent="0.25">
      <c r="D8904"/>
    </row>
    <row r="8905" spans="4:4" x14ac:dyDescent="0.25">
      <c r="D8905"/>
    </row>
    <row r="8906" spans="4:4" x14ac:dyDescent="0.25">
      <c r="D8906"/>
    </row>
    <row r="8907" spans="4:4" x14ac:dyDescent="0.25">
      <c r="D8907"/>
    </row>
    <row r="8908" spans="4:4" x14ac:dyDescent="0.25">
      <c r="D8908"/>
    </row>
    <row r="8909" spans="4:4" x14ac:dyDescent="0.25">
      <c r="D8909"/>
    </row>
    <row r="8910" spans="4:4" x14ac:dyDescent="0.25">
      <c r="D8910"/>
    </row>
    <row r="8911" spans="4:4" x14ac:dyDescent="0.25">
      <c r="D8911"/>
    </row>
    <row r="8912" spans="4:4" x14ac:dyDescent="0.25">
      <c r="D8912"/>
    </row>
    <row r="8913" spans="4:4" x14ac:dyDescent="0.25">
      <c r="D8913"/>
    </row>
    <row r="8914" spans="4:4" x14ac:dyDescent="0.25">
      <c r="D8914"/>
    </row>
    <row r="8915" spans="4:4" x14ac:dyDescent="0.25">
      <c r="D8915"/>
    </row>
    <row r="8916" spans="4:4" x14ac:dyDescent="0.25">
      <c r="D8916"/>
    </row>
    <row r="8917" spans="4:4" x14ac:dyDescent="0.25">
      <c r="D8917"/>
    </row>
    <row r="8918" spans="4:4" x14ac:dyDescent="0.25">
      <c r="D8918"/>
    </row>
    <row r="8919" spans="4:4" x14ac:dyDescent="0.25">
      <c r="D8919"/>
    </row>
    <row r="8920" spans="4:4" x14ac:dyDescent="0.25">
      <c r="D8920"/>
    </row>
    <row r="8921" spans="4:4" x14ac:dyDescent="0.25">
      <c r="D8921"/>
    </row>
    <row r="8922" spans="4:4" x14ac:dyDescent="0.25">
      <c r="D8922"/>
    </row>
    <row r="8923" spans="4:4" x14ac:dyDescent="0.25">
      <c r="D8923"/>
    </row>
    <row r="8924" spans="4:4" x14ac:dyDescent="0.25">
      <c r="D8924"/>
    </row>
    <row r="8925" spans="4:4" x14ac:dyDescent="0.25">
      <c r="D8925"/>
    </row>
    <row r="8926" spans="4:4" x14ac:dyDescent="0.25">
      <c r="D8926"/>
    </row>
    <row r="8927" spans="4:4" x14ac:dyDescent="0.25">
      <c r="D8927"/>
    </row>
    <row r="8928" spans="4:4" x14ac:dyDescent="0.25">
      <c r="D8928"/>
    </row>
    <row r="8929" spans="4:4" x14ac:dyDescent="0.25">
      <c r="D8929"/>
    </row>
    <row r="8930" spans="4:4" x14ac:dyDescent="0.25">
      <c r="D8930"/>
    </row>
    <row r="8931" spans="4:4" x14ac:dyDescent="0.25">
      <c r="D8931"/>
    </row>
    <row r="8932" spans="4:4" x14ac:dyDescent="0.25">
      <c r="D8932"/>
    </row>
    <row r="8933" spans="4:4" x14ac:dyDescent="0.25">
      <c r="D8933"/>
    </row>
    <row r="8934" spans="4:4" x14ac:dyDescent="0.25">
      <c r="D8934"/>
    </row>
    <row r="8935" spans="4:4" x14ac:dyDescent="0.25">
      <c r="D8935"/>
    </row>
    <row r="8936" spans="4:4" x14ac:dyDescent="0.25">
      <c r="D8936"/>
    </row>
    <row r="8937" spans="4:4" x14ac:dyDescent="0.25">
      <c r="D8937"/>
    </row>
    <row r="8938" spans="4:4" x14ac:dyDescent="0.25">
      <c r="D8938"/>
    </row>
    <row r="8939" spans="4:4" x14ac:dyDescent="0.25">
      <c r="D8939"/>
    </row>
    <row r="8940" spans="4:4" x14ac:dyDescent="0.25">
      <c r="D8940"/>
    </row>
    <row r="8941" spans="4:4" x14ac:dyDescent="0.25">
      <c r="D8941"/>
    </row>
    <row r="8942" spans="4:4" x14ac:dyDescent="0.25">
      <c r="D8942"/>
    </row>
    <row r="8943" spans="4:4" x14ac:dyDescent="0.25">
      <c r="D8943"/>
    </row>
    <row r="8944" spans="4:4" x14ac:dyDescent="0.25">
      <c r="D8944"/>
    </row>
    <row r="8945" spans="4:4" x14ac:dyDescent="0.25">
      <c r="D8945"/>
    </row>
    <row r="8946" spans="4:4" x14ac:dyDescent="0.25">
      <c r="D8946"/>
    </row>
    <row r="8947" spans="4:4" x14ac:dyDescent="0.25">
      <c r="D8947"/>
    </row>
    <row r="8948" spans="4:4" x14ac:dyDescent="0.25">
      <c r="D8948"/>
    </row>
    <row r="8949" spans="4:4" x14ac:dyDescent="0.25">
      <c r="D8949"/>
    </row>
    <row r="8950" spans="4:4" x14ac:dyDescent="0.25">
      <c r="D8950"/>
    </row>
    <row r="8951" spans="4:4" x14ac:dyDescent="0.25">
      <c r="D8951"/>
    </row>
    <row r="8952" spans="4:4" x14ac:dyDescent="0.25">
      <c r="D8952"/>
    </row>
    <row r="8953" spans="4:4" x14ac:dyDescent="0.25">
      <c r="D8953"/>
    </row>
    <row r="8954" spans="4:4" x14ac:dyDescent="0.25">
      <c r="D8954"/>
    </row>
    <row r="8955" spans="4:4" x14ac:dyDescent="0.25">
      <c r="D8955"/>
    </row>
    <row r="8956" spans="4:4" x14ac:dyDescent="0.25">
      <c r="D8956"/>
    </row>
    <row r="8957" spans="4:4" x14ac:dyDescent="0.25">
      <c r="D8957"/>
    </row>
    <row r="8958" spans="4:4" x14ac:dyDescent="0.25">
      <c r="D8958"/>
    </row>
    <row r="8959" spans="4:4" x14ac:dyDescent="0.25">
      <c r="D8959"/>
    </row>
    <row r="8960" spans="4:4" x14ac:dyDescent="0.25">
      <c r="D8960"/>
    </row>
    <row r="8961" spans="4:4" x14ac:dyDescent="0.25">
      <c r="D8961"/>
    </row>
    <row r="8962" spans="4:4" x14ac:dyDescent="0.25">
      <c r="D8962"/>
    </row>
    <row r="8963" spans="4:4" x14ac:dyDescent="0.25">
      <c r="D8963"/>
    </row>
    <row r="8964" spans="4:4" x14ac:dyDescent="0.25">
      <c r="D8964"/>
    </row>
    <row r="8965" spans="4:4" x14ac:dyDescent="0.25">
      <c r="D8965"/>
    </row>
    <row r="8966" spans="4:4" x14ac:dyDescent="0.25">
      <c r="D8966"/>
    </row>
    <row r="8967" spans="4:4" x14ac:dyDescent="0.25">
      <c r="D8967"/>
    </row>
    <row r="8968" spans="4:4" x14ac:dyDescent="0.25">
      <c r="D8968"/>
    </row>
    <row r="8969" spans="4:4" x14ac:dyDescent="0.25">
      <c r="D8969"/>
    </row>
    <row r="8970" spans="4:4" x14ac:dyDescent="0.25">
      <c r="D8970"/>
    </row>
    <row r="8971" spans="4:4" x14ac:dyDescent="0.25">
      <c r="D8971"/>
    </row>
    <row r="8972" spans="4:4" x14ac:dyDescent="0.25">
      <c r="D8972"/>
    </row>
    <row r="8973" spans="4:4" x14ac:dyDescent="0.25">
      <c r="D8973"/>
    </row>
    <row r="8974" spans="4:4" x14ac:dyDescent="0.25">
      <c r="D8974"/>
    </row>
    <row r="8975" spans="4:4" x14ac:dyDescent="0.25">
      <c r="D8975"/>
    </row>
    <row r="8976" spans="4:4" x14ac:dyDescent="0.25">
      <c r="D8976"/>
    </row>
    <row r="8977" spans="4:4" x14ac:dyDescent="0.25">
      <c r="D8977"/>
    </row>
    <row r="8978" spans="4:4" x14ac:dyDescent="0.25">
      <c r="D8978"/>
    </row>
    <row r="8979" spans="4:4" x14ac:dyDescent="0.25">
      <c r="D8979"/>
    </row>
    <row r="8980" spans="4:4" x14ac:dyDescent="0.25">
      <c r="D8980"/>
    </row>
    <row r="8981" spans="4:4" x14ac:dyDescent="0.25">
      <c r="D8981"/>
    </row>
    <row r="8982" spans="4:4" x14ac:dyDescent="0.25">
      <c r="D8982"/>
    </row>
    <row r="8983" spans="4:4" x14ac:dyDescent="0.25">
      <c r="D8983"/>
    </row>
    <row r="8984" spans="4:4" x14ac:dyDescent="0.25">
      <c r="D8984"/>
    </row>
    <row r="8985" spans="4:4" x14ac:dyDescent="0.25">
      <c r="D8985"/>
    </row>
    <row r="8986" spans="4:4" x14ac:dyDescent="0.25">
      <c r="D8986"/>
    </row>
    <row r="8987" spans="4:4" x14ac:dyDescent="0.25">
      <c r="D8987"/>
    </row>
    <row r="8988" spans="4:4" x14ac:dyDescent="0.25">
      <c r="D8988"/>
    </row>
    <row r="8989" spans="4:4" x14ac:dyDescent="0.25">
      <c r="D8989"/>
    </row>
    <row r="8990" spans="4:4" x14ac:dyDescent="0.25">
      <c r="D8990"/>
    </row>
    <row r="8991" spans="4:4" x14ac:dyDescent="0.25">
      <c r="D8991"/>
    </row>
    <row r="8992" spans="4:4" x14ac:dyDescent="0.25">
      <c r="D8992"/>
    </row>
    <row r="8993" spans="4:4" x14ac:dyDescent="0.25">
      <c r="D8993"/>
    </row>
    <row r="8994" spans="4:4" x14ac:dyDescent="0.25">
      <c r="D8994"/>
    </row>
    <row r="8995" spans="4:4" x14ac:dyDescent="0.25">
      <c r="D8995"/>
    </row>
    <row r="8996" spans="4:4" x14ac:dyDescent="0.25">
      <c r="D8996"/>
    </row>
    <row r="8997" spans="4:4" x14ac:dyDescent="0.25">
      <c r="D8997"/>
    </row>
    <row r="8998" spans="4:4" x14ac:dyDescent="0.25">
      <c r="D8998"/>
    </row>
    <row r="8999" spans="4:4" x14ac:dyDescent="0.25">
      <c r="D8999"/>
    </row>
    <row r="9000" spans="4:4" x14ac:dyDescent="0.25">
      <c r="D9000"/>
    </row>
    <row r="9001" spans="4:4" x14ac:dyDescent="0.25">
      <c r="D9001"/>
    </row>
    <row r="9002" spans="4:4" x14ac:dyDescent="0.25">
      <c r="D9002"/>
    </row>
    <row r="9003" spans="4:4" x14ac:dyDescent="0.25">
      <c r="D9003"/>
    </row>
    <row r="9004" spans="4:4" x14ac:dyDescent="0.25">
      <c r="D9004"/>
    </row>
    <row r="9005" spans="4:4" x14ac:dyDescent="0.25">
      <c r="D9005"/>
    </row>
    <row r="9006" spans="4:4" x14ac:dyDescent="0.25">
      <c r="D9006"/>
    </row>
    <row r="9007" spans="4:4" x14ac:dyDescent="0.25">
      <c r="D9007"/>
    </row>
    <row r="9008" spans="4:4" x14ac:dyDescent="0.25">
      <c r="D9008"/>
    </row>
    <row r="9009" spans="4:4" x14ac:dyDescent="0.25">
      <c r="D9009"/>
    </row>
    <row r="9010" spans="4:4" x14ac:dyDescent="0.25">
      <c r="D9010"/>
    </row>
    <row r="9011" spans="4:4" x14ac:dyDescent="0.25">
      <c r="D9011"/>
    </row>
    <row r="9012" spans="4:4" x14ac:dyDescent="0.25">
      <c r="D9012"/>
    </row>
    <row r="9013" spans="4:4" x14ac:dyDescent="0.25">
      <c r="D9013"/>
    </row>
    <row r="9014" spans="4:4" x14ac:dyDescent="0.25">
      <c r="D9014"/>
    </row>
    <row r="9015" spans="4:4" x14ac:dyDescent="0.25">
      <c r="D9015"/>
    </row>
    <row r="9016" spans="4:4" x14ac:dyDescent="0.25">
      <c r="D9016"/>
    </row>
    <row r="9017" spans="4:4" x14ac:dyDescent="0.25">
      <c r="D9017"/>
    </row>
    <row r="9018" spans="4:4" x14ac:dyDescent="0.25">
      <c r="D9018"/>
    </row>
    <row r="9019" spans="4:4" x14ac:dyDescent="0.25">
      <c r="D9019"/>
    </row>
    <row r="9020" spans="4:4" x14ac:dyDescent="0.25">
      <c r="D9020"/>
    </row>
    <row r="9021" spans="4:4" x14ac:dyDescent="0.25">
      <c r="D9021"/>
    </row>
    <row r="9022" spans="4:4" x14ac:dyDescent="0.25">
      <c r="D9022"/>
    </row>
    <row r="9023" spans="4:4" x14ac:dyDescent="0.25">
      <c r="D9023"/>
    </row>
    <row r="9024" spans="4:4" x14ac:dyDescent="0.25">
      <c r="D9024"/>
    </row>
    <row r="9025" spans="4:4" x14ac:dyDescent="0.25">
      <c r="D9025"/>
    </row>
    <row r="9026" spans="4:4" x14ac:dyDescent="0.25">
      <c r="D9026"/>
    </row>
    <row r="9027" spans="4:4" x14ac:dyDescent="0.25">
      <c r="D9027"/>
    </row>
    <row r="9028" spans="4:4" x14ac:dyDescent="0.25">
      <c r="D9028"/>
    </row>
    <row r="9029" spans="4:4" x14ac:dyDescent="0.25">
      <c r="D9029"/>
    </row>
    <row r="9030" spans="4:4" x14ac:dyDescent="0.25">
      <c r="D9030"/>
    </row>
    <row r="9031" spans="4:4" x14ac:dyDescent="0.25">
      <c r="D9031"/>
    </row>
    <row r="9032" spans="4:4" x14ac:dyDescent="0.25">
      <c r="D9032"/>
    </row>
    <row r="9033" spans="4:4" x14ac:dyDescent="0.25">
      <c r="D9033"/>
    </row>
    <row r="9034" spans="4:4" x14ac:dyDescent="0.25">
      <c r="D9034"/>
    </row>
    <row r="9035" spans="4:4" x14ac:dyDescent="0.25">
      <c r="D9035"/>
    </row>
    <row r="9036" spans="4:4" x14ac:dyDescent="0.25">
      <c r="D9036"/>
    </row>
    <row r="9037" spans="4:4" x14ac:dyDescent="0.25">
      <c r="D9037"/>
    </row>
    <row r="9038" spans="4:4" x14ac:dyDescent="0.25">
      <c r="D9038"/>
    </row>
    <row r="9039" spans="4:4" x14ac:dyDescent="0.25">
      <c r="D9039"/>
    </row>
    <row r="9040" spans="4:4" x14ac:dyDescent="0.25">
      <c r="D9040"/>
    </row>
    <row r="9041" spans="4:4" x14ac:dyDescent="0.25">
      <c r="D9041"/>
    </row>
    <row r="9042" spans="4:4" x14ac:dyDescent="0.25">
      <c r="D9042"/>
    </row>
    <row r="9043" spans="4:4" x14ac:dyDescent="0.25">
      <c r="D9043"/>
    </row>
    <row r="9044" spans="4:4" x14ac:dyDescent="0.25">
      <c r="D9044"/>
    </row>
    <row r="9045" spans="4:4" x14ac:dyDescent="0.25">
      <c r="D9045"/>
    </row>
    <row r="9046" spans="4:4" x14ac:dyDescent="0.25">
      <c r="D9046"/>
    </row>
    <row r="9047" spans="4:4" x14ac:dyDescent="0.25">
      <c r="D9047"/>
    </row>
    <row r="9048" spans="4:4" x14ac:dyDescent="0.25">
      <c r="D9048"/>
    </row>
    <row r="9049" spans="4:4" x14ac:dyDescent="0.25">
      <c r="D9049"/>
    </row>
    <row r="9050" spans="4:4" x14ac:dyDescent="0.25">
      <c r="D9050"/>
    </row>
    <row r="9051" spans="4:4" x14ac:dyDescent="0.25">
      <c r="D9051"/>
    </row>
    <row r="9052" spans="4:4" x14ac:dyDescent="0.25">
      <c r="D9052"/>
    </row>
    <row r="9053" spans="4:4" x14ac:dyDescent="0.25">
      <c r="D9053"/>
    </row>
    <row r="9054" spans="4:4" x14ac:dyDescent="0.25">
      <c r="D9054"/>
    </row>
    <row r="9055" spans="4:4" x14ac:dyDescent="0.25">
      <c r="D9055"/>
    </row>
    <row r="9056" spans="4:4" x14ac:dyDescent="0.25">
      <c r="D9056"/>
    </row>
    <row r="9057" spans="4:4" x14ac:dyDescent="0.25">
      <c r="D9057"/>
    </row>
    <row r="9058" spans="4:4" x14ac:dyDescent="0.25">
      <c r="D9058"/>
    </row>
    <row r="9059" spans="4:4" x14ac:dyDescent="0.25">
      <c r="D9059"/>
    </row>
    <row r="9060" spans="4:4" x14ac:dyDescent="0.25">
      <c r="D9060"/>
    </row>
    <row r="9061" spans="4:4" x14ac:dyDescent="0.25">
      <c r="D9061"/>
    </row>
    <row r="9062" spans="4:4" x14ac:dyDescent="0.25">
      <c r="D9062"/>
    </row>
    <row r="9063" spans="4:4" x14ac:dyDescent="0.25">
      <c r="D9063"/>
    </row>
    <row r="9064" spans="4:4" x14ac:dyDescent="0.25">
      <c r="D9064"/>
    </row>
    <row r="9065" spans="4:4" x14ac:dyDescent="0.25">
      <c r="D9065"/>
    </row>
    <row r="9066" spans="4:4" x14ac:dyDescent="0.25">
      <c r="D9066"/>
    </row>
    <row r="9067" spans="4:4" x14ac:dyDescent="0.25">
      <c r="D9067"/>
    </row>
    <row r="9068" spans="4:4" x14ac:dyDescent="0.25">
      <c r="D9068"/>
    </row>
    <row r="9069" spans="4:4" x14ac:dyDescent="0.25">
      <c r="D9069"/>
    </row>
    <row r="9070" spans="4:4" x14ac:dyDescent="0.25">
      <c r="D9070"/>
    </row>
    <row r="9071" spans="4:4" x14ac:dyDescent="0.25">
      <c r="D9071"/>
    </row>
    <row r="9072" spans="4:4" x14ac:dyDescent="0.25">
      <c r="D9072"/>
    </row>
    <row r="9073" spans="4:4" x14ac:dyDescent="0.25">
      <c r="D9073"/>
    </row>
    <row r="9074" spans="4:4" x14ac:dyDescent="0.25">
      <c r="D9074"/>
    </row>
    <row r="9075" spans="4:4" x14ac:dyDescent="0.25">
      <c r="D9075"/>
    </row>
    <row r="9076" spans="4:4" x14ac:dyDescent="0.25">
      <c r="D9076"/>
    </row>
    <row r="9077" spans="4:4" x14ac:dyDescent="0.25">
      <c r="D9077"/>
    </row>
    <row r="9078" spans="4:4" x14ac:dyDescent="0.25">
      <c r="D9078"/>
    </row>
    <row r="9079" spans="4:4" x14ac:dyDescent="0.25">
      <c r="D9079"/>
    </row>
    <row r="9080" spans="4:4" x14ac:dyDescent="0.25">
      <c r="D9080"/>
    </row>
    <row r="9081" spans="4:4" x14ac:dyDescent="0.25">
      <c r="D9081"/>
    </row>
    <row r="9082" spans="4:4" x14ac:dyDescent="0.25">
      <c r="D9082"/>
    </row>
    <row r="9083" spans="4:4" x14ac:dyDescent="0.25">
      <c r="D9083"/>
    </row>
    <row r="9084" spans="4:4" x14ac:dyDescent="0.25">
      <c r="D9084"/>
    </row>
    <row r="9085" spans="4:4" x14ac:dyDescent="0.25">
      <c r="D9085"/>
    </row>
    <row r="9086" spans="4:4" x14ac:dyDescent="0.25">
      <c r="D9086"/>
    </row>
    <row r="9087" spans="4:4" x14ac:dyDescent="0.25">
      <c r="D9087"/>
    </row>
    <row r="9088" spans="4:4" x14ac:dyDescent="0.25">
      <c r="D9088"/>
    </row>
    <row r="9089" spans="4:4" x14ac:dyDescent="0.25">
      <c r="D9089"/>
    </row>
    <row r="9090" spans="4:4" x14ac:dyDescent="0.25">
      <c r="D9090"/>
    </row>
    <row r="9091" spans="4:4" x14ac:dyDescent="0.25">
      <c r="D9091"/>
    </row>
    <row r="9092" spans="4:4" x14ac:dyDescent="0.25">
      <c r="D9092"/>
    </row>
    <row r="9093" spans="4:4" x14ac:dyDescent="0.25">
      <c r="D9093"/>
    </row>
    <row r="9094" spans="4:4" x14ac:dyDescent="0.25">
      <c r="D9094"/>
    </row>
    <row r="9095" spans="4:4" x14ac:dyDescent="0.25">
      <c r="D9095"/>
    </row>
    <row r="9096" spans="4:4" x14ac:dyDescent="0.25">
      <c r="D9096"/>
    </row>
    <row r="9097" spans="4:4" x14ac:dyDescent="0.25">
      <c r="D9097"/>
    </row>
    <row r="9098" spans="4:4" x14ac:dyDescent="0.25">
      <c r="D9098"/>
    </row>
    <row r="9099" spans="4:4" x14ac:dyDescent="0.25">
      <c r="D9099"/>
    </row>
    <row r="9100" spans="4:4" x14ac:dyDescent="0.25">
      <c r="D9100"/>
    </row>
    <row r="9101" spans="4:4" x14ac:dyDescent="0.25">
      <c r="D9101"/>
    </row>
    <row r="9102" spans="4:4" x14ac:dyDescent="0.25">
      <c r="D9102"/>
    </row>
    <row r="9103" spans="4:4" x14ac:dyDescent="0.25">
      <c r="D9103"/>
    </row>
    <row r="9104" spans="4:4" x14ac:dyDescent="0.25">
      <c r="D9104"/>
    </row>
    <row r="9105" spans="4:4" x14ac:dyDescent="0.25">
      <c r="D9105"/>
    </row>
    <row r="9106" spans="4:4" x14ac:dyDescent="0.25">
      <c r="D9106"/>
    </row>
    <row r="9107" spans="4:4" x14ac:dyDescent="0.25">
      <c r="D9107"/>
    </row>
    <row r="9108" spans="4:4" x14ac:dyDescent="0.25">
      <c r="D9108"/>
    </row>
    <row r="9109" spans="4:4" x14ac:dyDescent="0.25">
      <c r="D9109"/>
    </row>
    <row r="9110" spans="4:4" x14ac:dyDescent="0.25">
      <c r="D9110"/>
    </row>
    <row r="9111" spans="4:4" x14ac:dyDescent="0.25">
      <c r="D9111"/>
    </row>
    <row r="9112" spans="4:4" x14ac:dyDescent="0.25">
      <c r="D9112"/>
    </row>
    <row r="9113" spans="4:4" x14ac:dyDescent="0.25">
      <c r="D9113"/>
    </row>
    <row r="9114" spans="4:4" x14ac:dyDescent="0.25">
      <c r="D9114"/>
    </row>
    <row r="9115" spans="4:4" x14ac:dyDescent="0.25">
      <c r="D9115"/>
    </row>
    <row r="9116" spans="4:4" x14ac:dyDescent="0.25">
      <c r="D9116"/>
    </row>
    <row r="9117" spans="4:4" x14ac:dyDescent="0.25">
      <c r="D9117"/>
    </row>
    <row r="9118" spans="4:4" x14ac:dyDescent="0.25">
      <c r="D9118"/>
    </row>
    <row r="9119" spans="4:4" x14ac:dyDescent="0.25">
      <c r="D9119"/>
    </row>
    <row r="9120" spans="4:4" x14ac:dyDescent="0.25">
      <c r="D9120"/>
    </row>
    <row r="9121" spans="4:4" x14ac:dyDescent="0.25">
      <c r="D9121"/>
    </row>
    <row r="9122" spans="4:4" x14ac:dyDescent="0.25">
      <c r="D9122"/>
    </row>
    <row r="9123" spans="4:4" x14ac:dyDescent="0.25">
      <c r="D9123"/>
    </row>
    <row r="9124" spans="4:4" x14ac:dyDescent="0.25">
      <c r="D9124"/>
    </row>
    <row r="9125" spans="4:4" x14ac:dyDescent="0.25">
      <c r="D9125"/>
    </row>
    <row r="9126" spans="4:4" x14ac:dyDescent="0.25">
      <c r="D9126"/>
    </row>
    <row r="9127" spans="4:4" x14ac:dyDescent="0.25">
      <c r="D9127"/>
    </row>
    <row r="9128" spans="4:4" x14ac:dyDescent="0.25">
      <c r="D9128"/>
    </row>
    <row r="9129" spans="4:4" x14ac:dyDescent="0.25">
      <c r="D9129"/>
    </row>
    <row r="9130" spans="4:4" x14ac:dyDescent="0.25">
      <c r="D9130"/>
    </row>
    <row r="9131" spans="4:4" x14ac:dyDescent="0.25">
      <c r="D9131"/>
    </row>
    <row r="9132" spans="4:4" x14ac:dyDescent="0.25">
      <c r="D9132"/>
    </row>
    <row r="9133" spans="4:4" x14ac:dyDescent="0.25">
      <c r="D9133"/>
    </row>
    <row r="9134" spans="4:4" x14ac:dyDescent="0.25">
      <c r="D9134"/>
    </row>
    <row r="9135" spans="4:4" x14ac:dyDescent="0.25">
      <c r="D9135"/>
    </row>
    <row r="9136" spans="4:4" x14ac:dyDescent="0.25">
      <c r="D9136"/>
    </row>
    <row r="9137" spans="4:4" x14ac:dyDescent="0.25">
      <c r="D9137"/>
    </row>
    <row r="9138" spans="4:4" x14ac:dyDescent="0.25">
      <c r="D9138"/>
    </row>
    <row r="9139" spans="4:4" x14ac:dyDescent="0.25">
      <c r="D9139"/>
    </row>
    <row r="9140" spans="4:4" x14ac:dyDescent="0.25">
      <c r="D9140"/>
    </row>
    <row r="9141" spans="4:4" x14ac:dyDescent="0.25">
      <c r="D9141"/>
    </row>
    <row r="9142" spans="4:4" x14ac:dyDescent="0.25">
      <c r="D9142"/>
    </row>
    <row r="9143" spans="4:4" x14ac:dyDescent="0.25">
      <c r="D9143"/>
    </row>
    <row r="9144" spans="4:4" x14ac:dyDescent="0.25">
      <c r="D9144"/>
    </row>
    <row r="9145" spans="4:4" x14ac:dyDescent="0.25">
      <c r="D9145"/>
    </row>
    <row r="9146" spans="4:4" x14ac:dyDescent="0.25">
      <c r="D9146"/>
    </row>
    <row r="9147" spans="4:4" x14ac:dyDescent="0.25">
      <c r="D9147"/>
    </row>
    <row r="9148" spans="4:4" x14ac:dyDescent="0.25">
      <c r="D9148"/>
    </row>
    <row r="9149" spans="4:4" x14ac:dyDescent="0.25">
      <c r="D9149"/>
    </row>
    <row r="9150" spans="4:4" x14ac:dyDescent="0.25">
      <c r="D9150"/>
    </row>
    <row r="9151" spans="4:4" x14ac:dyDescent="0.25">
      <c r="D9151"/>
    </row>
    <row r="9152" spans="4:4" x14ac:dyDescent="0.25">
      <c r="D9152"/>
    </row>
    <row r="9153" spans="4:4" x14ac:dyDescent="0.25">
      <c r="D9153"/>
    </row>
    <row r="9154" spans="4:4" x14ac:dyDescent="0.25">
      <c r="D9154"/>
    </row>
    <row r="9155" spans="4:4" x14ac:dyDescent="0.25">
      <c r="D9155"/>
    </row>
    <row r="9156" spans="4:4" x14ac:dyDescent="0.25">
      <c r="D9156"/>
    </row>
    <row r="9157" spans="4:4" x14ac:dyDescent="0.25">
      <c r="D9157"/>
    </row>
    <row r="9158" spans="4:4" x14ac:dyDescent="0.25">
      <c r="D9158"/>
    </row>
    <row r="9159" spans="4:4" x14ac:dyDescent="0.25">
      <c r="D9159"/>
    </row>
    <row r="9160" spans="4:4" x14ac:dyDescent="0.25">
      <c r="D9160"/>
    </row>
    <row r="9161" spans="4:4" x14ac:dyDescent="0.25">
      <c r="D9161"/>
    </row>
    <row r="9162" spans="4:4" x14ac:dyDescent="0.25">
      <c r="D9162"/>
    </row>
    <row r="9163" spans="4:4" x14ac:dyDescent="0.25">
      <c r="D9163"/>
    </row>
    <row r="9164" spans="4:4" x14ac:dyDescent="0.25">
      <c r="D9164"/>
    </row>
    <row r="9165" spans="4:4" x14ac:dyDescent="0.25">
      <c r="D9165"/>
    </row>
    <row r="9166" spans="4:4" x14ac:dyDescent="0.25">
      <c r="D9166"/>
    </row>
    <row r="9167" spans="4:4" x14ac:dyDescent="0.25">
      <c r="D9167"/>
    </row>
    <row r="9168" spans="4:4" x14ac:dyDescent="0.25">
      <c r="D9168"/>
    </row>
    <row r="9169" spans="4:4" x14ac:dyDescent="0.25">
      <c r="D9169"/>
    </row>
    <row r="9170" spans="4:4" x14ac:dyDescent="0.25">
      <c r="D9170"/>
    </row>
    <row r="9171" spans="4:4" x14ac:dyDescent="0.25">
      <c r="D9171"/>
    </row>
    <row r="9172" spans="4:4" x14ac:dyDescent="0.25">
      <c r="D9172"/>
    </row>
    <row r="9173" spans="4:4" x14ac:dyDescent="0.25">
      <c r="D9173"/>
    </row>
    <row r="9174" spans="4:4" x14ac:dyDescent="0.25">
      <c r="D9174"/>
    </row>
    <row r="9175" spans="4:4" x14ac:dyDescent="0.25">
      <c r="D9175"/>
    </row>
    <row r="9176" spans="4:4" x14ac:dyDescent="0.25">
      <c r="D9176"/>
    </row>
    <row r="9177" spans="4:4" x14ac:dyDescent="0.25">
      <c r="D9177"/>
    </row>
    <row r="9178" spans="4:4" x14ac:dyDescent="0.25">
      <c r="D9178"/>
    </row>
    <row r="9179" spans="4:4" x14ac:dyDescent="0.25">
      <c r="D9179"/>
    </row>
    <row r="9180" spans="4:4" x14ac:dyDescent="0.25">
      <c r="D9180"/>
    </row>
    <row r="9181" spans="4:4" x14ac:dyDescent="0.25">
      <c r="D9181"/>
    </row>
    <row r="9182" spans="4:4" x14ac:dyDescent="0.25">
      <c r="D9182"/>
    </row>
    <row r="9183" spans="4:4" x14ac:dyDescent="0.25">
      <c r="D9183"/>
    </row>
    <row r="9184" spans="4:4" x14ac:dyDescent="0.25">
      <c r="D9184"/>
    </row>
    <row r="9185" spans="4:4" x14ac:dyDescent="0.25">
      <c r="D9185"/>
    </row>
    <row r="9186" spans="4:4" x14ac:dyDescent="0.25">
      <c r="D9186"/>
    </row>
    <row r="9187" spans="4:4" x14ac:dyDescent="0.25">
      <c r="D9187"/>
    </row>
    <row r="9188" spans="4:4" x14ac:dyDescent="0.25">
      <c r="D9188"/>
    </row>
    <row r="9189" spans="4:4" x14ac:dyDescent="0.25">
      <c r="D9189"/>
    </row>
    <row r="9190" spans="4:4" x14ac:dyDescent="0.25">
      <c r="D9190"/>
    </row>
    <row r="9191" spans="4:4" x14ac:dyDescent="0.25">
      <c r="D9191"/>
    </row>
    <row r="9192" spans="4:4" x14ac:dyDescent="0.25">
      <c r="D9192"/>
    </row>
    <row r="9193" spans="4:4" x14ac:dyDescent="0.25">
      <c r="D9193"/>
    </row>
    <row r="9194" spans="4:4" x14ac:dyDescent="0.25">
      <c r="D9194"/>
    </row>
    <row r="9195" spans="4:4" x14ac:dyDescent="0.25">
      <c r="D9195"/>
    </row>
    <row r="9196" spans="4:4" x14ac:dyDescent="0.25">
      <c r="D9196"/>
    </row>
    <row r="9197" spans="4:4" x14ac:dyDescent="0.25">
      <c r="D9197"/>
    </row>
    <row r="9198" spans="4:4" x14ac:dyDescent="0.25">
      <c r="D9198"/>
    </row>
    <row r="9199" spans="4:4" x14ac:dyDescent="0.25">
      <c r="D9199"/>
    </row>
    <row r="9200" spans="4:4" x14ac:dyDescent="0.25">
      <c r="D9200"/>
    </row>
    <row r="9201" spans="4:4" x14ac:dyDescent="0.25">
      <c r="D9201"/>
    </row>
    <row r="9202" spans="4:4" x14ac:dyDescent="0.25">
      <c r="D9202"/>
    </row>
    <row r="9203" spans="4:4" x14ac:dyDescent="0.25">
      <c r="D9203"/>
    </row>
    <row r="9204" spans="4:4" x14ac:dyDescent="0.25">
      <c r="D9204"/>
    </row>
    <row r="9205" spans="4:4" x14ac:dyDescent="0.25">
      <c r="D9205"/>
    </row>
    <row r="9206" spans="4:4" x14ac:dyDescent="0.25">
      <c r="D9206"/>
    </row>
    <row r="9207" spans="4:4" x14ac:dyDescent="0.25">
      <c r="D9207"/>
    </row>
    <row r="9208" spans="4:4" x14ac:dyDescent="0.25">
      <c r="D9208"/>
    </row>
    <row r="9209" spans="4:4" x14ac:dyDescent="0.25">
      <c r="D9209"/>
    </row>
    <row r="9210" spans="4:4" x14ac:dyDescent="0.25">
      <c r="D9210"/>
    </row>
    <row r="9211" spans="4:4" x14ac:dyDescent="0.25">
      <c r="D9211"/>
    </row>
    <row r="9212" spans="4:4" x14ac:dyDescent="0.25">
      <c r="D9212"/>
    </row>
    <row r="9213" spans="4:4" x14ac:dyDescent="0.25">
      <c r="D9213"/>
    </row>
    <row r="9214" spans="4:4" x14ac:dyDescent="0.25">
      <c r="D9214"/>
    </row>
    <row r="9215" spans="4:4" x14ac:dyDescent="0.25">
      <c r="D9215"/>
    </row>
    <row r="9216" spans="4:4" x14ac:dyDescent="0.25">
      <c r="D9216"/>
    </row>
    <row r="9217" spans="4:4" x14ac:dyDescent="0.25">
      <c r="D9217"/>
    </row>
    <row r="9218" spans="4:4" x14ac:dyDescent="0.25">
      <c r="D9218"/>
    </row>
    <row r="9219" spans="4:4" x14ac:dyDescent="0.25">
      <c r="D9219"/>
    </row>
    <row r="9220" spans="4:4" x14ac:dyDescent="0.25">
      <c r="D9220"/>
    </row>
    <row r="9221" spans="4:4" x14ac:dyDescent="0.25">
      <c r="D9221"/>
    </row>
    <row r="9222" spans="4:4" x14ac:dyDescent="0.25">
      <c r="D9222"/>
    </row>
    <row r="9223" spans="4:4" x14ac:dyDescent="0.25">
      <c r="D9223"/>
    </row>
    <row r="9224" spans="4:4" x14ac:dyDescent="0.25">
      <c r="D9224"/>
    </row>
    <row r="9225" spans="4:4" x14ac:dyDescent="0.25">
      <c r="D9225"/>
    </row>
    <row r="9226" spans="4:4" x14ac:dyDescent="0.25">
      <c r="D9226"/>
    </row>
    <row r="9227" spans="4:4" x14ac:dyDescent="0.25">
      <c r="D9227"/>
    </row>
    <row r="9228" spans="4:4" x14ac:dyDescent="0.25">
      <c r="D9228"/>
    </row>
    <row r="9229" spans="4:4" x14ac:dyDescent="0.25">
      <c r="D9229"/>
    </row>
    <row r="9230" spans="4:4" x14ac:dyDescent="0.25">
      <c r="D9230"/>
    </row>
    <row r="9231" spans="4:4" x14ac:dyDescent="0.25">
      <c r="D9231"/>
    </row>
    <row r="9232" spans="4:4" x14ac:dyDescent="0.25">
      <c r="D9232"/>
    </row>
    <row r="9233" spans="4:4" x14ac:dyDescent="0.25">
      <c r="D9233"/>
    </row>
    <row r="9234" spans="4:4" x14ac:dyDescent="0.25">
      <c r="D9234"/>
    </row>
    <row r="9235" spans="4:4" x14ac:dyDescent="0.25">
      <c r="D9235"/>
    </row>
    <row r="9236" spans="4:4" x14ac:dyDescent="0.25">
      <c r="D9236"/>
    </row>
    <row r="9237" spans="4:4" x14ac:dyDescent="0.25">
      <c r="D9237"/>
    </row>
    <row r="9238" spans="4:4" x14ac:dyDescent="0.25">
      <c r="D9238"/>
    </row>
    <row r="9239" spans="4:4" x14ac:dyDescent="0.25">
      <c r="D9239"/>
    </row>
    <row r="9240" spans="4:4" x14ac:dyDescent="0.25">
      <c r="D9240"/>
    </row>
    <row r="9241" spans="4:4" x14ac:dyDescent="0.25">
      <c r="D9241"/>
    </row>
    <row r="9242" spans="4:4" x14ac:dyDescent="0.25">
      <c r="D9242"/>
    </row>
    <row r="9243" spans="4:4" x14ac:dyDescent="0.25">
      <c r="D9243"/>
    </row>
    <row r="9244" spans="4:4" x14ac:dyDescent="0.25">
      <c r="D9244"/>
    </row>
    <row r="9245" spans="4:4" x14ac:dyDescent="0.25">
      <c r="D9245"/>
    </row>
    <row r="9246" spans="4:4" x14ac:dyDescent="0.25">
      <c r="D9246"/>
    </row>
    <row r="9247" spans="4:4" x14ac:dyDescent="0.25">
      <c r="D9247"/>
    </row>
    <row r="9248" spans="4:4" x14ac:dyDescent="0.25">
      <c r="D9248"/>
    </row>
    <row r="9249" spans="4:4" x14ac:dyDescent="0.25">
      <c r="D9249"/>
    </row>
    <row r="9250" spans="4:4" x14ac:dyDescent="0.25">
      <c r="D9250"/>
    </row>
    <row r="9251" spans="4:4" x14ac:dyDescent="0.25">
      <c r="D9251"/>
    </row>
    <row r="9252" spans="4:4" x14ac:dyDescent="0.25">
      <c r="D9252"/>
    </row>
    <row r="9253" spans="4:4" x14ac:dyDescent="0.25">
      <c r="D9253"/>
    </row>
    <row r="9254" spans="4:4" x14ac:dyDescent="0.25">
      <c r="D9254"/>
    </row>
    <row r="9255" spans="4:4" x14ac:dyDescent="0.25">
      <c r="D9255"/>
    </row>
    <row r="9256" spans="4:4" x14ac:dyDescent="0.25">
      <c r="D9256"/>
    </row>
    <row r="9257" spans="4:4" x14ac:dyDescent="0.25">
      <c r="D9257"/>
    </row>
    <row r="9258" spans="4:4" x14ac:dyDescent="0.25">
      <c r="D9258"/>
    </row>
    <row r="9259" spans="4:4" x14ac:dyDescent="0.25">
      <c r="D9259"/>
    </row>
    <row r="9260" spans="4:4" x14ac:dyDescent="0.25">
      <c r="D9260"/>
    </row>
    <row r="9261" spans="4:4" x14ac:dyDescent="0.25">
      <c r="D9261"/>
    </row>
    <row r="9262" spans="4:4" x14ac:dyDescent="0.25">
      <c r="D9262"/>
    </row>
    <row r="9263" spans="4:4" x14ac:dyDescent="0.25">
      <c r="D9263"/>
    </row>
    <row r="9264" spans="4:4" x14ac:dyDescent="0.25">
      <c r="D9264"/>
    </row>
    <row r="9265" spans="4:4" x14ac:dyDescent="0.25">
      <c r="D9265"/>
    </row>
    <row r="9266" spans="4:4" x14ac:dyDescent="0.25">
      <c r="D9266"/>
    </row>
    <row r="9267" spans="4:4" x14ac:dyDescent="0.25">
      <c r="D9267"/>
    </row>
    <row r="9268" spans="4:4" x14ac:dyDescent="0.25">
      <c r="D9268"/>
    </row>
    <row r="9269" spans="4:4" x14ac:dyDescent="0.25">
      <c r="D9269"/>
    </row>
    <row r="9270" spans="4:4" x14ac:dyDescent="0.25">
      <c r="D9270"/>
    </row>
    <row r="9271" spans="4:4" x14ac:dyDescent="0.25">
      <c r="D9271"/>
    </row>
    <row r="9272" spans="4:4" x14ac:dyDescent="0.25">
      <c r="D9272"/>
    </row>
    <row r="9273" spans="4:4" x14ac:dyDescent="0.25">
      <c r="D9273"/>
    </row>
    <row r="9274" spans="4:4" x14ac:dyDescent="0.25">
      <c r="D9274"/>
    </row>
    <row r="9275" spans="4:4" x14ac:dyDescent="0.25">
      <c r="D9275"/>
    </row>
    <row r="9276" spans="4:4" x14ac:dyDescent="0.25">
      <c r="D9276"/>
    </row>
    <row r="9277" spans="4:4" x14ac:dyDescent="0.25">
      <c r="D9277"/>
    </row>
    <row r="9278" spans="4:4" x14ac:dyDescent="0.25">
      <c r="D9278"/>
    </row>
    <row r="9279" spans="4:4" x14ac:dyDescent="0.25">
      <c r="D9279"/>
    </row>
    <row r="9280" spans="4:4" x14ac:dyDescent="0.25">
      <c r="D9280"/>
    </row>
    <row r="9281" spans="4:4" x14ac:dyDescent="0.25">
      <c r="D9281"/>
    </row>
    <row r="9282" spans="4:4" x14ac:dyDescent="0.25">
      <c r="D9282"/>
    </row>
    <row r="9283" spans="4:4" x14ac:dyDescent="0.25">
      <c r="D9283"/>
    </row>
    <row r="9284" spans="4:4" x14ac:dyDescent="0.25">
      <c r="D9284"/>
    </row>
    <row r="9285" spans="4:4" x14ac:dyDescent="0.25">
      <c r="D9285"/>
    </row>
    <row r="9286" spans="4:4" x14ac:dyDescent="0.25">
      <c r="D9286"/>
    </row>
    <row r="9287" spans="4:4" x14ac:dyDescent="0.25">
      <c r="D9287"/>
    </row>
    <row r="9288" spans="4:4" x14ac:dyDescent="0.25">
      <c r="D9288"/>
    </row>
    <row r="9289" spans="4:4" x14ac:dyDescent="0.25">
      <c r="D9289"/>
    </row>
    <row r="9290" spans="4:4" x14ac:dyDescent="0.25">
      <c r="D9290"/>
    </row>
    <row r="9291" spans="4:4" x14ac:dyDescent="0.25">
      <c r="D9291"/>
    </row>
    <row r="9292" spans="4:4" x14ac:dyDescent="0.25">
      <c r="D9292"/>
    </row>
    <row r="9293" spans="4:4" x14ac:dyDescent="0.25">
      <c r="D9293"/>
    </row>
    <row r="9294" spans="4:4" x14ac:dyDescent="0.25">
      <c r="D9294"/>
    </row>
    <row r="9295" spans="4:4" x14ac:dyDescent="0.25">
      <c r="D9295"/>
    </row>
    <row r="9296" spans="4:4" x14ac:dyDescent="0.25">
      <c r="D9296"/>
    </row>
    <row r="9297" spans="4:4" x14ac:dyDescent="0.25">
      <c r="D9297"/>
    </row>
    <row r="9298" spans="4:4" x14ac:dyDescent="0.25">
      <c r="D9298"/>
    </row>
    <row r="9299" spans="4:4" x14ac:dyDescent="0.25">
      <c r="D9299"/>
    </row>
    <row r="9300" spans="4:4" x14ac:dyDescent="0.25">
      <c r="D9300"/>
    </row>
    <row r="9301" spans="4:4" x14ac:dyDescent="0.25">
      <c r="D9301"/>
    </row>
    <row r="9302" spans="4:4" x14ac:dyDescent="0.25">
      <c r="D9302"/>
    </row>
    <row r="9303" spans="4:4" x14ac:dyDescent="0.25">
      <c r="D9303"/>
    </row>
    <row r="9304" spans="4:4" x14ac:dyDescent="0.25">
      <c r="D9304"/>
    </row>
    <row r="9305" spans="4:4" x14ac:dyDescent="0.25">
      <c r="D9305"/>
    </row>
    <row r="9306" spans="4:4" x14ac:dyDescent="0.25">
      <c r="D9306"/>
    </row>
    <row r="9307" spans="4:4" x14ac:dyDescent="0.25">
      <c r="D9307"/>
    </row>
    <row r="9308" spans="4:4" x14ac:dyDescent="0.25">
      <c r="D9308"/>
    </row>
    <row r="9309" spans="4:4" x14ac:dyDescent="0.25">
      <c r="D9309"/>
    </row>
    <row r="9310" spans="4:4" x14ac:dyDescent="0.25">
      <c r="D9310"/>
    </row>
    <row r="9311" spans="4:4" x14ac:dyDescent="0.25">
      <c r="D9311"/>
    </row>
    <row r="9312" spans="4:4" x14ac:dyDescent="0.25">
      <c r="D9312"/>
    </row>
    <row r="9313" spans="4:4" x14ac:dyDescent="0.25">
      <c r="D9313"/>
    </row>
    <row r="9314" spans="4:4" x14ac:dyDescent="0.25">
      <c r="D9314"/>
    </row>
    <row r="9315" spans="4:4" x14ac:dyDescent="0.25">
      <c r="D9315"/>
    </row>
    <row r="9316" spans="4:4" x14ac:dyDescent="0.25">
      <c r="D9316"/>
    </row>
    <row r="9317" spans="4:4" x14ac:dyDescent="0.25">
      <c r="D9317"/>
    </row>
    <row r="9318" spans="4:4" x14ac:dyDescent="0.25">
      <c r="D9318"/>
    </row>
    <row r="9319" spans="4:4" x14ac:dyDescent="0.25">
      <c r="D9319"/>
    </row>
    <row r="9320" spans="4:4" x14ac:dyDescent="0.25">
      <c r="D9320"/>
    </row>
    <row r="9321" spans="4:4" x14ac:dyDescent="0.25">
      <c r="D9321"/>
    </row>
    <row r="9322" spans="4:4" x14ac:dyDescent="0.25">
      <c r="D9322"/>
    </row>
    <row r="9323" spans="4:4" x14ac:dyDescent="0.25">
      <c r="D9323"/>
    </row>
    <row r="9324" spans="4:4" x14ac:dyDescent="0.25">
      <c r="D9324"/>
    </row>
    <row r="9325" spans="4:4" x14ac:dyDescent="0.25">
      <c r="D9325"/>
    </row>
    <row r="9326" spans="4:4" x14ac:dyDescent="0.25">
      <c r="D9326"/>
    </row>
    <row r="9327" spans="4:4" x14ac:dyDescent="0.25">
      <c r="D9327"/>
    </row>
    <row r="9328" spans="4:4" x14ac:dyDescent="0.25">
      <c r="D9328"/>
    </row>
    <row r="9329" spans="4:4" x14ac:dyDescent="0.25">
      <c r="D9329"/>
    </row>
    <row r="9330" spans="4:4" x14ac:dyDescent="0.25">
      <c r="D9330"/>
    </row>
    <row r="9331" spans="4:4" x14ac:dyDescent="0.25">
      <c r="D9331"/>
    </row>
    <row r="9332" spans="4:4" x14ac:dyDescent="0.25">
      <c r="D9332"/>
    </row>
    <row r="9333" spans="4:4" x14ac:dyDescent="0.25">
      <c r="D9333"/>
    </row>
    <row r="9334" spans="4:4" x14ac:dyDescent="0.25">
      <c r="D9334"/>
    </row>
    <row r="9335" spans="4:4" x14ac:dyDescent="0.25">
      <c r="D9335"/>
    </row>
    <row r="9336" spans="4:4" x14ac:dyDescent="0.25">
      <c r="D9336"/>
    </row>
    <row r="9337" spans="4:4" x14ac:dyDescent="0.25">
      <c r="D9337"/>
    </row>
    <row r="9338" spans="4:4" x14ac:dyDescent="0.25">
      <c r="D9338"/>
    </row>
    <row r="9339" spans="4:4" x14ac:dyDescent="0.25">
      <c r="D9339"/>
    </row>
    <row r="9340" spans="4:4" x14ac:dyDescent="0.25">
      <c r="D9340"/>
    </row>
    <row r="9341" spans="4:4" x14ac:dyDescent="0.25">
      <c r="D9341"/>
    </row>
    <row r="9342" spans="4:4" x14ac:dyDescent="0.25">
      <c r="D9342"/>
    </row>
    <row r="9343" spans="4:4" x14ac:dyDescent="0.25">
      <c r="D9343"/>
    </row>
    <row r="9344" spans="4:4" x14ac:dyDescent="0.25">
      <c r="D9344"/>
    </row>
    <row r="9345" spans="4:4" x14ac:dyDescent="0.25">
      <c r="D9345"/>
    </row>
    <row r="9346" spans="4:4" x14ac:dyDescent="0.25">
      <c r="D9346"/>
    </row>
    <row r="9347" spans="4:4" x14ac:dyDescent="0.25">
      <c r="D9347"/>
    </row>
    <row r="9348" spans="4:4" x14ac:dyDescent="0.25">
      <c r="D9348"/>
    </row>
    <row r="9349" spans="4:4" x14ac:dyDescent="0.25">
      <c r="D9349"/>
    </row>
    <row r="9350" spans="4:4" x14ac:dyDescent="0.25">
      <c r="D9350"/>
    </row>
    <row r="9351" spans="4:4" x14ac:dyDescent="0.25">
      <c r="D9351"/>
    </row>
    <row r="9352" spans="4:4" x14ac:dyDescent="0.25">
      <c r="D9352"/>
    </row>
    <row r="9353" spans="4:4" x14ac:dyDescent="0.25">
      <c r="D9353"/>
    </row>
    <row r="9354" spans="4:4" x14ac:dyDescent="0.25">
      <c r="D9354"/>
    </row>
    <row r="9355" spans="4:4" x14ac:dyDescent="0.25">
      <c r="D9355"/>
    </row>
    <row r="9356" spans="4:4" x14ac:dyDescent="0.25">
      <c r="D9356"/>
    </row>
    <row r="9357" spans="4:4" x14ac:dyDescent="0.25">
      <c r="D9357"/>
    </row>
    <row r="9358" spans="4:4" x14ac:dyDescent="0.25">
      <c r="D9358"/>
    </row>
    <row r="9359" spans="4:4" x14ac:dyDescent="0.25">
      <c r="D9359"/>
    </row>
    <row r="9360" spans="4:4" x14ac:dyDescent="0.25">
      <c r="D9360"/>
    </row>
    <row r="9361" spans="4:4" x14ac:dyDescent="0.25">
      <c r="D9361"/>
    </row>
    <row r="9362" spans="4:4" x14ac:dyDescent="0.25">
      <c r="D9362"/>
    </row>
    <row r="9363" spans="4:4" x14ac:dyDescent="0.25">
      <c r="D9363"/>
    </row>
    <row r="9364" spans="4:4" x14ac:dyDescent="0.25">
      <c r="D9364"/>
    </row>
    <row r="9365" spans="4:4" x14ac:dyDescent="0.25">
      <c r="D9365"/>
    </row>
    <row r="9366" spans="4:4" x14ac:dyDescent="0.25">
      <c r="D9366"/>
    </row>
    <row r="9367" spans="4:4" x14ac:dyDescent="0.25">
      <c r="D9367"/>
    </row>
    <row r="9368" spans="4:4" x14ac:dyDescent="0.25">
      <c r="D9368"/>
    </row>
    <row r="9369" spans="4:4" x14ac:dyDescent="0.25">
      <c r="D9369"/>
    </row>
    <row r="9370" spans="4:4" x14ac:dyDescent="0.25">
      <c r="D9370"/>
    </row>
    <row r="9371" spans="4:4" x14ac:dyDescent="0.25">
      <c r="D9371"/>
    </row>
    <row r="9372" spans="4:4" x14ac:dyDescent="0.25">
      <c r="D9372"/>
    </row>
    <row r="9373" spans="4:4" x14ac:dyDescent="0.25">
      <c r="D9373"/>
    </row>
    <row r="9374" spans="4:4" x14ac:dyDescent="0.25">
      <c r="D9374"/>
    </row>
    <row r="9375" spans="4:4" x14ac:dyDescent="0.25">
      <c r="D9375"/>
    </row>
    <row r="9376" spans="4:4" x14ac:dyDescent="0.25">
      <c r="D9376"/>
    </row>
    <row r="9377" spans="4:4" x14ac:dyDescent="0.25">
      <c r="D9377"/>
    </row>
    <row r="9378" spans="4:4" x14ac:dyDescent="0.25">
      <c r="D9378"/>
    </row>
    <row r="9379" spans="4:4" x14ac:dyDescent="0.25">
      <c r="D9379"/>
    </row>
    <row r="9380" spans="4:4" x14ac:dyDescent="0.25">
      <c r="D9380"/>
    </row>
    <row r="9381" spans="4:4" x14ac:dyDescent="0.25">
      <c r="D9381"/>
    </row>
    <row r="9382" spans="4:4" x14ac:dyDescent="0.25">
      <c r="D9382"/>
    </row>
    <row r="9383" spans="4:4" x14ac:dyDescent="0.25">
      <c r="D9383"/>
    </row>
    <row r="9384" spans="4:4" x14ac:dyDescent="0.25">
      <c r="D9384"/>
    </row>
    <row r="9385" spans="4:4" x14ac:dyDescent="0.25">
      <c r="D9385"/>
    </row>
    <row r="9386" spans="4:4" x14ac:dyDescent="0.25">
      <c r="D9386"/>
    </row>
    <row r="9387" spans="4:4" x14ac:dyDescent="0.25">
      <c r="D9387"/>
    </row>
    <row r="9388" spans="4:4" x14ac:dyDescent="0.25">
      <c r="D9388"/>
    </row>
    <row r="9389" spans="4:4" x14ac:dyDescent="0.25">
      <c r="D9389"/>
    </row>
    <row r="9390" spans="4:4" x14ac:dyDescent="0.25">
      <c r="D9390"/>
    </row>
    <row r="9391" spans="4:4" x14ac:dyDescent="0.25">
      <c r="D9391"/>
    </row>
    <row r="9392" spans="4:4" x14ac:dyDescent="0.25">
      <c r="D9392"/>
    </row>
    <row r="9393" spans="4:4" x14ac:dyDescent="0.25">
      <c r="D9393"/>
    </row>
    <row r="9394" spans="4:4" x14ac:dyDescent="0.25">
      <c r="D9394"/>
    </row>
    <row r="9395" spans="4:4" x14ac:dyDescent="0.25">
      <c r="D9395"/>
    </row>
    <row r="9396" spans="4:4" x14ac:dyDescent="0.25">
      <c r="D9396"/>
    </row>
    <row r="9397" spans="4:4" x14ac:dyDescent="0.25">
      <c r="D9397"/>
    </row>
    <row r="9398" spans="4:4" x14ac:dyDescent="0.25">
      <c r="D9398"/>
    </row>
    <row r="9399" spans="4:4" x14ac:dyDescent="0.25">
      <c r="D9399"/>
    </row>
    <row r="9400" spans="4:4" x14ac:dyDescent="0.25">
      <c r="D9400"/>
    </row>
    <row r="9401" spans="4:4" x14ac:dyDescent="0.25">
      <c r="D9401"/>
    </row>
    <row r="9402" spans="4:4" x14ac:dyDescent="0.25">
      <c r="D9402"/>
    </row>
    <row r="9403" spans="4:4" x14ac:dyDescent="0.25">
      <c r="D9403"/>
    </row>
    <row r="9404" spans="4:4" x14ac:dyDescent="0.25">
      <c r="D9404"/>
    </row>
    <row r="9405" spans="4:4" x14ac:dyDescent="0.25">
      <c r="D9405"/>
    </row>
    <row r="9406" spans="4:4" x14ac:dyDescent="0.25">
      <c r="D9406"/>
    </row>
    <row r="9407" spans="4:4" x14ac:dyDescent="0.25">
      <c r="D9407"/>
    </row>
    <row r="9408" spans="4:4" x14ac:dyDescent="0.25">
      <c r="D9408"/>
    </row>
    <row r="9409" spans="4:4" x14ac:dyDescent="0.25">
      <c r="D9409"/>
    </row>
    <row r="9410" spans="4:4" x14ac:dyDescent="0.25">
      <c r="D9410"/>
    </row>
    <row r="9411" spans="4:4" x14ac:dyDescent="0.25">
      <c r="D9411"/>
    </row>
    <row r="9412" spans="4:4" x14ac:dyDescent="0.25">
      <c r="D9412"/>
    </row>
    <row r="9413" spans="4:4" x14ac:dyDescent="0.25">
      <c r="D9413"/>
    </row>
    <row r="9414" spans="4:4" x14ac:dyDescent="0.25">
      <c r="D9414"/>
    </row>
    <row r="9415" spans="4:4" x14ac:dyDescent="0.25">
      <c r="D9415"/>
    </row>
    <row r="9416" spans="4:4" x14ac:dyDescent="0.25">
      <c r="D9416"/>
    </row>
    <row r="9417" spans="4:4" x14ac:dyDescent="0.25">
      <c r="D9417"/>
    </row>
    <row r="9418" spans="4:4" x14ac:dyDescent="0.25">
      <c r="D9418"/>
    </row>
    <row r="9419" spans="4:4" x14ac:dyDescent="0.25">
      <c r="D9419"/>
    </row>
    <row r="9420" spans="4:4" x14ac:dyDescent="0.25">
      <c r="D9420"/>
    </row>
    <row r="9421" spans="4:4" x14ac:dyDescent="0.25">
      <c r="D9421"/>
    </row>
    <row r="9422" spans="4:4" x14ac:dyDescent="0.25">
      <c r="D9422"/>
    </row>
    <row r="9423" spans="4:4" x14ac:dyDescent="0.25">
      <c r="D9423"/>
    </row>
    <row r="9424" spans="4:4" x14ac:dyDescent="0.25">
      <c r="D9424"/>
    </row>
    <row r="9425" spans="4:4" x14ac:dyDescent="0.25">
      <c r="D9425"/>
    </row>
    <row r="9426" spans="4:4" x14ac:dyDescent="0.25">
      <c r="D9426"/>
    </row>
    <row r="9427" spans="4:4" x14ac:dyDescent="0.25">
      <c r="D9427"/>
    </row>
    <row r="9428" spans="4:4" x14ac:dyDescent="0.25">
      <c r="D9428"/>
    </row>
    <row r="9429" spans="4:4" x14ac:dyDescent="0.25">
      <c r="D9429"/>
    </row>
    <row r="9430" spans="4:4" x14ac:dyDescent="0.25">
      <c r="D9430"/>
    </row>
    <row r="9431" spans="4:4" x14ac:dyDescent="0.25">
      <c r="D9431"/>
    </row>
    <row r="9432" spans="4:4" x14ac:dyDescent="0.25">
      <c r="D9432"/>
    </row>
    <row r="9433" spans="4:4" x14ac:dyDescent="0.25">
      <c r="D9433"/>
    </row>
    <row r="9434" spans="4:4" x14ac:dyDescent="0.25">
      <c r="D9434"/>
    </row>
    <row r="9435" spans="4:4" x14ac:dyDescent="0.25">
      <c r="D9435"/>
    </row>
    <row r="9436" spans="4:4" x14ac:dyDescent="0.25">
      <c r="D9436"/>
    </row>
    <row r="9437" spans="4:4" x14ac:dyDescent="0.25">
      <c r="D9437"/>
    </row>
    <row r="9438" spans="4:4" x14ac:dyDescent="0.25">
      <c r="D9438"/>
    </row>
    <row r="9439" spans="4:4" x14ac:dyDescent="0.25">
      <c r="D9439"/>
    </row>
    <row r="9440" spans="4:4" x14ac:dyDescent="0.25">
      <c r="D9440"/>
    </row>
    <row r="9441" spans="4:4" x14ac:dyDescent="0.25">
      <c r="D9441"/>
    </row>
    <row r="9442" spans="4:4" x14ac:dyDescent="0.25">
      <c r="D9442"/>
    </row>
    <row r="9443" spans="4:4" x14ac:dyDescent="0.25">
      <c r="D9443"/>
    </row>
    <row r="9444" spans="4:4" x14ac:dyDescent="0.25">
      <c r="D9444"/>
    </row>
    <row r="9445" spans="4:4" x14ac:dyDescent="0.25">
      <c r="D9445"/>
    </row>
    <row r="9446" spans="4:4" x14ac:dyDescent="0.25">
      <c r="D9446"/>
    </row>
    <row r="9447" spans="4:4" x14ac:dyDescent="0.25">
      <c r="D9447"/>
    </row>
    <row r="9448" spans="4:4" x14ac:dyDescent="0.25">
      <c r="D9448"/>
    </row>
    <row r="9449" spans="4:4" x14ac:dyDescent="0.25">
      <c r="D9449"/>
    </row>
    <row r="9450" spans="4:4" x14ac:dyDescent="0.25">
      <c r="D9450"/>
    </row>
    <row r="9451" spans="4:4" x14ac:dyDescent="0.25">
      <c r="D9451"/>
    </row>
    <row r="9452" spans="4:4" x14ac:dyDescent="0.25">
      <c r="D9452"/>
    </row>
    <row r="9453" spans="4:4" x14ac:dyDescent="0.25">
      <c r="D9453"/>
    </row>
    <row r="9454" spans="4:4" x14ac:dyDescent="0.25">
      <c r="D9454"/>
    </row>
    <row r="9455" spans="4:4" x14ac:dyDescent="0.25">
      <c r="D9455"/>
    </row>
    <row r="9456" spans="4:4" x14ac:dyDescent="0.25">
      <c r="D9456"/>
    </row>
    <row r="9457" spans="4:4" x14ac:dyDescent="0.25">
      <c r="D9457"/>
    </row>
    <row r="9458" spans="4:4" x14ac:dyDescent="0.25">
      <c r="D9458"/>
    </row>
    <row r="9459" spans="4:4" x14ac:dyDescent="0.25">
      <c r="D9459"/>
    </row>
    <row r="9460" spans="4:4" x14ac:dyDescent="0.25">
      <c r="D9460"/>
    </row>
    <row r="9461" spans="4:4" x14ac:dyDescent="0.25">
      <c r="D9461"/>
    </row>
    <row r="9462" spans="4:4" x14ac:dyDescent="0.25">
      <c r="D9462"/>
    </row>
    <row r="9463" spans="4:4" x14ac:dyDescent="0.25">
      <c r="D9463"/>
    </row>
    <row r="9464" spans="4:4" x14ac:dyDescent="0.25">
      <c r="D9464"/>
    </row>
    <row r="9465" spans="4:4" x14ac:dyDescent="0.25">
      <c r="D9465"/>
    </row>
    <row r="9466" spans="4:4" x14ac:dyDescent="0.25">
      <c r="D9466"/>
    </row>
    <row r="9467" spans="4:4" x14ac:dyDescent="0.25">
      <c r="D9467"/>
    </row>
    <row r="9468" spans="4:4" x14ac:dyDescent="0.25">
      <c r="D9468"/>
    </row>
    <row r="9469" spans="4:4" x14ac:dyDescent="0.25">
      <c r="D9469"/>
    </row>
    <row r="9470" spans="4:4" x14ac:dyDescent="0.25">
      <c r="D9470"/>
    </row>
    <row r="9471" spans="4:4" x14ac:dyDescent="0.25">
      <c r="D9471"/>
    </row>
    <row r="9472" spans="4:4" x14ac:dyDescent="0.25">
      <c r="D9472"/>
    </row>
    <row r="9473" spans="4:4" x14ac:dyDescent="0.25">
      <c r="D9473"/>
    </row>
    <row r="9474" spans="4:4" x14ac:dyDescent="0.25">
      <c r="D9474"/>
    </row>
    <row r="9475" spans="4:4" x14ac:dyDescent="0.25">
      <c r="D9475"/>
    </row>
    <row r="9476" spans="4:4" x14ac:dyDescent="0.25">
      <c r="D9476"/>
    </row>
    <row r="9477" spans="4:4" x14ac:dyDescent="0.25">
      <c r="D9477"/>
    </row>
    <row r="9478" spans="4:4" x14ac:dyDescent="0.25">
      <c r="D9478"/>
    </row>
    <row r="9479" spans="4:4" x14ac:dyDescent="0.25">
      <c r="D9479"/>
    </row>
    <row r="9480" spans="4:4" x14ac:dyDescent="0.25">
      <c r="D9480"/>
    </row>
    <row r="9481" spans="4:4" x14ac:dyDescent="0.25">
      <c r="D9481"/>
    </row>
    <row r="9482" spans="4:4" x14ac:dyDescent="0.25">
      <c r="D9482"/>
    </row>
    <row r="9483" spans="4:4" x14ac:dyDescent="0.25">
      <c r="D9483"/>
    </row>
    <row r="9484" spans="4:4" x14ac:dyDescent="0.25">
      <c r="D9484"/>
    </row>
    <row r="9485" spans="4:4" x14ac:dyDescent="0.25">
      <c r="D9485"/>
    </row>
    <row r="9486" spans="4:4" x14ac:dyDescent="0.25">
      <c r="D9486"/>
    </row>
    <row r="9487" spans="4:4" x14ac:dyDescent="0.25">
      <c r="D9487"/>
    </row>
    <row r="9488" spans="4:4" x14ac:dyDescent="0.25">
      <c r="D9488"/>
    </row>
    <row r="9489" spans="4:4" x14ac:dyDescent="0.25">
      <c r="D9489"/>
    </row>
    <row r="9490" spans="4:4" x14ac:dyDescent="0.25">
      <c r="D9490"/>
    </row>
    <row r="9491" spans="4:4" x14ac:dyDescent="0.25">
      <c r="D9491"/>
    </row>
    <row r="9492" spans="4:4" x14ac:dyDescent="0.25">
      <c r="D9492"/>
    </row>
    <row r="9493" spans="4:4" x14ac:dyDescent="0.25">
      <c r="D9493"/>
    </row>
    <row r="9494" spans="4:4" x14ac:dyDescent="0.25">
      <c r="D9494"/>
    </row>
    <row r="9495" spans="4:4" x14ac:dyDescent="0.25">
      <c r="D9495"/>
    </row>
    <row r="9496" spans="4:4" x14ac:dyDescent="0.25">
      <c r="D9496"/>
    </row>
    <row r="9497" spans="4:4" x14ac:dyDescent="0.25">
      <c r="D9497"/>
    </row>
    <row r="9498" spans="4:4" x14ac:dyDescent="0.25">
      <c r="D9498"/>
    </row>
    <row r="9499" spans="4:4" x14ac:dyDescent="0.25">
      <c r="D9499"/>
    </row>
    <row r="9500" spans="4:4" x14ac:dyDescent="0.25">
      <c r="D9500"/>
    </row>
    <row r="9501" spans="4:4" x14ac:dyDescent="0.25">
      <c r="D9501"/>
    </row>
    <row r="9502" spans="4:4" x14ac:dyDescent="0.25">
      <c r="D9502"/>
    </row>
    <row r="9503" spans="4:4" x14ac:dyDescent="0.25">
      <c r="D9503"/>
    </row>
    <row r="9504" spans="4:4" x14ac:dyDescent="0.25">
      <c r="D9504"/>
    </row>
    <row r="9505" spans="4:4" x14ac:dyDescent="0.25">
      <c r="D9505"/>
    </row>
    <row r="9506" spans="4:4" x14ac:dyDescent="0.25">
      <c r="D9506"/>
    </row>
    <row r="9507" spans="4:4" x14ac:dyDescent="0.25">
      <c r="D9507"/>
    </row>
    <row r="9508" spans="4:4" x14ac:dyDescent="0.25">
      <c r="D9508"/>
    </row>
    <row r="9509" spans="4:4" x14ac:dyDescent="0.25">
      <c r="D9509"/>
    </row>
    <row r="9510" spans="4:4" x14ac:dyDescent="0.25">
      <c r="D9510"/>
    </row>
    <row r="9511" spans="4:4" x14ac:dyDescent="0.25">
      <c r="D9511"/>
    </row>
    <row r="9512" spans="4:4" x14ac:dyDescent="0.25">
      <c r="D9512"/>
    </row>
    <row r="9513" spans="4:4" x14ac:dyDescent="0.25">
      <c r="D9513"/>
    </row>
    <row r="9514" spans="4:4" x14ac:dyDescent="0.25">
      <c r="D9514"/>
    </row>
    <row r="9515" spans="4:4" x14ac:dyDescent="0.25">
      <c r="D9515"/>
    </row>
    <row r="9516" spans="4:4" x14ac:dyDescent="0.25">
      <c r="D9516"/>
    </row>
    <row r="9517" spans="4:4" x14ac:dyDescent="0.25">
      <c r="D9517"/>
    </row>
    <row r="9518" spans="4:4" x14ac:dyDescent="0.25">
      <c r="D9518"/>
    </row>
    <row r="9519" spans="4:4" x14ac:dyDescent="0.25">
      <c r="D9519"/>
    </row>
    <row r="9520" spans="4:4" x14ac:dyDescent="0.25">
      <c r="D9520"/>
    </row>
    <row r="9521" spans="4:4" x14ac:dyDescent="0.25">
      <c r="D9521"/>
    </row>
    <row r="9522" spans="4:4" x14ac:dyDescent="0.25">
      <c r="D9522"/>
    </row>
    <row r="9523" spans="4:4" x14ac:dyDescent="0.25">
      <c r="D9523"/>
    </row>
    <row r="9524" spans="4:4" x14ac:dyDescent="0.25">
      <c r="D9524"/>
    </row>
    <row r="9525" spans="4:4" x14ac:dyDescent="0.25">
      <c r="D9525"/>
    </row>
    <row r="9526" spans="4:4" x14ac:dyDescent="0.25">
      <c r="D9526"/>
    </row>
    <row r="9527" spans="4:4" x14ac:dyDescent="0.25">
      <c r="D9527"/>
    </row>
    <row r="9528" spans="4:4" x14ac:dyDescent="0.25">
      <c r="D9528"/>
    </row>
    <row r="9529" spans="4:4" x14ac:dyDescent="0.25">
      <c r="D9529"/>
    </row>
    <row r="9530" spans="4:4" x14ac:dyDescent="0.25">
      <c r="D9530"/>
    </row>
    <row r="9531" spans="4:4" x14ac:dyDescent="0.25">
      <c r="D9531"/>
    </row>
    <row r="9532" spans="4:4" x14ac:dyDescent="0.25">
      <c r="D9532"/>
    </row>
    <row r="9533" spans="4:4" x14ac:dyDescent="0.25">
      <c r="D9533"/>
    </row>
    <row r="9534" spans="4:4" x14ac:dyDescent="0.25">
      <c r="D9534"/>
    </row>
    <row r="9535" spans="4:4" x14ac:dyDescent="0.25">
      <c r="D9535"/>
    </row>
    <row r="9536" spans="4:4" x14ac:dyDescent="0.25">
      <c r="D9536"/>
    </row>
    <row r="9537" spans="4:4" x14ac:dyDescent="0.25">
      <c r="D9537"/>
    </row>
    <row r="9538" spans="4:4" x14ac:dyDescent="0.25">
      <c r="D9538"/>
    </row>
    <row r="9539" spans="4:4" x14ac:dyDescent="0.25">
      <c r="D9539"/>
    </row>
    <row r="9540" spans="4:4" x14ac:dyDescent="0.25">
      <c r="D9540"/>
    </row>
    <row r="9541" spans="4:4" x14ac:dyDescent="0.25">
      <c r="D9541"/>
    </row>
    <row r="9542" spans="4:4" x14ac:dyDescent="0.25">
      <c r="D9542"/>
    </row>
    <row r="9543" spans="4:4" x14ac:dyDescent="0.25">
      <c r="D9543"/>
    </row>
    <row r="9544" spans="4:4" x14ac:dyDescent="0.25">
      <c r="D9544"/>
    </row>
    <row r="9545" spans="4:4" x14ac:dyDescent="0.25">
      <c r="D9545"/>
    </row>
    <row r="9546" spans="4:4" x14ac:dyDescent="0.25">
      <c r="D9546"/>
    </row>
    <row r="9547" spans="4:4" x14ac:dyDescent="0.25">
      <c r="D9547"/>
    </row>
    <row r="9548" spans="4:4" x14ac:dyDescent="0.25">
      <c r="D9548"/>
    </row>
    <row r="9549" spans="4:4" x14ac:dyDescent="0.25">
      <c r="D9549"/>
    </row>
    <row r="9550" spans="4:4" x14ac:dyDescent="0.25">
      <c r="D9550"/>
    </row>
    <row r="9551" spans="4:4" x14ac:dyDescent="0.25">
      <c r="D9551"/>
    </row>
    <row r="9552" spans="4:4" x14ac:dyDescent="0.25">
      <c r="D9552"/>
    </row>
    <row r="9553" spans="4:4" x14ac:dyDescent="0.25">
      <c r="D9553"/>
    </row>
    <row r="9554" spans="4:4" x14ac:dyDescent="0.25">
      <c r="D9554"/>
    </row>
    <row r="9555" spans="4:4" x14ac:dyDescent="0.25">
      <c r="D9555"/>
    </row>
    <row r="9556" spans="4:4" x14ac:dyDescent="0.25">
      <c r="D9556"/>
    </row>
    <row r="9557" spans="4:4" x14ac:dyDescent="0.25">
      <c r="D9557"/>
    </row>
    <row r="9558" spans="4:4" x14ac:dyDescent="0.25">
      <c r="D9558"/>
    </row>
    <row r="9559" spans="4:4" x14ac:dyDescent="0.25">
      <c r="D9559"/>
    </row>
    <row r="9560" spans="4:4" x14ac:dyDescent="0.25">
      <c r="D9560"/>
    </row>
    <row r="9561" spans="4:4" x14ac:dyDescent="0.25">
      <c r="D9561"/>
    </row>
    <row r="9562" spans="4:4" x14ac:dyDescent="0.25">
      <c r="D9562"/>
    </row>
    <row r="9563" spans="4:4" x14ac:dyDescent="0.25">
      <c r="D9563"/>
    </row>
    <row r="9564" spans="4:4" x14ac:dyDescent="0.25">
      <c r="D9564"/>
    </row>
    <row r="9565" spans="4:4" x14ac:dyDescent="0.25">
      <c r="D9565"/>
    </row>
    <row r="9566" spans="4:4" x14ac:dyDescent="0.25">
      <c r="D9566"/>
    </row>
    <row r="9567" spans="4:4" x14ac:dyDescent="0.25">
      <c r="D9567"/>
    </row>
    <row r="9568" spans="4:4" x14ac:dyDescent="0.25">
      <c r="D9568"/>
    </row>
    <row r="9569" spans="4:4" x14ac:dyDescent="0.25">
      <c r="D9569"/>
    </row>
    <row r="9570" spans="4:4" x14ac:dyDescent="0.25">
      <c r="D9570"/>
    </row>
    <row r="9571" spans="4:4" x14ac:dyDescent="0.25">
      <c r="D9571"/>
    </row>
    <row r="9572" spans="4:4" x14ac:dyDescent="0.25">
      <c r="D9572"/>
    </row>
    <row r="9573" spans="4:4" x14ac:dyDescent="0.25">
      <c r="D9573"/>
    </row>
    <row r="9574" spans="4:4" x14ac:dyDescent="0.25">
      <c r="D9574"/>
    </row>
    <row r="9575" spans="4:4" x14ac:dyDescent="0.25">
      <c r="D9575"/>
    </row>
    <row r="9576" spans="4:4" x14ac:dyDescent="0.25">
      <c r="D9576"/>
    </row>
    <row r="9577" spans="4:4" x14ac:dyDescent="0.25">
      <c r="D9577"/>
    </row>
    <row r="9578" spans="4:4" x14ac:dyDescent="0.25">
      <c r="D9578"/>
    </row>
    <row r="9579" spans="4:4" x14ac:dyDescent="0.25">
      <c r="D9579"/>
    </row>
    <row r="9580" spans="4:4" x14ac:dyDescent="0.25">
      <c r="D9580"/>
    </row>
    <row r="9581" spans="4:4" x14ac:dyDescent="0.25">
      <c r="D9581"/>
    </row>
    <row r="9582" spans="4:4" x14ac:dyDescent="0.25">
      <c r="D9582"/>
    </row>
    <row r="9583" spans="4:4" x14ac:dyDescent="0.25">
      <c r="D9583"/>
    </row>
    <row r="9584" spans="4:4" x14ac:dyDescent="0.25">
      <c r="D9584"/>
    </row>
    <row r="9585" spans="4:4" x14ac:dyDescent="0.25">
      <c r="D9585"/>
    </row>
    <row r="9586" spans="4:4" x14ac:dyDescent="0.25">
      <c r="D9586"/>
    </row>
    <row r="9587" spans="4:4" x14ac:dyDescent="0.25">
      <c r="D9587"/>
    </row>
    <row r="9588" spans="4:4" x14ac:dyDescent="0.25">
      <c r="D9588"/>
    </row>
    <row r="9589" spans="4:4" x14ac:dyDescent="0.25">
      <c r="D9589"/>
    </row>
    <row r="9590" spans="4:4" x14ac:dyDescent="0.25">
      <c r="D9590"/>
    </row>
    <row r="9591" spans="4:4" x14ac:dyDescent="0.25">
      <c r="D9591"/>
    </row>
    <row r="9592" spans="4:4" x14ac:dyDescent="0.25">
      <c r="D9592"/>
    </row>
    <row r="9593" spans="4:4" x14ac:dyDescent="0.25">
      <c r="D9593"/>
    </row>
    <row r="9594" spans="4:4" x14ac:dyDescent="0.25">
      <c r="D9594"/>
    </row>
    <row r="9595" spans="4:4" x14ac:dyDescent="0.25">
      <c r="D9595"/>
    </row>
    <row r="9596" spans="4:4" x14ac:dyDescent="0.25">
      <c r="D9596"/>
    </row>
    <row r="9597" spans="4:4" x14ac:dyDescent="0.25">
      <c r="D9597"/>
    </row>
    <row r="9598" spans="4:4" x14ac:dyDescent="0.25">
      <c r="D9598"/>
    </row>
    <row r="9599" spans="4:4" x14ac:dyDescent="0.25">
      <c r="D9599"/>
    </row>
    <row r="9600" spans="4:4" x14ac:dyDescent="0.25">
      <c r="D9600"/>
    </row>
    <row r="9601" spans="4:4" x14ac:dyDescent="0.25">
      <c r="D9601"/>
    </row>
    <row r="9602" spans="4:4" x14ac:dyDescent="0.25">
      <c r="D9602"/>
    </row>
    <row r="9603" spans="4:4" x14ac:dyDescent="0.25">
      <c r="D9603"/>
    </row>
    <row r="9604" spans="4:4" x14ac:dyDescent="0.25">
      <c r="D9604"/>
    </row>
    <row r="9605" spans="4:4" x14ac:dyDescent="0.25">
      <c r="D9605"/>
    </row>
    <row r="9606" spans="4:4" x14ac:dyDescent="0.25">
      <c r="D9606"/>
    </row>
    <row r="9607" spans="4:4" x14ac:dyDescent="0.25">
      <c r="D9607"/>
    </row>
    <row r="9608" spans="4:4" x14ac:dyDescent="0.25">
      <c r="D9608"/>
    </row>
    <row r="9609" spans="4:4" x14ac:dyDescent="0.25">
      <c r="D9609"/>
    </row>
    <row r="9610" spans="4:4" x14ac:dyDescent="0.25">
      <c r="D9610"/>
    </row>
    <row r="9611" spans="4:4" x14ac:dyDescent="0.25">
      <c r="D9611"/>
    </row>
    <row r="9612" spans="4:4" x14ac:dyDescent="0.25">
      <c r="D9612"/>
    </row>
    <row r="9613" spans="4:4" x14ac:dyDescent="0.25">
      <c r="D9613"/>
    </row>
    <row r="9614" spans="4:4" x14ac:dyDescent="0.25">
      <c r="D9614"/>
    </row>
    <row r="9615" spans="4:4" x14ac:dyDescent="0.25">
      <c r="D9615"/>
    </row>
    <row r="9616" spans="4:4" x14ac:dyDescent="0.25">
      <c r="D9616"/>
    </row>
    <row r="9617" spans="4:4" x14ac:dyDescent="0.25">
      <c r="D9617"/>
    </row>
    <row r="9618" spans="4:4" x14ac:dyDescent="0.25">
      <c r="D9618"/>
    </row>
    <row r="9619" spans="4:4" x14ac:dyDescent="0.25">
      <c r="D9619"/>
    </row>
    <row r="9620" spans="4:4" x14ac:dyDescent="0.25">
      <c r="D9620"/>
    </row>
    <row r="9621" spans="4:4" x14ac:dyDescent="0.25">
      <c r="D9621"/>
    </row>
    <row r="9622" spans="4:4" x14ac:dyDescent="0.25">
      <c r="D9622"/>
    </row>
    <row r="9623" spans="4:4" x14ac:dyDescent="0.25">
      <c r="D9623"/>
    </row>
    <row r="9624" spans="4:4" x14ac:dyDescent="0.25">
      <c r="D9624"/>
    </row>
    <row r="9625" spans="4:4" x14ac:dyDescent="0.25">
      <c r="D9625"/>
    </row>
    <row r="9626" spans="4:4" x14ac:dyDescent="0.25">
      <c r="D9626"/>
    </row>
    <row r="9627" spans="4:4" x14ac:dyDescent="0.25">
      <c r="D9627"/>
    </row>
    <row r="9628" spans="4:4" x14ac:dyDescent="0.25">
      <c r="D9628"/>
    </row>
    <row r="9629" spans="4:4" x14ac:dyDescent="0.25">
      <c r="D9629"/>
    </row>
    <row r="9630" spans="4:4" x14ac:dyDescent="0.25">
      <c r="D9630"/>
    </row>
    <row r="9631" spans="4:4" x14ac:dyDescent="0.25">
      <c r="D9631"/>
    </row>
    <row r="9632" spans="4:4" x14ac:dyDescent="0.25">
      <c r="D9632"/>
    </row>
    <row r="9633" spans="4:4" x14ac:dyDescent="0.25">
      <c r="D9633"/>
    </row>
    <row r="9634" spans="4:4" x14ac:dyDescent="0.25">
      <c r="D9634"/>
    </row>
    <row r="9635" spans="4:4" x14ac:dyDescent="0.25">
      <c r="D9635"/>
    </row>
    <row r="9636" spans="4:4" x14ac:dyDescent="0.25">
      <c r="D9636"/>
    </row>
    <row r="9637" spans="4:4" x14ac:dyDescent="0.25">
      <c r="D9637"/>
    </row>
    <row r="9638" spans="4:4" x14ac:dyDescent="0.25">
      <c r="D9638"/>
    </row>
    <row r="9639" spans="4:4" x14ac:dyDescent="0.25">
      <c r="D9639"/>
    </row>
    <row r="9640" spans="4:4" x14ac:dyDescent="0.25">
      <c r="D9640"/>
    </row>
    <row r="9641" spans="4:4" x14ac:dyDescent="0.25">
      <c r="D9641"/>
    </row>
    <row r="9642" spans="4:4" x14ac:dyDescent="0.25">
      <c r="D9642"/>
    </row>
    <row r="9643" spans="4:4" x14ac:dyDescent="0.25">
      <c r="D9643"/>
    </row>
    <row r="9644" spans="4:4" x14ac:dyDescent="0.25">
      <c r="D9644"/>
    </row>
    <row r="9645" spans="4:4" x14ac:dyDescent="0.25">
      <c r="D9645"/>
    </row>
    <row r="9646" spans="4:4" x14ac:dyDescent="0.25">
      <c r="D9646"/>
    </row>
    <row r="9647" spans="4:4" x14ac:dyDescent="0.25">
      <c r="D9647"/>
    </row>
    <row r="9648" spans="4:4" x14ac:dyDescent="0.25">
      <c r="D9648"/>
    </row>
    <row r="9649" spans="4:4" x14ac:dyDescent="0.25">
      <c r="D9649"/>
    </row>
    <row r="9650" spans="4:4" x14ac:dyDescent="0.25">
      <c r="D9650"/>
    </row>
    <row r="9651" spans="4:4" x14ac:dyDescent="0.25">
      <c r="D9651"/>
    </row>
    <row r="9652" spans="4:4" x14ac:dyDescent="0.25">
      <c r="D9652"/>
    </row>
    <row r="9653" spans="4:4" x14ac:dyDescent="0.25">
      <c r="D9653"/>
    </row>
    <row r="9654" spans="4:4" x14ac:dyDescent="0.25">
      <c r="D9654"/>
    </row>
    <row r="9655" spans="4:4" x14ac:dyDescent="0.25">
      <c r="D9655"/>
    </row>
    <row r="9656" spans="4:4" x14ac:dyDescent="0.25">
      <c r="D9656"/>
    </row>
    <row r="9657" spans="4:4" x14ac:dyDescent="0.25">
      <c r="D9657"/>
    </row>
    <row r="9658" spans="4:4" x14ac:dyDescent="0.25">
      <c r="D9658"/>
    </row>
    <row r="9659" spans="4:4" x14ac:dyDescent="0.25">
      <c r="D9659"/>
    </row>
    <row r="9660" spans="4:4" x14ac:dyDescent="0.25">
      <c r="D9660"/>
    </row>
    <row r="9661" spans="4:4" x14ac:dyDescent="0.25">
      <c r="D9661"/>
    </row>
    <row r="9662" spans="4:4" x14ac:dyDescent="0.25">
      <c r="D9662"/>
    </row>
    <row r="9663" spans="4:4" x14ac:dyDescent="0.25">
      <c r="D9663"/>
    </row>
    <row r="9664" spans="4:4" x14ac:dyDescent="0.25">
      <c r="D9664"/>
    </row>
    <row r="9665" spans="4:4" x14ac:dyDescent="0.25">
      <c r="D9665"/>
    </row>
    <row r="9666" spans="4:4" x14ac:dyDescent="0.25">
      <c r="D9666"/>
    </row>
    <row r="9667" spans="4:4" x14ac:dyDescent="0.25">
      <c r="D9667"/>
    </row>
    <row r="9668" spans="4:4" x14ac:dyDescent="0.25">
      <c r="D9668"/>
    </row>
    <row r="9669" spans="4:4" x14ac:dyDescent="0.25">
      <c r="D9669"/>
    </row>
    <row r="9670" spans="4:4" x14ac:dyDescent="0.25">
      <c r="D9670"/>
    </row>
    <row r="9671" spans="4:4" x14ac:dyDescent="0.25">
      <c r="D9671"/>
    </row>
    <row r="9672" spans="4:4" x14ac:dyDescent="0.25">
      <c r="D9672"/>
    </row>
    <row r="9673" spans="4:4" x14ac:dyDescent="0.25">
      <c r="D9673"/>
    </row>
    <row r="9674" spans="4:4" x14ac:dyDescent="0.25">
      <c r="D9674"/>
    </row>
    <row r="9675" spans="4:4" x14ac:dyDescent="0.25">
      <c r="D9675"/>
    </row>
    <row r="9676" spans="4:4" x14ac:dyDescent="0.25">
      <c r="D9676"/>
    </row>
    <row r="9677" spans="4:4" x14ac:dyDescent="0.25">
      <c r="D9677"/>
    </row>
    <row r="9678" spans="4:4" x14ac:dyDescent="0.25">
      <c r="D9678"/>
    </row>
    <row r="9679" spans="4:4" x14ac:dyDescent="0.25">
      <c r="D9679"/>
    </row>
    <row r="9680" spans="4:4" x14ac:dyDescent="0.25">
      <c r="D9680"/>
    </row>
    <row r="9681" spans="4:4" x14ac:dyDescent="0.25">
      <c r="D9681"/>
    </row>
    <row r="9682" spans="4:4" x14ac:dyDescent="0.25">
      <c r="D9682"/>
    </row>
    <row r="9683" spans="4:4" x14ac:dyDescent="0.25">
      <c r="D9683"/>
    </row>
    <row r="9684" spans="4:4" x14ac:dyDescent="0.25">
      <c r="D9684"/>
    </row>
    <row r="9685" spans="4:4" x14ac:dyDescent="0.25">
      <c r="D9685"/>
    </row>
    <row r="9686" spans="4:4" x14ac:dyDescent="0.25">
      <c r="D9686"/>
    </row>
    <row r="9687" spans="4:4" x14ac:dyDescent="0.25">
      <c r="D9687"/>
    </row>
    <row r="9688" spans="4:4" x14ac:dyDescent="0.25">
      <c r="D9688"/>
    </row>
    <row r="9689" spans="4:4" x14ac:dyDescent="0.25">
      <c r="D9689"/>
    </row>
    <row r="9690" spans="4:4" x14ac:dyDescent="0.25">
      <c r="D9690"/>
    </row>
    <row r="9691" spans="4:4" x14ac:dyDescent="0.25">
      <c r="D9691"/>
    </row>
    <row r="9692" spans="4:4" x14ac:dyDescent="0.25">
      <c r="D9692"/>
    </row>
    <row r="9693" spans="4:4" x14ac:dyDescent="0.25">
      <c r="D9693"/>
    </row>
    <row r="9694" spans="4:4" x14ac:dyDescent="0.25">
      <c r="D9694"/>
    </row>
    <row r="9695" spans="4:4" x14ac:dyDescent="0.25">
      <c r="D9695"/>
    </row>
    <row r="9696" spans="4:4" x14ac:dyDescent="0.25">
      <c r="D9696"/>
    </row>
    <row r="9697" spans="4:4" x14ac:dyDescent="0.25">
      <c r="D9697"/>
    </row>
    <row r="9698" spans="4:4" x14ac:dyDescent="0.25">
      <c r="D9698"/>
    </row>
    <row r="9699" spans="4:4" x14ac:dyDescent="0.25">
      <c r="D9699"/>
    </row>
    <row r="9700" spans="4:4" x14ac:dyDescent="0.25">
      <c r="D9700"/>
    </row>
    <row r="9701" spans="4:4" x14ac:dyDescent="0.25">
      <c r="D9701"/>
    </row>
    <row r="9702" spans="4:4" x14ac:dyDescent="0.25">
      <c r="D9702"/>
    </row>
    <row r="9703" spans="4:4" x14ac:dyDescent="0.25">
      <c r="D9703"/>
    </row>
    <row r="9704" spans="4:4" x14ac:dyDescent="0.25">
      <c r="D9704"/>
    </row>
    <row r="9705" spans="4:4" x14ac:dyDescent="0.25">
      <c r="D9705"/>
    </row>
    <row r="9706" spans="4:4" x14ac:dyDescent="0.25">
      <c r="D9706"/>
    </row>
    <row r="9707" spans="4:4" x14ac:dyDescent="0.25">
      <c r="D9707"/>
    </row>
    <row r="9708" spans="4:4" x14ac:dyDescent="0.25">
      <c r="D9708"/>
    </row>
    <row r="9709" spans="4:4" x14ac:dyDescent="0.25">
      <c r="D9709"/>
    </row>
    <row r="9710" spans="4:4" x14ac:dyDescent="0.25">
      <c r="D9710"/>
    </row>
    <row r="9711" spans="4:4" x14ac:dyDescent="0.25">
      <c r="D9711"/>
    </row>
    <row r="9712" spans="4:4" x14ac:dyDescent="0.25">
      <c r="D9712"/>
    </row>
    <row r="9713" spans="4:4" x14ac:dyDescent="0.25">
      <c r="D9713"/>
    </row>
    <row r="9714" spans="4:4" x14ac:dyDescent="0.25">
      <c r="D9714"/>
    </row>
    <row r="9715" spans="4:4" x14ac:dyDescent="0.25">
      <c r="D9715"/>
    </row>
    <row r="9716" spans="4:4" x14ac:dyDescent="0.25">
      <c r="D9716"/>
    </row>
    <row r="9717" spans="4:4" x14ac:dyDescent="0.25">
      <c r="D9717"/>
    </row>
    <row r="9718" spans="4:4" x14ac:dyDescent="0.25">
      <c r="D9718"/>
    </row>
    <row r="9719" spans="4:4" x14ac:dyDescent="0.25">
      <c r="D9719"/>
    </row>
    <row r="9720" spans="4:4" x14ac:dyDescent="0.25">
      <c r="D9720"/>
    </row>
    <row r="9721" spans="4:4" x14ac:dyDescent="0.25">
      <c r="D9721"/>
    </row>
    <row r="9722" spans="4:4" x14ac:dyDescent="0.25">
      <c r="D9722"/>
    </row>
    <row r="9723" spans="4:4" x14ac:dyDescent="0.25">
      <c r="D9723"/>
    </row>
    <row r="9724" spans="4:4" x14ac:dyDescent="0.25">
      <c r="D9724"/>
    </row>
    <row r="9725" spans="4:4" x14ac:dyDescent="0.25">
      <c r="D9725"/>
    </row>
    <row r="9726" spans="4:4" x14ac:dyDescent="0.25">
      <c r="D9726"/>
    </row>
    <row r="9727" spans="4:4" x14ac:dyDescent="0.25">
      <c r="D9727"/>
    </row>
    <row r="9728" spans="4:4" x14ac:dyDescent="0.25">
      <c r="D9728"/>
    </row>
    <row r="9729" spans="4:4" x14ac:dyDescent="0.25">
      <c r="D9729"/>
    </row>
    <row r="9730" spans="4:4" x14ac:dyDescent="0.25">
      <c r="D9730"/>
    </row>
    <row r="9731" spans="4:4" x14ac:dyDescent="0.25">
      <c r="D9731"/>
    </row>
    <row r="9732" spans="4:4" x14ac:dyDescent="0.25">
      <c r="D9732"/>
    </row>
    <row r="9733" spans="4:4" x14ac:dyDescent="0.25">
      <c r="D9733"/>
    </row>
    <row r="9734" spans="4:4" x14ac:dyDescent="0.25">
      <c r="D9734"/>
    </row>
    <row r="9735" spans="4:4" x14ac:dyDescent="0.25">
      <c r="D9735"/>
    </row>
    <row r="9736" spans="4:4" x14ac:dyDescent="0.25">
      <c r="D9736"/>
    </row>
    <row r="9737" spans="4:4" x14ac:dyDescent="0.25">
      <c r="D9737"/>
    </row>
    <row r="9738" spans="4:4" x14ac:dyDescent="0.25">
      <c r="D9738"/>
    </row>
    <row r="9739" spans="4:4" x14ac:dyDescent="0.25">
      <c r="D9739"/>
    </row>
    <row r="9740" spans="4:4" x14ac:dyDescent="0.25">
      <c r="D9740"/>
    </row>
    <row r="9741" spans="4:4" x14ac:dyDescent="0.25">
      <c r="D9741"/>
    </row>
    <row r="9742" spans="4:4" x14ac:dyDescent="0.25">
      <c r="D9742"/>
    </row>
    <row r="9743" spans="4:4" x14ac:dyDescent="0.25">
      <c r="D9743"/>
    </row>
    <row r="9744" spans="4:4" x14ac:dyDescent="0.25">
      <c r="D9744"/>
    </row>
    <row r="9745" spans="4:4" x14ac:dyDescent="0.25">
      <c r="D9745"/>
    </row>
    <row r="9746" spans="4:4" x14ac:dyDescent="0.25">
      <c r="D9746"/>
    </row>
    <row r="9747" spans="4:4" x14ac:dyDescent="0.25">
      <c r="D9747"/>
    </row>
    <row r="9748" spans="4:4" x14ac:dyDescent="0.25">
      <c r="D9748"/>
    </row>
    <row r="9749" spans="4:4" x14ac:dyDescent="0.25">
      <c r="D9749"/>
    </row>
    <row r="9750" spans="4:4" x14ac:dyDescent="0.25">
      <c r="D9750"/>
    </row>
    <row r="9751" spans="4:4" x14ac:dyDescent="0.25">
      <c r="D9751"/>
    </row>
    <row r="9752" spans="4:4" x14ac:dyDescent="0.25">
      <c r="D9752"/>
    </row>
    <row r="9753" spans="4:4" x14ac:dyDescent="0.25">
      <c r="D9753"/>
    </row>
    <row r="9754" spans="4:4" x14ac:dyDescent="0.25">
      <c r="D9754"/>
    </row>
    <row r="9755" spans="4:4" x14ac:dyDescent="0.25">
      <c r="D9755"/>
    </row>
    <row r="9756" spans="4:4" x14ac:dyDescent="0.25">
      <c r="D9756"/>
    </row>
    <row r="9757" spans="4:4" x14ac:dyDescent="0.25">
      <c r="D9757"/>
    </row>
    <row r="9758" spans="4:4" x14ac:dyDescent="0.25">
      <c r="D9758"/>
    </row>
    <row r="9759" spans="4:4" x14ac:dyDescent="0.25">
      <c r="D9759"/>
    </row>
    <row r="9760" spans="4:4" x14ac:dyDescent="0.25">
      <c r="D9760"/>
    </row>
    <row r="9761" spans="4:4" x14ac:dyDescent="0.25">
      <c r="D9761"/>
    </row>
    <row r="9762" spans="4:4" x14ac:dyDescent="0.25">
      <c r="D9762"/>
    </row>
    <row r="9763" spans="4:4" x14ac:dyDescent="0.25">
      <c r="D9763"/>
    </row>
    <row r="9764" spans="4:4" x14ac:dyDescent="0.25">
      <c r="D9764"/>
    </row>
    <row r="9765" spans="4:4" x14ac:dyDescent="0.25">
      <c r="D9765"/>
    </row>
    <row r="9766" spans="4:4" x14ac:dyDescent="0.25">
      <c r="D9766"/>
    </row>
    <row r="9767" spans="4:4" x14ac:dyDescent="0.25">
      <c r="D9767"/>
    </row>
    <row r="9768" spans="4:4" x14ac:dyDescent="0.25">
      <c r="D9768"/>
    </row>
    <row r="9769" spans="4:4" x14ac:dyDescent="0.25">
      <c r="D9769"/>
    </row>
    <row r="9770" spans="4:4" x14ac:dyDescent="0.25">
      <c r="D9770"/>
    </row>
    <row r="9771" spans="4:4" x14ac:dyDescent="0.25">
      <c r="D9771"/>
    </row>
    <row r="9772" spans="4:4" x14ac:dyDescent="0.25">
      <c r="D9772"/>
    </row>
    <row r="9773" spans="4:4" x14ac:dyDescent="0.25">
      <c r="D9773"/>
    </row>
    <row r="9774" spans="4:4" x14ac:dyDescent="0.25">
      <c r="D9774"/>
    </row>
    <row r="9775" spans="4:4" x14ac:dyDescent="0.25">
      <c r="D9775"/>
    </row>
    <row r="9776" spans="4:4" x14ac:dyDescent="0.25">
      <c r="D9776"/>
    </row>
    <row r="9777" spans="4:4" x14ac:dyDescent="0.25">
      <c r="D9777"/>
    </row>
    <row r="9778" spans="4:4" x14ac:dyDescent="0.25">
      <c r="D9778"/>
    </row>
    <row r="9779" spans="4:4" x14ac:dyDescent="0.25">
      <c r="D9779"/>
    </row>
    <row r="9780" spans="4:4" x14ac:dyDescent="0.25">
      <c r="D9780"/>
    </row>
    <row r="9781" spans="4:4" x14ac:dyDescent="0.25">
      <c r="D9781"/>
    </row>
    <row r="9782" spans="4:4" x14ac:dyDescent="0.25">
      <c r="D9782"/>
    </row>
    <row r="9783" spans="4:4" x14ac:dyDescent="0.25">
      <c r="D9783"/>
    </row>
    <row r="9784" spans="4:4" x14ac:dyDescent="0.25">
      <c r="D9784"/>
    </row>
    <row r="9785" spans="4:4" x14ac:dyDescent="0.25">
      <c r="D9785"/>
    </row>
    <row r="9786" spans="4:4" x14ac:dyDescent="0.25">
      <c r="D9786"/>
    </row>
    <row r="9787" spans="4:4" x14ac:dyDescent="0.25">
      <c r="D9787"/>
    </row>
    <row r="9788" spans="4:4" x14ac:dyDescent="0.25">
      <c r="D9788"/>
    </row>
    <row r="9789" spans="4:4" x14ac:dyDescent="0.25">
      <c r="D9789"/>
    </row>
    <row r="9790" spans="4:4" x14ac:dyDescent="0.25">
      <c r="D9790"/>
    </row>
    <row r="9791" spans="4:4" x14ac:dyDescent="0.25">
      <c r="D9791"/>
    </row>
    <row r="9792" spans="4:4" x14ac:dyDescent="0.25">
      <c r="D9792"/>
    </row>
    <row r="9793" spans="4:4" x14ac:dyDescent="0.25">
      <c r="D9793"/>
    </row>
    <row r="9794" spans="4:4" x14ac:dyDescent="0.25">
      <c r="D9794"/>
    </row>
    <row r="9795" spans="4:4" x14ac:dyDescent="0.25">
      <c r="D9795"/>
    </row>
    <row r="9796" spans="4:4" x14ac:dyDescent="0.25">
      <c r="D9796"/>
    </row>
    <row r="9797" spans="4:4" x14ac:dyDescent="0.25">
      <c r="D9797"/>
    </row>
    <row r="9798" spans="4:4" x14ac:dyDescent="0.25">
      <c r="D9798"/>
    </row>
    <row r="9799" spans="4:4" x14ac:dyDescent="0.25">
      <c r="D9799"/>
    </row>
    <row r="9800" spans="4:4" x14ac:dyDescent="0.25">
      <c r="D9800"/>
    </row>
    <row r="9801" spans="4:4" x14ac:dyDescent="0.25">
      <c r="D9801"/>
    </row>
    <row r="9802" spans="4:4" x14ac:dyDescent="0.25">
      <c r="D9802"/>
    </row>
    <row r="9803" spans="4:4" x14ac:dyDescent="0.25">
      <c r="D9803"/>
    </row>
    <row r="9804" spans="4:4" x14ac:dyDescent="0.25">
      <c r="D9804"/>
    </row>
    <row r="9805" spans="4:4" x14ac:dyDescent="0.25">
      <c r="D9805"/>
    </row>
    <row r="9806" spans="4:4" x14ac:dyDescent="0.25">
      <c r="D9806"/>
    </row>
    <row r="9807" spans="4:4" x14ac:dyDescent="0.25">
      <c r="D9807"/>
    </row>
    <row r="9808" spans="4:4" x14ac:dyDescent="0.25">
      <c r="D9808"/>
    </row>
    <row r="9809" spans="4:4" x14ac:dyDescent="0.25">
      <c r="D9809"/>
    </row>
    <row r="9810" spans="4:4" x14ac:dyDescent="0.25">
      <c r="D9810"/>
    </row>
    <row r="9811" spans="4:4" x14ac:dyDescent="0.25">
      <c r="D9811"/>
    </row>
    <row r="9812" spans="4:4" x14ac:dyDescent="0.25">
      <c r="D9812"/>
    </row>
    <row r="9813" spans="4:4" x14ac:dyDescent="0.25">
      <c r="D9813"/>
    </row>
    <row r="9814" spans="4:4" x14ac:dyDescent="0.25">
      <c r="D9814"/>
    </row>
    <row r="9815" spans="4:4" x14ac:dyDescent="0.25">
      <c r="D9815"/>
    </row>
    <row r="9816" spans="4:4" x14ac:dyDescent="0.25">
      <c r="D9816"/>
    </row>
    <row r="9817" spans="4:4" x14ac:dyDescent="0.25">
      <c r="D9817"/>
    </row>
    <row r="9818" spans="4:4" x14ac:dyDescent="0.25">
      <c r="D9818"/>
    </row>
    <row r="9819" spans="4:4" x14ac:dyDescent="0.25">
      <c r="D9819"/>
    </row>
    <row r="9820" spans="4:4" x14ac:dyDescent="0.25">
      <c r="D9820"/>
    </row>
    <row r="9821" spans="4:4" x14ac:dyDescent="0.25">
      <c r="D9821"/>
    </row>
    <row r="9822" spans="4:4" x14ac:dyDescent="0.25">
      <c r="D9822"/>
    </row>
    <row r="9823" spans="4:4" x14ac:dyDescent="0.25">
      <c r="D9823"/>
    </row>
    <row r="9824" spans="4:4" x14ac:dyDescent="0.25">
      <c r="D9824"/>
    </row>
    <row r="9825" spans="4:4" x14ac:dyDescent="0.25">
      <c r="D9825"/>
    </row>
    <row r="9826" spans="4:4" x14ac:dyDescent="0.25">
      <c r="D9826"/>
    </row>
    <row r="9827" spans="4:4" x14ac:dyDescent="0.25">
      <c r="D9827"/>
    </row>
    <row r="9828" spans="4:4" x14ac:dyDescent="0.25">
      <c r="D9828"/>
    </row>
    <row r="9829" spans="4:4" x14ac:dyDescent="0.25">
      <c r="D9829"/>
    </row>
    <row r="9830" spans="4:4" x14ac:dyDescent="0.25">
      <c r="D9830"/>
    </row>
    <row r="9831" spans="4:4" x14ac:dyDescent="0.25">
      <c r="D9831"/>
    </row>
    <row r="9832" spans="4:4" x14ac:dyDescent="0.25">
      <c r="D9832"/>
    </row>
    <row r="9833" spans="4:4" x14ac:dyDescent="0.25">
      <c r="D9833"/>
    </row>
    <row r="9834" spans="4:4" x14ac:dyDescent="0.25">
      <c r="D9834"/>
    </row>
    <row r="9835" spans="4:4" x14ac:dyDescent="0.25">
      <c r="D9835"/>
    </row>
    <row r="9836" spans="4:4" x14ac:dyDescent="0.25">
      <c r="D9836"/>
    </row>
    <row r="9837" spans="4:4" x14ac:dyDescent="0.25">
      <c r="D9837"/>
    </row>
    <row r="9838" spans="4:4" x14ac:dyDescent="0.25">
      <c r="D9838"/>
    </row>
    <row r="9839" spans="4:4" x14ac:dyDescent="0.25">
      <c r="D9839"/>
    </row>
    <row r="9840" spans="4:4" x14ac:dyDescent="0.25">
      <c r="D9840"/>
    </row>
    <row r="9841" spans="4:4" x14ac:dyDescent="0.25">
      <c r="D9841"/>
    </row>
    <row r="9842" spans="4:4" x14ac:dyDescent="0.25">
      <c r="D9842"/>
    </row>
    <row r="9843" spans="4:4" x14ac:dyDescent="0.25">
      <c r="D9843"/>
    </row>
    <row r="9844" spans="4:4" x14ac:dyDescent="0.25">
      <c r="D9844"/>
    </row>
    <row r="9845" spans="4:4" x14ac:dyDescent="0.25">
      <c r="D9845"/>
    </row>
    <row r="9846" spans="4:4" x14ac:dyDescent="0.25">
      <c r="D9846"/>
    </row>
    <row r="9847" spans="4:4" x14ac:dyDescent="0.25">
      <c r="D9847"/>
    </row>
    <row r="9848" spans="4:4" x14ac:dyDescent="0.25">
      <c r="D9848"/>
    </row>
    <row r="9849" spans="4:4" x14ac:dyDescent="0.25">
      <c r="D9849"/>
    </row>
    <row r="9850" spans="4:4" x14ac:dyDescent="0.25">
      <c r="D9850"/>
    </row>
    <row r="9851" spans="4:4" x14ac:dyDescent="0.25">
      <c r="D9851"/>
    </row>
    <row r="9852" spans="4:4" x14ac:dyDescent="0.25">
      <c r="D9852"/>
    </row>
    <row r="9853" spans="4:4" x14ac:dyDescent="0.25">
      <c r="D9853"/>
    </row>
    <row r="9854" spans="4:4" x14ac:dyDescent="0.25">
      <c r="D9854"/>
    </row>
    <row r="9855" spans="4:4" x14ac:dyDescent="0.25">
      <c r="D9855"/>
    </row>
    <row r="9856" spans="4:4" x14ac:dyDescent="0.25">
      <c r="D9856"/>
    </row>
    <row r="9857" spans="4:4" x14ac:dyDescent="0.25">
      <c r="D9857"/>
    </row>
    <row r="9858" spans="4:4" x14ac:dyDescent="0.25">
      <c r="D9858"/>
    </row>
    <row r="9859" spans="4:4" x14ac:dyDescent="0.25">
      <c r="D9859"/>
    </row>
    <row r="9860" spans="4:4" x14ac:dyDescent="0.25">
      <c r="D9860"/>
    </row>
    <row r="9861" spans="4:4" x14ac:dyDescent="0.25">
      <c r="D9861"/>
    </row>
    <row r="9862" spans="4:4" x14ac:dyDescent="0.25">
      <c r="D9862"/>
    </row>
    <row r="9863" spans="4:4" x14ac:dyDescent="0.25">
      <c r="D9863"/>
    </row>
    <row r="9864" spans="4:4" x14ac:dyDescent="0.25">
      <c r="D9864"/>
    </row>
    <row r="9865" spans="4:4" x14ac:dyDescent="0.25">
      <c r="D9865"/>
    </row>
    <row r="9866" spans="4:4" x14ac:dyDescent="0.25">
      <c r="D9866"/>
    </row>
    <row r="9867" spans="4:4" x14ac:dyDescent="0.25">
      <c r="D9867"/>
    </row>
    <row r="9868" spans="4:4" x14ac:dyDescent="0.25">
      <c r="D9868"/>
    </row>
    <row r="9869" spans="4:4" x14ac:dyDescent="0.25">
      <c r="D9869"/>
    </row>
    <row r="9870" spans="4:4" x14ac:dyDescent="0.25">
      <c r="D9870"/>
    </row>
    <row r="9871" spans="4:4" x14ac:dyDescent="0.25">
      <c r="D9871"/>
    </row>
    <row r="9872" spans="4:4" x14ac:dyDescent="0.25">
      <c r="D9872"/>
    </row>
    <row r="9873" spans="4:4" x14ac:dyDescent="0.25">
      <c r="D9873"/>
    </row>
    <row r="9874" spans="4:4" x14ac:dyDescent="0.25">
      <c r="D9874"/>
    </row>
    <row r="9875" spans="4:4" x14ac:dyDescent="0.25">
      <c r="D9875"/>
    </row>
    <row r="9876" spans="4:4" x14ac:dyDescent="0.25">
      <c r="D9876"/>
    </row>
    <row r="9877" spans="4:4" x14ac:dyDescent="0.25">
      <c r="D9877"/>
    </row>
    <row r="9878" spans="4:4" x14ac:dyDescent="0.25">
      <c r="D9878"/>
    </row>
    <row r="9879" spans="4:4" x14ac:dyDescent="0.25">
      <c r="D9879"/>
    </row>
    <row r="9880" spans="4:4" x14ac:dyDescent="0.25">
      <c r="D9880"/>
    </row>
    <row r="9881" spans="4:4" x14ac:dyDescent="0.25">
      <c r="D9881"/>
    </row>
    <row r="9882" spans="4:4" x14ac:dyDescent="0.25">
      <c r="D9882"/>
    </row>
    <row r="9883" spans="4:4" x14ac:dyDescent="0.25">
      <c r="D9883"/>
    </row>
    <row r="9884" spans="4:4" x14ac:dyDescent="0.25">
      <c r="D9884"/>
    </row>
    <row r="9885" spans="4:4" x14ac:dyDescent="0.25">
      <c r="D9885"/>
    </row>
    <row r="9886" spans="4:4" x14ac:dyDescent="0.25">
      <c r="D9886"/>
    </row>
    <row r="9887" spans="4:4" x14ac:dyDescent="0.25">
      <c r="D9887"/>
    </row>
    <row r="9888" spans="4:4" x14ac:dyDescent="0.25">
      <c r="D9888"/>
    </row>
    <row r="9889" spans="4:4" x14ac:dyDescent="0.25">
      <c r="D9889"/>
    </row>
    <row r="9890" spans="4:4" x14ac:dyDescent="0.25">
      <c r="D9890"/>
    </row>
    <row r="9891" spans="4:4" x14ac:dyDescent="0.25">
      <c r="D9891"/>
    </row>
    <row r="9892" spans="4:4" x14ac:dyDescent="0.25">
      <c r="D9892"/>
    </row>
    <row r="9893" spans="4:4" x14ac:dyDescent="0.25">
      <c r="D9893"/>
    </row>
    <row r="9894" spans="4:4" x14ac:dyDescent="0.25">
      <c r="D9894"/>
    </row>
    <row r="9895" spans="4:4" x14ac:dyDescent="0.25">
      <c r="D9895"/>
    </row>
    <row r="9896" spans="4:4" x14ac:dyDescent="0.25">
      <c r="D9896"/>
    </row>
    <row r="9897" spans="4:4" x14ac:dyDescent="0.25">
      <c r="D9897"/>
    </row>
    <row r="9898" spans="4:4" x14ac:dyDescent="0.25">
      <c r="D9898"/>
    </row>
    <row r="9899" spans="4:4" x14ac:dyDescent="0.25">
      <c r="D9899"/>
    </row>
    <row r="9900" spans="4:4" x14ac:dyDescent="0.25">
      <c r="D9900"/>
    </row>
    <row r="9901" spans="4:4" x14ac:dyDescent="0.25">
      <c r="D9901"/>
    </row>
    <row r="9902" spans="4:4" x14ac:dyDescent="0.25">
      <c r="D9902"/>
    </row>
    <row r="9903" spans="4:4" x14ac:dyDescent="0.25">
      <c r="D9903"/>
    </row>
    <row r="9904" spans="4:4" x14ac:dyDescent="0.25">
      <c r="D9904"/>
    </row>
    <row r="9905" spans="4:4" x14ac:dyDescent="0.25">
      <c r="D9905"/>
    </row>
    <row r="9906" spans="4:4" x14ac:dyDescent="0.25">
      <c r="D9906"/>
    </row>
    <row r="9907" spans="4:4" x14ac:dyDescent="0.25">
      <c r="D9907"/>
    </row>
    <row r="9908" spans="4:4" x14ac:dyDescent="0.25">
      <c r="D9908"/>
    </row>
    <row r="9909" spans="4:4" x14ac:dyDescent="0.25">
      <c r="D9909"/>
    </row>
    <row r="9910" spans="4:4" x14ac:dyDescent="0.25">
      <c r="D9910"/>
    </row>
    <row r="9911" spans="4:4" x14ac:dyDescent="0.25">
      <c r="D9911"/>
    </row>
    <row r="9912" spans="4:4" x14ac:dyDescent="0.25">
      <c r="D9912"/>
    </row>
    <row r="9913" spans="4:4" x14ac:dyDescent="0.25">
      <c r="D9913"/>
    </row>
    <row r="9914" spans="4:4" x14ac:dyDescent="0.25">
      <c r="D9914"/>
    </row>
    <row r="9915" spans="4:4" x14ac:dyDescent="0.25">
      <c r="D9915"/>
    </row>
    <row r="9916" spans="4:4" x14ac:dyDescent="0.25">
      <c r="D9916"/>
    </row>
    <row r="9917" spans="4:4" x14ac:dyDescent="0.25">
      <c r="D9917"/>
    </row>
    <row r="9918" spans="4:4" x14ac:dyDescent="0.25">
      <c r="D9918"/>
    </row>
    <row r="9919" spans="4:4" x14ac:dyDescent="0.25">
      <c r="D9919"/>
    </row>
    <row r="9920" spans="4:4" x14ac:dyDescent="0.25">
      <c r="D9920"/>
    </row>
    <row r="9921" spans="4:4" x14ac:dyDescent="0.25">
      <c r="D9921"/>
    </row>
    <row r="9922" spans="4:4" x14ac:dyDescent="0.25">
      <c r="D9922"/>
    </row>
    <row r="9923" spans="4:4" x14ac:dyDescent="0.25">
      <c r="D9923"/>
    </row>
    <row r="9924" spans="4:4" x14ac:dyDescent="0.25">
      <c r="D9924"/>
    </row>
    <row r="9925" spans="4:4" x14ac:dyDescent="0.25">
      <c r="D9925"/>
    </row>
    <row r="9926" spans="4:4" x14ac:dyDescent="0.25">
      <c r="D9926"/>
    </row>
    <row r="9927" spans="4:4" x14ac:dyDescent="0.25">
      <c r="D9927"/>
    </row>
    <row r="9928" spans="4:4" x14ac:dyDescent="0.25">
      <c r="D9928"/>
    </row>
    <row r="9929" spans="4:4" x14ac:dyDescent="0.25">
      <c r="D9929"/>
    </row>
    <row r="9930" spans="4:4" x14ac:dyDescent="0.25">
      <c r="D9930"/>
    </row>
    <row r="9931" spans="4:4" x14ac:dyDescent="0.25">
      <c r="D9931"/>
    </row>
    <row r="9932" spans="4:4" x14ac:dyDescent="0.25">
      <c r="D9932"/>
    </row>
    <row r="9933" spans="4:4" x14ac:dyDescent="0.25">
      <c r="D9933"/>
    </row>
    <row r="9934" spans="4:4" x14ac:dyDescent="0.25">
      <c r="D9934"/>
    </row>
    <row r="9935" spans="4:4" x14ac:dyDescent="0.25">
      <c r="D9935"/>
    </row>
    <row r="9936" spans="4:4" x14ac:dyDescent="0.25">
      <c r="D9936"/>
    </row>
    <row r="9937" spans="4:4" x14ac:dyDescent="0.25">
      <c r="D9937"/>
    </row>
    <row r="9938" spans="4:4" x14ac:dyDescent="0.25">
      <c r="D9938"/>
    </row>
    <row r="9939" spans="4:4" x14ac:dyDescent="0.25">
      <c r="D9939"/>
    </row>
    <row r="9940" spans="4:4" x14ac:dyDescent="0.25">
      <c r="D9940"/>
    </row>
    <row r="9941" spans="4:4" x14ac:dyDescent="0.25">
      <c r="D9941"/>
    </row>
    <row r="9942" spans="4:4" x14ac:dyDescent="0.25">
      <c r="D9942"/>
    </row>
    <row r="9943" spans="4:4" x14ac:dyDescent="0.25">
      <c r="D9943"/>
    </row>
    <row r="9944" spans="4:4" x14ac:dyDescent="0.25">
      <c r="D9944"/>
    </row>
    <row r="9945" spans="4:4" x14ac:dyDescent="0.25">
      <c r="D9945"/>
    </row>
    <row r="9946" spans="4:4" x14ac:dyDescent="0.25">
      <c r="D9946"/>
    </row>
    <row r="9947" spans="4:4" x14ac:dyDescent="0.25">
      <c r="D9947"/>
    </row>
    <row r="9948" spans="4:4" x14ac:dyDescent="0.25">
      <c r="D9948"/>
    </row>
    <row r="9949" spans="4:4" x14ac:dyDescent="0.25">
      <c r="D9949"/>
    </row>
    <row r="9950" spans="4:4" x14ac:dyDescent="0.25">
      <c r="D9950"/>
    </row>
    <row r="9951" spans="4:4" x14ac:dyDescent="0.25">
      <c r="D9951"/>
    </row>
    <row r="9952" spans="4:4" x14ac:dyDescent="0.25">
      <c r="D9952"/>
    </row>
    <row r="9953" spans="4:4" x14ac:dyDescent="0.25">
      <c r="D9953"/>
    </row>
    <row r="9954" spans="4:4" x14ac:dyDescent="0.25">
      <c r="D9954"/>
    </row>
    <row r="9955" spans="4:4" x14ac:dyDescent="0.25">
      <c r="D9955"/>
    </row>
    <row r="9956" spans="4:4" x14ac:dyDescent="0.25">
      <c r="D9956"/>
    </row>
    <row r="9957" spans="4:4" x14ac:dyDescent="0.25">
      <c r="D9957"/>
    </row>
    <row r="9958" spans="4:4" x14ac:dyDescent="0.25">
      <c r="D9958"/>
    </row>
    <row r="9959" spans="4:4" x14ac:dyDescent="0.25">
      <c r="D9959"/>
    </row>
    <row r="9960" spans="4:4" x14ac:dyDescent="0.25">
      <c r="D9960"/>
    </row>
    <row r="9961" spans="4:4" x14ac:dyDescent="0.25">
      <c r="D9961"/>
    </row>
    <row r="9962" spans="4:4" x14ac:dyDescent="0.25">
      <c r="D9962"/>
    </row>
    <row r="9963" spans="4:4" x14ac:dyDescent="0.25">
      <c r="D9963"/>
    </row>
    <row r="9964" spans="4:4" x14ac:dyDescent="0.25">
      <c r="D9964"/>
    </row>
    <row r="9965" spans="4:4" x14ac:dyDescent="0.25">
      <c r="D9965"/>
    </row>
    <row r="9966" spans="4:4" x14ac:dyDescent="0.25">
      <c r="D9966"/>
    </row>
    <row r="9967" spans="4:4" x14ac:dyDescent="0.25">
      <c r="D9967"/>
    </row>
    <row r="9968" spans="4:4" x14ac:dyDescent="0.25">
      <c r="D9968"/>
    </row>
    <row r="9969" spans="4:4" x14ac:dyDescent="0.25">
      <c r="D9969"/>
    </row>
    <row r="9970" spans="4:4" x14ac:dyDescent="0.25">
      <c r="D9970"/>
    </row>
    <row r="9971" spans="4:4" x14ac:dyDescent="0.25">
      <c r="D9971"/>
    </row>
    <row r="9972" spans="4:4" x14ac:dyDescent="0.25">
      <c r="D9972"/>
    </row>
    <row r="9973" spans="4:4" x14ac:dyDescent="0.25">
      <c r="D9973"/>
    </row>
    <row r="9974" spans="4:4" x14ac:dyDescent="0.25">
      <c r="D9974"/>
    </row>
    <row r="9975" spans="4:4" x14ac:dyDescent="0.25">
      <c r="D9975"/>
    </row>
    <row r="9976" spans="4:4" x14ac:dyDescent="0.25">
      <c r="D9976"/>
    </row>
    <row r="9977" spans="4:4" x14ac:dyDescent="0.25">
      <c r="D9977"/>
    </row>
    <row r="9978" spans="4:4" x14ac:dyDescent="0.25">
      <c r="D9978"/>
    </row>
    <row r="9979" spans="4:4" x14ac:dyDescent="0.25">
      <c r="D9979"/>
    </row>
    <row r="9980" spans="4:4" x14ac:dyDescent="0.25">
      <c r="D9980"/>
    </row>
    <row r="9981" spans="4:4" x14ac:dyDescent="0.25">
      <c r="D9981"/>
    </row>
    <row r="9982" spans="4:4" x14ac:dyDescent="0.25">
      <c r="D9982"/>
    </row>
    <row r="9983" spans="4:4" x14ac:dyDescent="0.25">
      <c r="D9983"/>
    </row>
    <row r="9984" spans="4:4" x14ac:dyDescent="0.25">
      <c r="D9984"/>
    </row>
    <row r="9985" spans="4:4" x14ac:dyDescent="0.25">
      <c r="D9985"/>
    </row>
    <row r="9986" spans="4:4" x14ac:dyDescent="0.25">
      <c r="D9986"/>
    </row>
    <row r="9987" spans="4:4" x14ac:dyDescent="0.25">
      <c r="D9987"/>
    </row>
    <row r="9988" spans="4:4" x14ac:dyDescent="0.25">
      <c r="D9988"/>
    </row>
    <row r="9989" spans="4:4" x14ac:dyDescent="0.25">
      <c r="D9989"/>
    </row>
    <row r="9990" spans="4:4" x14ac:dyDescent="0.25">
      <c r="D9990"/>
    </row>
    <row r="9991" spans="4:4" x14ac:dyDescent="0.25">
      <c r="D9991"/>
    </row>
    <row r="9992" spans="4:4" x14ac:dyDescent="0.25">
      <c r="D9992"/>
    </row>
    <row r="9993" spans="4:4" x14ac:dyDescent="0.25">
      <c r="D9993"/>
    </row>
    <row r="9994" spans="4:4" x14ac:dyDescent="0.25">
      <c r="D9994"/>
    </row>
    <row r="9995" spans="4:4" x14ac:dyDescent="0.25">
      <c r="D9995"/>
    </row>
    <row r="9996" spans="4:4" x14ac:dyDescent="0.25">
      <c r="D9996"/>
    </row>
    <row r="9997" spans="4:4" x14ac:dyDescent="0.25">
      <c r="D9997"/>
    </row>
    <row r="9998" spans="4:4" x14ac:dyDescent="0.25">
      <c r="D9998"/>
    </row>
    <row r="9999" spans="4:4" x14ac:dyDescent="0.25">
      <c r="D9999"/>
    </row>
    <row r="10000" spans="4:4" x14ac:dyDescent="0.25">
      <c r="D10000"/>
    </row>
    <row r="10001" spans="4:4" x14ac:dyDescent="0.25">
      <c r="D10001"/>
    </row>
    <row r="10002" spans="4:4" x14ac:dyDescent="0.25">
      <c r="D10002"/>
    </row>
    <row r="10003" spans="4:4" x14ac:dyDescent="0.25">
      <c r="D10003"/>
    </row>
    <row r="10004" spans="4:4" x14ac:dyDescent="0.25">
      <c r="D10004"/>
    </row>
    <row r="10005" spans="4:4" x14ac:dyDescent="0.25">
      <c r="D10005"/>
    </row>
    <row r="10006" spans="4:4" x14ac:dyDescent="0.25">
      <c r="D10006"/>
    </row>
    <row r="10007" spans="4:4" x14ac:dyDescent="0.25">
      <c r="D10007"/>
    </row>
    <row r="10008" spans="4:4" x14ac:dyDescent="0.25">
      <c r="D10008"/>
    </row>
    <row r="10009" spans="4:4" x14ac:dyDescent="0.25">
      <c r="D10009"/>
    </row>
    <row r="10010" spans="4:4" x14ac:dyDescent="0.25">
      <c r="D10010"/>
    </row>
    <row r="10011" spans="4:4" x14ac:dyDescent="0.25">
      <c r="D10011"/>
    </row>
    <row r="10012" spans="4:4" x14ac:dyDescent="0.25">
      <c r="D10012"/>
    </row>
    <row r="10013" spans="4:4" x14ac:dyDescent="0.25">
      <c r="D10013"/>
    </row>
    <row r="10014" spans="4:4" x14ac:dyDescent="0.25">
      <c r="D10014"/>
    </row>
    <row r="10015" spans="4:4" x14ac:dyDescent="0.25">
      <c r="D10015"/>
    </row>
    <row r="10016" spans="4:4" x14ac:dyDescent="0.25">
      <c r="D10016"/>
    </row>
    <row r="10017" spans="4:4" x14ac:dyDescent="0.25">
      <c r="D10017"/>
    </row>
    <row r="10018" spans="4:4" x14ac:dyDescent="0.25">
      <c r="D10018"/>
    </row>
    <row r="10019" spans="4:4" x14ac:dyDescent="0.25">
      <c r="D10019"/>
    </row>
    <row r="10020" spans="4:4" x14ac:dyDescent="0.25">
      <c r="D10020"/>
    </row>
    <row r="10021" spans="4:4" x14ac:dyDescent="0.25">
      <c r="D10021"/>
    </row>
    <row r="10022" spans="4:4" x14ac:dyDescent="0.25">
      <c r="D10022"/>
    </row>
    <row r="10023" spans="4:4" x14ac:dyDescent="0.25">
      <c r="D10023"/>
    </row>
    <row r="10024" spans="4:4" x14ac:dyDescent="0.25">
      <c r="D10024"/>
    </row>
    <row r="10025" spans="4:4" x14ac:dyDescent="0.25">
      <c r="D10025"/>
    </row>
    <row r="10026" spans="4:4" x14ac:dyDescent="0.25">
      <c r="D10026"/>
    </row>
    <row r="10027" spans="4:4" x14ac:dyDescent="0.25">
      <c r="D10027"/>
    </row>
    <row r="10028" spans="4:4" x14ac:dyDescent="0.25">
      <c r="D10028"/>
    </row>
    <row r="10029" spans="4:4" x14ac:dyDescent="0.25">
      <c r="D10029"/>
    </row>
    <row r="10030" spans="4:4" x14ac:dyDescent="0.25">
      <c r="D10030"/>
    </row>
    <row r="10031" spans="4:4" x14ac:dyDescent="0.25">
      <c r="D10031"/>
    </row>
    <row r="10032" spans="4:4" x14ac:dyDescent="0.25">
      <c r="D10032"/>
    </row>
    <row r="10033" spans="4:4" x14ac:dyDescent="0.25">
      <c r="D10033"/>
    </row>
    <row r="10034" spans="4:4" x14ac:dyDescent="0.25">
      <c r="D10034"/>
    </row>
    <row r="10035" spans="4:4" x14ac:dyDescent="0.25">
      <c r="D10035"/>
    </row>
    <row r="10036" spans="4:4" x14ac:dyDescent="0.25">
      <c r="D10036"/>
    </row>
    <row r="10037" spans="4:4" x14ac:dyDescent="0.25">
      <c r="D10037"/>
    </row>
    <row r="10038" spans="4:4" x14ac:dyDescent="0.25">
      <c r="D10038"/>
    </row>
    <row r="10039" spans="4:4" x14ac:dyDescent="0.25">
      <c r="D10039"/>
    </row>
    <row r="10040" spans="4:4" x14ac:dyDescent="0.25">
      <c r="D10040"/>
    </row>
    <row r="10041" spans="4:4" x14ac:dyDescent="0.25">
      <c r="D10041"/>
    </row>
    <row r="10042" spans="4:4" x14ac:dyDescent="0.25">
      <c r="D10042"/>
    </row>
    <row r="10043" spans="4:4" x14ac:dyDescent="0.25">
      <c r="D10043"/>
    </row>
    <row r="10044" spans="4:4" x14ac:dyDescent="0.25">
      <c r="D10044"/>
    </row>
    <row r="10045" spans="4:4" x14ac:dyDescent="0.25">
      <c r="D10045"/>
    </row>
    <row r="10046" spans="4:4" x14ac:dyDescent="0.25">
      <c r="D10046"/>
    </row>
    <row r="10047" spans="4:4" x14ac:dyDescent="0.25">
      <c r="D10047"/>
    </row>
    <row r="10048" spans="4:4" x14ac:dyDescent="0.25">
      <c r="D10048"/>
    </row>
    <row r="10049" spans="4:4" x14ac:dyDescent="0.25">
      <c r="D10049"/>
    </row>
    <row r="10050" spans="4:4" x14ac:dyDescent="0.25">
      <c r="D10050"/>
    </row>
    <row r="10051" spans="4:4" x14ac:dyDescent="0.25">
      <c r="D10051"/>
    </row>
    <row r="10052" spans="4:4" x14ac:dyDescent="0.25">
      <c r="D10052"/>
    </row>
    <row r="10053" spans="4:4" x14ac:dyDescent="0.25">
      <c r="D10053"/>
    </row>
    <row r="10054" spans="4:4" x14ac:dyDescent="0.25">
      <c r="D10054"/>
    </row>
    <row r="10055" spans="4:4" x14ac:dyDescent="0.25">
      <c r="D10055"/>
    </row>
    <row r="10056" spans="4:4" x14ac:dyDescent="0.25">
      <c r="D10056"/>
    </row>
    <row r="10057" spans="4:4" x14ac:dyDescent="0.25">
      <c r="D10057"/>
    </row>
    <row r="10058" spans="4:4" x14ac:dyDescent="0.25">
      <c r="D10058"/>
    </row>
    <row r="10059" spans="4:4" x14ac:dyDescent="0.25">
      <c r="D10059"/>
    </row>
    <row r="10060" spans="4:4" x14ac:dyDescent="0.25">
      <c r="D10060"/>
    </row>
    <row r="10061" spans="4:4" x14ac:dyDescent="0.25">
      <c r="D10061"/>
    </row>
    <row r="10062" spans="4:4" x14ac:dyDescent="0.25">
      <c r="D10062"/>
    </row>
    <row r="10063" spans="4:4" x14ac:dyDescent="0.25">
      <c r="D10063"/>
    </row>
    <row r="10064" spans="4:4" x14ac:dyDescent="0.25">
      <c r="D10064"/>
    </row>
    <row r="10065" spans="4:4" x14ac:dyDescent="0.25">
      <c r="D10065"/>
    </row>
    <row r="10066" spans="4:4" x14ac:dyDescent="0.25">
      <c r="D10066"/>
    </row>
    <row r="10067" spans="4:4" x14ac:dyDescent="0.25">
      <c r="D10067"/>
    </row>
    <row r="10068" spans="4:4" x14ac:dyDescent="0.25">
      <c r="D10068"/>
    </row>
    <row r="10069" spans="4:4" x14ac:dyDescent="0.25">
      <c r="D10069"/>
    </row>
    <row r="10070" spans="4:4" x14ac:dyDescent="0.25">
      <c r="D10070"/>
    </row>
    <row r="10071" spans="4:4" x14ac:dyDescent="0.25">
      <c r="D10071"/>
    </row>
    <row r="10072" spans="4:4" x14ac:dyDescent="0.25">
      <c r="D10072"/>
    </row>
    <row r="10073" spans="4:4" x14ac:dyDescent="0.25">
      <c r="D10073"/>
    </row>
    <row r="10074" spans="4:4" x14ac:dyDescent="0.25">
      <c r="D10074"/>
    </row>
    <row r="10075" spans="4:4" x14ac:dyDescent="0.25">
      <c r="D10075"/>
    </row>
    <row r="10076" spans="4:4" x14ac:dyDescent="0.25">
      <c r="D10076"/>
    </row>
    <row r="10077" spans="4:4" x14ac:dyDescent="0.25">
      <c r="D10077"/>
    </row>
    <row r="10078" spans="4:4" x14ac:dyDescent="0.25">
      <c r="D10078"/>
    </row>
    <row r="10079" spans="4:4" x14ac:dyDescent="0.25">
      <c r="D10079"/>
    </row>
    <row r="10080" spans="4:4" x14ac:dyDescent="0.25">
      <c r="D10080"/>
    </row>
    <row r="10081" spans="4:4" x14ac:dyDescent="0.25">
      <c r="D10081"/>
    </row>
    <row r="10082" spans="4:4" x14ac:dyDescent="0.25">
      <c r="D10082"/>
    </row>
    <row r="10083" spans="4:4" x14ac:dyDescent="0.25">
      <c r="D10083"/>
    </row>
    <row r="10084" spans="4:4" x14ac:dyDescent="0.25">
      <c r="D10084"/>
    </row>
    <row r="10085" spans="4:4" x14ac:dyDescent="0.25">
      <c r="D10085"/>
    </row>
    <row r="10086" spans="4:4" x14ac:dyDescent="0.25">
      <c r="D10086"/>
    </row>
    <row r="10087" spans="4:4" x14ac:dyDescent="0.25">
      <c r="D10087"/>
    </row>
    <row r="10088" spans="4:4" x14ac:dyDescent="0.25">
      <c r="D10088"/>
    </row>
    <row r="10089" spans="4:4" x14ac:dyDescent="0.25">
      <c r="D10089"/>
    </row>
    <row r="10090" spans="4:4" x14ac:dyDescent="0.25">
      <c r="D10090"/>
    </row>
    <row r="10091" spans="4:4" x14ac:dyDescent="0.25">
      <c r="D10091"/>
    </row>
    <row r="10092" spans="4:4" x14ac:dyDescent="0.25">
      <c r="D10092"/>
    </row>
    <row r="10093" spans="4:4" x14ac:dyDescent="0.25">
      <c r="D10093"/>
    </row>
    <row r="10094" spans="4:4" x14ac:dyDescent="0.25">
      <c r="D10094"/>
    </row>
    <row r="10095" spans="4:4" x14ac:dyDescent="0.25">
      <c r="D10095"/>
    </row>
    <row r="10096" spans="4:4" x14ac:dyDescent="0.25">
      <c r="D10096"/>
    </row>
    <row r="10097" spans="4:4" x14ac:dyDescent="0.25">
      <c r="D10097"/>
    </row>
    <row r="10098" spans="4:4" x14ac:dyDescent="0.25">
      <c r="D10098"/>
    </row>
    <row r="10099" spans="4:4" x14ac:dyDescent="0.25">
      <c r="D10099"/>
    </row>
    <row r="10100" spans="4:4" x14ac:dyDescent="0.25">
      <c r="D10100"/>
    </row>
    <row r="10101" spans="4:4" x14ac:dyDescent="0.25">
      <c r="D10101"/>
    </row>
    <row r="10102" spans="4:4" x14ac:dyDescent="0.25">
      <c r="D10102"/>
    </row>
    <row r="10103" spans="4:4" x14ac:dyDescent="0.25">
      <c r="D10103"/>
    </row>
    <row r="10104" spans="4:4" x14ac:dyDescent="0.25">
      <c r="D10104"/>
    </row>
    <row r="10105" spans="4:4" x14ac:dyDescent="0.25">
      <c r="D10105"/>
    </row>
    <row r="10106" spans="4:4" x14ac:dyDescent="0.25">
      <c r="D10106"/>
    </row>
    <row r="10107" spans="4:4" x14ac:dyDescent="0.25">
      <c r="D10107"/>
    </row>
    <row r="10108" spans="4:4" x14ac:dyDescent="0.25">
      <c r="D10108"/>
    </row>
    <row r="10109" spans="4:4" x14ac:dyDescent="0.25">
      <c r="D10109"/>
    </row>
    <row r="10110" spans="4:4" x14ac:dyDescent="0.25">
      <c r="D10110"/>
    </row>
    <row r="10111" spans="4:4" x14ac:dyDescent="0.25">
      <c r="D10111"/>
    </row>
    <row r="10112" spans="4:4" x14ac:dyDescent="0.25">
      <c r="D10112"/>
    </row>
    <row r="10113" spans="4:4" x14ac:dyDescent="0.25">
      <c r="D10113"/>
    </row>
    <row r="10114" spans="4:4" x14ac:dyDescent="0.25">
      <c r="D10114"/>
    </row>
    <row r="10115" spans="4:4" x14ac:dyDescent="0.25">
      <c r="D10115"/>
    </row>
    <row r="10116" spans="4:4" x14ac:dyDescent="0.25">
      <c r="D10116"/>
    </row>
    <row r="10117" spans="4:4" x14ac:dyDescent="0.25">
      <c r="D10117"/>
    </row>
    <row r="10118" spans="4:4" x14ac:dyDescent="0.25">
      <c r="D10118"/>
    </row>
    <row r="10119" spans="4:4" x14ac:dyDescent="0.25">
      <c r="D10119"/>
    </row>
    <row r="10120" spans="4:4" x14ac:dyDescent="0.25">
      <c r="D10120"/>
    </row>
    <row r="10121" spans="4:4" x14ac:dyDescent="0.25">
      <c r="D10121"/>
    </row>
    <row r="10122" spans="4:4" x14ac:dyDescent="0.25">
      <c r="D10122"/>
    </row>
    <row r="10123" spans="4:4" x14ac:dyDescent="0.25">
      <c r="D10123"/>
    </row>
    <row r="10124" spans="4:4" x14ac:dyDescent="0.25">
      <c r="D10124"/>
    </row>
    <row r="10125" spans="4:4" x14ac:dyDescent="0.25">
      <c r="D10125"/>
    </row>
    <row r="10126" spans="4:4" x14ac:dyDescent="0.25">
      <c r="D10126"/>
    </row>
    <row r="10127" spans="4:4" x14ac:dyDescent="0.25">
      <c r="D10127"/>
    </row>
    <row r="10128" spans="4:4" x14ac:dyDescent="0.25">
      <c r="D10128"/>
    </row>
    <row r="10129" spans="4:4" x14ac:dyDescent="0.25">
      <c r="D10129"/>
    </row>
    <row r="10130" spans="4:4" x14ac:dyDescent="0.25">
      <c r="D10130"/>
    </row>
    <row r="10131" spans="4:4" x14ac:dyDescent="0.25">
      <c r="D10131"/>
    </row>
    <row r="10132" spans="4:4" x14ac:dyDescent="0.25">
      <c r="D10132"/>
    </row>
    <row r="10133" spans="4:4" x14ac:dyDescent="0.25">
      <c r="D10133"/>
    </row>
    <row r="10134" spans="4:4" x14ac:dyDescent="0.25">
      <c r="D10134"/>
    </row>
    <row r="10135" spans="4:4" x14ac:dyDescent="0.25">
      <c r="D10135"/>
    </row>
    <row r="10136" spans="4:4" x14ac:dyDescent="0.25">
      <c r="D10136"/>
    </row>
    <row r="10137" spans="4:4" x14ac:dyDescent="0.25">
      <c r="D10137"/>
    </row>
    <row r="10138" spans="4:4" x14ac:dyDescent="0.25">
      <c r="D10138"/>
    </row>
    <row r="10139" spans="4:4" x14ac:dyDescent="0.25">
      <c r="D10139"/>
    </row>
    <row r="10140" spans="4:4" x14ac:dyDescent="0.25">
      <c r="D10140"/>
    </row>
    <row r="10141" spans="4:4" x14ac:dyDescent="0.25">
      <c r="D10141"/>
    </row>
    <row r="10142" spans="4:4" x14ac:dyDescent="0.25">
      <c r="D10142"/>
    </row>
    <row r="10143" spans="4:4" x14ac:dyDescent="0.25">
      <c r="D10143"/>
    </row>
    <row r="10144" spans="4:4" x14ac:dyDescent="0.25">
      <c r="D10144"/>
    </row>
    <row r="10145" spans="4:4" x14ac:dyDescent="0.25">
      <c r="D10145"/>
    </row>
    <row r="10146" spans="4:4" x14ac:dyDescent="0.25">
      <c r="D10146"/>
    </row>
    <row r="10147" spans="4:4" x14ac:dyDescent="0.25">
      <c r="D10147"/>
    </row>
    <row r="10148" spans="4:4" x14ac:dyDescent="0.25">
      <c r="D10148"/>
    </row>
    <row r="10149" spans="4:4" x14ac:dyDescent="0.25">
      <c r="D10149"/>
    </row>
    <row r="10150" spans="4:4" x14ac:dyDescent="0.25">
      <c r="D10150"/>
    </row>
    <row r="10151" spans="4:4" x14ac:dyDescent="0.25">
      <c r="D10151"/>
    </row>
    <row r="10152" spans="4:4" x14ac:dyDescent="0.25">
      <c r="D10152"/>
    </row>
    <row r="10153" spans="4:4" x14ac:dyDescent="0.25">
      <c r="D10153"/>
    </row>
    <row r="10154" spans="4:4" x14ac:dyDescent="0.25">
      <c r="D10154"/>
    </row>
    <row r="10155" spans="4:4" x14ac:dyDescent="0.25">
      <c r="D10155"/>
    </row>
    <row r="10156" spans="4:4" x14ac:dyDescent="0.25">
      <c r="D10156"/>
    </row>
    <row r="10157" spans="4:4" x14ac:dyDescent="0.25">
      <c r="D10157"/>
    </row>
    <row r="10158" spans="4:4" x14ac:dyDescent="0.25">
      <c r="D10158"/>
    </row>
    <row r="10159" spans="4:4" x14ac:dyDescent="0.25">
      <c r="D10159"/>
    </row>
    <row r="10160" spans="4:4" x14ac:dyDescent="0.25">
      <c r="D10160"/>
    </row>
    <row r="10161" spans="4:4" x14ac:dyDescent="0.25">
      <c r="D10161"/>
    </row>
    <row r="10162" spans="4:4" x14ac:dyDescent="0.25">
      <c r="D10162"/>
    </row>
    <row r="10163" spans="4:4" x14ac:dyDescent="0.25">
      <c r="D10163"/>
    </row>
    <row r="10164" spans="4:4" x14ac:dyDescent="0.25">
      <c r="D10164"/>
    </row>
    <row r="10165" spans="4:4" x14ac:dyDescent="0.25">
      <c r="D10165"/>
    </row>
    <row r="10166" spans="4:4" x14ac:dyDescent="0.25">
      <c r="D10166"/>
    </row>
    <row r="10167" spans="4:4" x14ac:dyDescent="0.25">
      <c r="D10167"/>
    </row>
    <row r="10168" spans="4:4" x14ac:dyDescent="0.25">
      <c r="D10168"/>
    </row>
    <row r="10169" spans="4:4" x14ac:dyDescent="0.25">
      <c r="D10169"/>
    </row>
    <row r="10170" spans="4:4" x14ac:dyDescent="0.25">
      <c r="D10170"/>
    </row>
    <row r="10171" spans="4:4" x14ac:dyDescent="0.25">
      <c r="D10171"/>
    </row>
    <row r="10172" spans="4:4" x14ac:dyDescent="0.25">
      <c r="D10172"/>
    </row>
    <row r="10173" spans="4:4" x14ac:dyDescent="0.25">
      <c r="D10173"/>
    </row>
    <row r="10174" spans="4:4" x14ac:dyDescent="0.25">
      <c r="D10174"/>
    </row>
    <row r="10175" spans="4:4" x14ac:dyDescent="0.25">
      <c r="D10175"/>
    </row>
    <row r="10176" spans="4:4" x14ac:dyDescent="0.25">
      <c r="D10176"/>
    </row>
    <row r="10177" spans="4:4" x14ac:dyDescent="0.25">
      <c r="D10177"/>
    </row>
    <row r="10178" spans="4:4" x14ac:dyDescent="0.25">
      <c r="D10178"/>
    </row>
    <row r="10179" spans="4:4" x14ac:dyDescent="0.25">
      <c r="D10179"/>
    </row>
    <row r="10180" spans="4:4" x14ac:dyDescent="0.25">
      <c r="D10180"/>
    </row>
    <row r="10181" spans="4:4" x14ac:dyDescent="0.25">
      <c r="D10181"/>
    </row>
    <row r="10182" spans="4:4" x14ac:dyDescent="0.25">
      <c r="D10182"/>
    </row>
    <row r="10183" spans="4:4" x14ac:dyDescent="0.25">
      <c r="D10183"/>
    </row>
    <row r="10184" spans="4:4" x14ac:dyDescent="0.25">
      <c r="D10184"/>
    </row>
    <row r="10185" spans="4:4" x14ac:dyDescent="0.25">
      <c r="D10185"/>
    </row>
    <row r="10186" spans="4:4" x14ac:dyDescent="0.25">
      <c r="D10186"/>
    </row>
    <row r="10187" spans="4:4" x14ac:dyDescent="0.25">
      <c r="D10187"/>
    </row>
    <row r="10188" spans="4:4" x14ac:dyDescent="0.25">
      <c r="D10188"/>
    </row>
    <row r="10189" spans="4:4" x14ac:dyDescent="0.25">
      <c r="D10189"/>
    </row>
    <row r="10190" spans="4:4" x14ac:dyDescent="0.25">
      <c r="D10190"/>
    </row>
    <row r="10191" spans="4:4" x14ac:dyDescent="0.25">
      <c r="D10191"/>
    </row>
    <row r="10192" spans="4:4" x14ac:dyDescent="0.25">
      <c r="D10192"/>
    </row>
    <row r="10193" spans="4:4" x14ac:dyDescent="0.25">
      <c r="D10193"/>
    </row>
    <row r="10194" spans="4:4" x14ac:dyDescent="0.25">
      <c r="D10194"/>
    </row>
    <row r="10195" spans="4:4" x14ac:dyDescent="0.25">
      <c r="D10195"/>
    </row>
    <row r="10196" spans="4:4" x14ac:dyDescent="0.25">
      <c r="D10196"/>
    </row>
    <row r="10197" spans="4:4" x14ac:dyDescent="0.25">
      <c r="D10197"/>
    </row>
    <row r="10198" spans="4:4" x14ac:dyDescent="0.25">
      <c r="D10198"/>
    </row>
    <row r="10199" spans="4:4" x14ac:dyDescent="0.25">
      <c r="D10199"/>
    </row>
    <row r="10200" spans="4:4" x14ac:dyDescent="0.25">
      <c r="D10200"/>
    </row>
    <row r="10201" spans="4:4" x14ac:dyDescent="0.25">
      <c r="D10201"/>
    </row>
    <row r="10202" spans="4:4" x14ac:dyDescent="0.25">
      <c r="D10202"/>
    </row>
    <row r="10203" spans="4:4" x14ac:dyDescent="0.25">
      <c r="D10203"/>
    </row>
    <row r="10204" spans="4:4" x14ac:dyDescent="0.25">
      <c r="D10204"/>
    </row>
    <row r="10205" spans="4:4" x14ac:dyDescent="0.25">
      <c r="D10205"/>
    </row>
    <row r="10206" spans="4:4" x14ac:dyDescent="0.25">
      <c r="D10206"/>
    </row>
    <row r="10207" spans="4:4" x14ac:dyDescent="0.25">
      <c r="D10207"/>
    </row>
    <row r="10208" spans="4:4" x14ac:dyDescent="0.25">
      <c r="D10208"/>
    </row>
    <row r="10209" spans="4:4" x14ac:dyDescent="0.25">
      <c r="D10209"/>
    </row>
    <row r="10210" spans="4:4" x14ac:dyDescent="0.25">
      <c r="D10210"/>
    </row>
    <row r="10211" spans="4:4" x14ac:dyDescent="0.25">
      <c r="D10211"/>
    </row>
    <row r="10212" spans="4:4" x14ac:dyDescent="0.25">
      <c r="D10212"/>
    </row>
    <row r="10213" spans="4:4" x14ac:dyDescent="0.25">
      <c r="D10213"/>
    </row>
    <row r="10214" spans="4:4" x14ac:dyDescent="0.25">
      <c r="D10214"/>
    </row>
    <row r="10215" spans="4:4" x14ac:dyDescent="0.25">
      <c r="D10215"/>
    </row>
    <row r="10216" spans="4:4" x14ac:dyDescent="0.25">
      <c r="D10216"/>
    </row>
    <row r="10217" spans="4:4" x14ac:dyDescent="0.25">
      <c r="D10217"/>
    </row>
    <row r="10218" spans="4:4" x14ac:dyDescent="0.25">
      <c r="D10218"/>
    </row>
    <row r="10219" spans="4:4" x14ac:dyDescent="0.25">
      <c r="D10219"/>
    </row>
    <row r="10220" spans="4:4" x14ac:dyDescent="0.25">
      <c r="D10220"/>
    </row>
    <row r="10221" spans="4:4" x14ac:dyDescent="0.25">
      <c r="D10221"/>
    </row>
    <row r="10222" spans="4:4" x14ac:dyDescent="0.25">
      <c r="D10222"/>
    </row>
    <row r="10223" spans="4:4" x14ac:dyDescent="0.25">
      <c r="D10223"/>
    </row>
    <row r="10224" spans="4:4" x14ac:dyDescent="0.25">
      <c r="D10224"/>
    </row>
    <row r="10225" spans="4:4" x14ac:dyDescent="0.25">
      <c r="D10225"/>
    </row>
    <row r="10226" spans="4:4" x14ac:dyDescent="0.25">
      <c r="D10226"/>
    </row>
    <row r="10227" spans="4:4" x14ac:dyDescent="0.25">
      <c r="D10227"/>
    </row>
    <row r="10228" spans="4:4" x14ac:dyDescent="0.25">
      <c r="D10228"/>
    </row>
    <row r="10229" spans="4:4" x14ac:dyDescent="0.25">
      <c r="D10229"/>
    </row>
    <row r="10230" spans="4:4" x14ac:dyDescent="0.25">
      <c r="D10230"/>
    </row>
    <row r="10231" spans="4:4" x14ac:dyDescent="0.25">
      <c r="D10231"/>
    </row>
    <row r="10232" spans="4:4" x14ac:dyDescent="0.25">
      <c r="D10232"/>
    </row>
    <row r="10233" spans="4:4" x14ac:dyDescent="0.25">
      <c r="D10233"/>
    </row>
    <row r="10234" spans="4:4" x14ac:dyDescent="0.25">
      <c r="D10234"/>
    </row>
    <row r="10235" spans="4:4" x14ac:dyDescent="0.25">
      <c r="D10235"/>
    </row>
    <row r="10236" spans="4:4" x14ac:dyDescent="0.25">
      <c r="D10236"/>
    </row>
    <row r="10237" spans="4:4" x14ac:dyDescent="0.25">
      <c r="D10237"/>
    </row>
    <row r="10238" spans="4:4" x14ac:dyDescent="0.25">
      <c r="D10238"/>
    </row>
    <row r="10239" spans="4:4" x14ac:dyDescent="0.25">
      <c r="D10239"/>
    </row>
    <row r="10240" spans="4:4" x14ac:dyDescent="0.25">
      <c r="D10240"/>
    </row>
    <row r="10241" spans="4:4" x14ac:dyDescent="0.25">
      <c r="D10241"/>
    </row>
    <row r="10242" spans="4:4" x14ac:dyDescent="0.25">
      <c r="D10242"/>
    </row>
    <row r="10243" spans="4:4" x14ac:dyDescent="0.25">
      <c r="D10243"/>
    </row>
    <row r="10244" spans="4:4" x14ac:dyDescent="0.25">
      <c r="D10244"/>
    </row>
    <row r="10245" spans="4:4" x14ac:dyDescent="0.25">
      <c r="D10245"/>
    </row>
    <row r="10246" spans="4:4" x14ac:dyDescent="0.25">
      <c r="D10246"/>
    </row>
    <row r="10247" spans="4:4" x14ac:dyDescent="0.25">
      <c r="D10247"/>
    </row>
    <row r="10248" spans="4:4" x14ac:dyDescent="0.25">
      <c r="D10248"/>
    </row>
    <row r="10249" spans="4:4" x14ac:dyDescent="0.25">
      <c r="D10249"/>
    </row>
    <row r="10250" spans="4:4" x14ac:dyDescent="0.25">
      <c r="D10250"/>
    </row>
    <row r="10251" spans="4:4" x14ac:dyDescent="0.25">
      <c r="D10251"/>
    </row>
    <row r="10252" spans="4:4" x14ac:dyDescent="0.25">
      <c r="D10252"/>
    </row>
    <row r="10253" spans="4:4" x14ac:dyDescent="0.25">
      <c r="D10253"/>
    </row>
    <row r="10254" spans="4:4" x14ac:dyDescent="0.25">
      <c r="D10254"/>
    </row>
    <row r="10255" spans="4:4" x14ac:dyDescent="0.25">
      <c r="D10255"/>
    </row>
    <row r="10256" spans="4:4" x14ac:dyDescent="0.25">
      <c r="D10256"/>
    </row>
    <row r="10257" spans="4:4" x14ac:dyDescent="0.25">
      <c r="D10257"/>
    </row>
    <row r="10258" spans="4:4" x14ac:dyDescent="0.25">
      <c r="D10258"/>
    </row>
    <row r="10259" spans="4:4" x14ac:dyDescent="0.25">
      <c r="D10259"/>
    </row>
    <row r="10260" spans="4:4" x14ac:dyDescent="0.25">
      <c r="D10260"/>
    </row>
    <row r="10261" spans="4:4" x14ac:dyDescent="0.25">
      <c r="D10261"/>
    </row>
    <row r="10262" spans="4:4" x14ac:dyDescent="0.25">
      <c r="D10262"/>
    </row>
    <row r="10263" spans="4:4" x14ac:dyDescent="0.25">
      <c r="D10263"/>
    </row>
    <row r="10264" spans="4:4" x14ac:dyDescent="0.25">
      <c r="D10264"/>
    </row>
    <row r="10265" spans="4:4" x14ac:dyDescent="0.25">
      <c r="D10265"/>
    </row>
    <row r="10266" spans="4:4" x14ac:dyDescent="0.25">
      <c r="D10266"/>
    </row>
    <row r="10267" spans="4:4" x14ac:dyDescent="0.25">
      <c r="D10267"/>
    </row>
    <row r="10268" spans="4:4" x14ac:dyDescent="0.25">
      <c r="D10268"/>
    </row>
    <row r="10269" spans="4:4" x14ac:dyDescent="0.25">
      <c r="D10269"/>
    </row>
    <row r="10270" spans="4:4" x14ac:dyDescent="0.25">
      <c r="D10270"/>
    </row>
    <row r="10271" spans="4:4" x14ac:dyDescent="0.25">
      <c r="D10271"/>
    </row>
    <row r="10272" spans="4:4" x14ac:dyDescent="0.25">
      <c r="D10272"/>
    </row>
    <row r="10273" spans="4:4" x14ac:dyDescent="0.25">
      <c r="D10273"/>
    </row>
    <row r="10274" spans="4:4" x14ac:dyDescent="0.25">
      <c r="D10274"/>
    </row>
    <row r="10275" spans="4:4" x14ac:dyDescent="0.25">
      <c r="D10275"/>
    </row>
    <row r="10276" spans="4:4" x14ac:dyDescent="0.25">
      <c r="D10276"/>
    </row>
    <row r="10277" spans="4:4" x14ac:dyDescent="0.25">
      <c r="D10277"/>
    </row>
    <row r="10278" spans="4:4" x14ac:dyDescent="0.25">
      <c r="D10278"/>
    </row>
    <row r="10279" spans="4:4" x14ac:dyDescent="0.25">
      <c r="D10279"/>
    </row>
    <row r="10280" spans="4:4" x14ac:dyDescent="0.25">
      <c r="D10280"/>
    </row>
    <row r="10281" spans="4:4" x14ac:dyDescent="0.25">
      <c r="D10281"/>
    </row>
    <row r="10282" spans="4:4" x14ac:dyDescent="0.25">
      <c r="D10282"/>
    </row>
    <row r="10283" spans="4:4" x14ac:dyDescent="0.25">
      <c r="D10283"/>
    </row>
    <row r="10284" spans="4:4" x14ac:dyDescent="0.25">
      <c r="D10284"/>
    </row>
    <row r="10285" spans="4:4" x14ac:dyDescent="0.25">
      <c r="D10285"/>
    </row>
    <row r="10286" spans="4:4" x14ac:dyDescent="0.25">
      <c r="D10286"/>
    </row>
    <row r="10287" spans="4:4" x14ac:dyDescent="0.25">
      <c r="D10287"/>
    </row>
    <row r="10288" spans="4:4" x14ac:dyDescent="0.25">
      <c r="D10288"/>
    </row>
    <row r="10289" spans="4:4" x14ac:dyDescent="0.25">
      <c r="D10289"/>
    </row>
    <row r="10290" spans="4:4" x14ac:dyDescent="0.25">
      <c r="D10290"/>
    </row>
    <row r="10291" spans="4:4" x14ac:dyDescent="0.25">
      <c r="D10291"/>
    </row>
    <row r="10292" spans="4:4" x14ac:dyDescent="0.25">
      <c r="D10292"/>
    </row>
    <row r="10293" spans="4:4" x14ac:dyDescent="0.25">
      <c r="D10293"/>
    </row>
    <row r="10294" spans="4:4" x14ac:dyDescent="0.25">
      <c r="D10294"/>
    </row>
    <row r="10295" spans="4:4" x14ac:dyDescent="0.25">
      <c r="D10295"/>
    </row>
    <row r="10296" spans="4:4" x14ac:dyDescent="0.25">
      <c r="D10296"/>
    </row>
    <row r="10297" spans="4:4" x14ac:dyDescent="0.25">
      <c r="D10297"/>
    </row>
    <row r="10298" spans="4:4" x14ac:dyDescent="0.25">
      <c r="D10298"/>
    </row>
    <row r="10299" spans="4:4" x14ac:dyDescent="0.25">
      <c r="D10299"/>
    </row>
    <row r="10300" spans="4:4" x14ac:dyDescent="0.25">
      <c r="D10300"/>
    </row>
    <row r="10301" spans="4:4" x14ac:dyDescent="0.25">
      <c r="D10301"/>
    </row>
    <row r="10302" spans="4:4" x14ac:dyDescent="0.25">
      <c r="D10302"/>
    </row>
    <row r="10303" spans="4:4" x14ac:dyDescent="0.25">
      <c r="D10303"/>
    </row>
    <row r="10304" spans="4:4" x14ac:dyDescent="0.25">
      <c r="D10304"/>
    </row>
    <row r="10305" spans="4:4" x14ac:dyDescent="0.25">
      <c r="D10305"/>
    </row>
    <row r="10306" spans="4:4" x14ac:dyDescent="0.25">
      <c r="D10306"/>
    </row>
    <row r="10307" spans="4:4" x14ac:dyDescent="0.25">
      <c r="D10307"/>
    </row>
    <row r="10308" spans="4:4" x14ac:dyDescent="0.25">
      <c r="D10308"/>
    </row>
    <row r="10309" spans="4:4" x14ac:dyDescent="0.25">
      <c r="D10309"/>
    </row>
    <row r="10310" spans="4:4" x14ac:dyDescent="0.25">
      <c r="D10310"/>
    </row>
    <row r="10311" spans="4:4" x14ac:dyDescent="0.25">
      <c r="D10311"/>
    </row>
    <row r="10312" spans="4:4" x14ac:dyDescent="0.25">
      <c r="D10312"/>
    </row>
    <row r="10313" spans="4:4" x14ac:dyDescent="0.25">
      <c r="D10313"/>
    </row>
    <row r="10314" spans="4:4" x14ac:dyDescent="0.25">
      <c r="D10314"/>
    </row>
    <row r="10315" spans="4:4" x14ac:dyDescent="0.25">
      <c r="D10315"/>
    </row>
    <row r="10316" spans="4:4" x14ac:dyDescent="0.25">
      <c r="D10316"/>
    </row>
    <row r="10317" spans="4:4" x14ac:dyDescent="0.25">
      <c r="D10317"/>
    </row>
    <row r="10318" spans="4:4" x14ac:dyDescent="0.25">
      <c r="D10318"/>
    </row>
    <row r="10319" spans="4:4" x14ac:dyDescent="0.25">
      <c r="D10319"/>
    </row>
    <row r="10320" spans="4:4" x14ac:dyDescent="0.25">
      <c r="D10320"/>
    </row>
    <row r="10321" spans="4:4" x14ac:dyDescent="0.25">
      <c r="D10321"/>
    </row>
    <row r="10322" spans="4:4" x14ac:dyDescent="0.25">
      <c r="D10322"/>
    </row>
    <row r="10323" spans="4:4" x14ac:dyDescent="0.25">
      <c r="D10323"/>
    </row>
    <row r="10324" spans="4:4" x14ac:dyDescent="0.25">
      <c r="D10324"/>
    </row>
    <row r="10325" spans="4:4" x14ac:dyDescent="0.25">
      <c r="D10325"/>
    </row>
    <row r="10326" spans="4:4" x14ac:dyDescent="0.25">
      <c r="D10326"/>
    </row>
    <row r="10327" spans="4:4" x14ac:dyDescent="0.25">
      <c r="D10327"/>
    </row>
    <row r="10328" spans="4:4" x14ac:dyDescent="0.25">
      <c r="D10328"/>
    </row>
    <row r="10329" spans="4:4" x14ac:dyDescent="0.25">
      <c r="D10329"/>
    </row>
    <row r="10330" spans="4:4" x14ac:dyDescent="0.25">
      <c r="D10330"/>
    </row>
    <row r="10331" spans="4:4" x14ac:dyDescent="0.25">
      <c r="D10331"/>
    </row>
    <row r="10332" spans="4:4" x14ac:dyDescent="0.25">
      <c r="D10332"/>
    </row>
    <row r="10333" spans="4:4" x14ac:dyDescent="0.25">
      <c r="D10333"/>
    </row>
    <row r="10334" spans="4:4" x14ac:dyDescent="0.25">
      <c r="D10334"/>
    </row>
    <row r="10335" spans="4:4" x14ac:dyDescent="0.25">
      <c r="D10335"/>
    </row>
    <row r="10336" spans="4:4" x14ac:dyDescent="0.25">
      <c r="D10336"/>
    </row>
    <row r="10337" spans="4:4" x14ac:dyDescent="0.25">
      <c r="D10337"/>
    </row>
    <row r="10338" spans="4:4" x14ac:dyDescent="0.25">
      <c r="D10338"/>
    </row>
    <row r="10339" spans="4:4" x14ac:dyDescent="0.25">
      <c r="D10339"/>
    </row>
    <row r="10340" spans="4:4" x14ac:dyDescent="0.25">
      <c r="D10340"/>
    </row>
    <row r="10341" spans="4:4" x14ac:dyDescent="0.25">
      <c r="D10341"/>
    </row>
    <row r="10342" spans="4:4" x14ac:dyDescent="0.25">
      <c r="D10342"/>
    </row>
    <row r="10343" spans="4:4" x14ac:dyDescent="0.25">
      <c r="D10343"/>
    </row>
    <row r="10344" spans="4:4" x14ac:dyDescent="0.25">
      <c r="D10344"/>
    </row>
    <row r="10345" spans="4:4" x14ac:dyDescent="0.25">
      <c r="D10345"/>
    </row>
    <row r="10346" spans="4:4" x14ac:dyDescent="0.25">
      <c r="D10346"/>
    </row>
    <row r="10347" spans="4:4" x14ac:dyDescent="0.25">
      <c r="D10347"/>
    </row>
    <row r="10348" spans="4:4" x14ac:dyDescent="0.25">
      <c r="D10348"/>
    </row>
    <row r="10349" spans="4:4" x14ac:dyDescent="0.25">
      <c r="D10349"/>
    </row>
    <row r="10350" spans="4:4" x14ac:dyDescent="0.25">
      <c r="D10350"/>
    </row>
    <row r="10351" spans="4:4" x14ac:dyDescent="0.25">
      <c r="D10351"/>
    </row>
    <row r="10352" spans="4:4" x14ac:dyDescent="0.25">
      <c r="D10352"/>
    </row>
    <row r="10353" spans="4:4" x14ac:dyDescent="0.25">
      <c r="D10353"/>
    </row>
    <row r="10354" spans="4:4" x14ac:dyDescent="0.25">
      <c r="D10354"/>
    </row>
    <row r="10355" spans="4:4" x14ac:dyDescent="0.25">
      <c r="D10355"/>
    </row>
    <row r="10356" spans="4:4" x14ac:dyDescent="0.25">
      <c r="D10356"/>
    </row>
    <row r="10357" spans="4:4" x14ac:dyDescent="0.25">
      <c r="D10357"/>
    </row>
    <row r="10358" spans="4:4" x14ac:dyDescent="0.25">
      <c r="D10358"/>
    </row>
    <row r="10359" spans="4:4" x14ac:dyDescent="0.25">
      <c r="D10359"/>
    </row>
    <row r="10360" spans="4:4" x14ac:dyDescent="0.25">
      <c r="D10360"/>
    </row>
    <row r="10361" spans="4:4" x14ac:dyDescent="0.25">
      <c r="D10361"/>
    </row>
    <row r="10362" spans="4:4" x14ac:dyDescent="0.25">
      <c r="D10362"/>
    </row>
    <row r="10363" spans="4:4" x14ac:dyDescent="0.25">
      <c r="D10363"/>
    </row>
    <row r="10364" spans="4:4" x14ac:dyDescent="0.25">
      <c r="D10364"/>
    </row>
    <row r="10365" spans="4:4" x14ac:dyDescent="0.25">
      <c r="D10365"/>
    </row>
    <row r="10366" spans="4:4" x14ac:dyDescent="0.25">
      <c r="D10366"/>
    </row>
    <row r="10367" spans="4:4" x14ac:dyDescent="0.25">
      <c r="D10367"/>
    </row>
    <row r="10368" spans="4:4" x14ac:dyDescent="0.25">
      <c r="D10368"/>
    </row>
    <row r="10369" spans="4:4" x14ac:dyDescent="0.25">
      <c r="D10369"/>
    </row>
    <row r="10370" spans="4:4" x14ac:dyDescent="0.25">
      <c r="D10370"/>
    </row>
    <row r="10371" spans="4:4" x14ac:dyDescent="0.25">
      <c r="D10371"/>
    </row>
    <row r="10372" spans="4:4" x14ac:dyDescent="0.25">
      <c r="D10372"/>
    </row>
    <row r="10373" spans="4:4" x14ac:dyDescent="0.25">
      <c r="D10373"/>
    </row>
    <row r="10374" spans="4:4" x14ac:dyDescent="0.25">
      <c r="D10374"/>
    </row>
    <row r="10375" spans="4:4" x14ac:dyDescent="0.25">
      <c r="D10375"/>
    </row>
    <row r="10376" spans="4:4" x14ac:dyDescent="0.25">
      <c r="D10376"/>
    </row>
    <row r="10377" spans="4:4" x14ac:dyDescent="0.25">
      <c r="D10377"/>
    </row>
    <row r="10378" spans="4:4" x14ac:dyDescent="0.25">
      <c r="D10378"/>
    </row>
    <row r="10379" spans="4:4" x14ac:dyDescent="0.25">
      <c r="D10379"/>
    </row>
    <row r="10380" spans="4:4" x14ac:dyDescent="0.25">
      <c r="D10380"/>
    </row>
    <row r="10381" spans="4:4" x14ac:dyDescent="0.25">
      <c r="D10381"/>
    </row>
    <row r="10382" spans="4:4" x14ac:dyDescent="0.25">
      <c r="D10382"/>
    </row>
    <row r="10383" spans="4:4" x14ac:dyDescent="0.25">
      <c r="D10383"/>
    </row>
    <row r="10384" spans="4:4" x14ac:dyDescent="0.25">
      <c r="D10384"/>
    </row>
    <row r="10385" spans="4:4" x14ac:dyDescent="0.25">
      <c r="D10385"/>
    </row>
    <row r="10386" spans="4:4" x14ac:dyDescent="0.25">
      <c r="D10386"/>
    </row>
    <row r="10387" spans="4:4" x14ac:dyDescent="0.25">
      <c r="D10387"/>
    </row>
    <row r="10388" spans="4:4" x14ac:dyDescent="0.25">
      <c r="D10388"/>
    </row>
    <row r="10389" spans="4:4" x14ac:dyDescent="0.25">
      <c r="D10389"/>
    </row>
    <row r="10390" spans="4:4" x14ac:dyDescent="0.25">
      <c r="D10390"/>
    </row>
    <row r="10391" spans="4:4" x14ac:dyDescent="0.25">
      <c r="D10391"/>
    </row>
    <row r="10392" spans="4:4" x14ac:dyDescent="0.25">
      <c r="D10392"/>
    </row>
    <row r="10393" spans="4:4" x14ac:dyDescent="0.25">
      <c r="D10393"/>
    </row>
    <row r="10394" spans="4:4" x14ac:dyDescent="0.25">
      <c r="D10394"/>
    </row>
    <row r="10395" spans="4:4" x14ac:dyDescent="0.25">
      <c r="D10395"/>
    </row>
    <row r="10396" spans="4:4" x14ac:dyDescent="0.25">
      <c r="D10396"/>
    </row>
    <row r="10397" spans="4:4" x14ac:dyDescent="0.25">
      <c r="D10397"/>
    </row>
    <row r="10398" spans="4:4" x14ac:dyDescent="0.25">
      <c r="D10398"/>
    </row>
    <row r="10399" spans="4:4" x14ac:dyDescent="0.25">
      <c r="D10399"/>
    </row>
    <row r="10400" spans="4:4" x14ac:dyDescent="0.25">
      <c r="D10400"/>
    </row>
    <row r="10401" spans="4:4" x14ac:dyDescent="0.25">
      <c r="D10401"/>
    </row>
    <row r="10402" spans="4:4" x14ac:dyDescent="0.25">
      <c r="D10402"/>
    </row>
    <row r="10403" spans="4:4" x14ac:dyDescent="0.25">
      <c r="D10403"/>
    </row>
    <row r="10404" spans="4:4" x14ac:dyDescent="0.25">
      <c r="D10404"/>
    </row>
    <row r="10405" spans="4:4" x14ac:dyDescent="0.25">
      <c r="D10405"/>
    </row>
    <row r="10406" spans="4:4" x14ac:dyDescent="0.25">
      <c r="D10406"/>
    </row>
    <row r="10407" spans="4:4" x14ac:dyDescent="0.25">
      <c r="D10407"/>
    </row>
    <row r="10408" spans="4:4" x14ac:dyDescent="0.25">
      <c r="D10408"/>
    </row>
    <row r="10409" spans="4:4" x14ac:dyDescent="0.25">
      <c r="D10409"/>
    </row>
    <row r="10410" spans="4:4" x14ac:dyDescent="0.25">
      <c r="D10410"/>
    </row>
    <row r="10411" spans="4:4" x14ac:dyDescent="0.25">
      <c r="D10411"/>
    </row>
    <row r="10412" spans="4:4" x14ac:dyDescent="0.25">
      <c r="D10412"/>
    </row>
    <row r="10413" spans="4:4" x14ac:dyDescent="0.25">
      <c r="D10413"/>
    </row>
    <row r="10414" spans="4:4" x14ac:dyDescent="0.25">
      <c r="D10414"/>
    </row>
    <row r="10415" spans="4:4" x14ac:dyDescent="0.25">
      <c r="D10415"/>
    </row>
    <row r="10416" spans="4:4" x14ac:dyDescent="0.25">
      <c r="D10416"/>
    </row>
    <row r="10417" spans="4:4" x14ac:dyDescent="0.25">
      <c r="D10417"/>
    </row>
    <row r="10418" spans="4:4" x14ac:dyDescent="0.25">
      <c r="D10418"/>
    </row>
    <row r="10419" spans="4:4" x14ac:dyDescent="0.25">
      <c r="D10419"/>
    </row>
    <row r="10420" spans="4:4" x14ac:dyDescent="0.25">
      <c r="D10420"/>
    </row>
    <row r="10421" spans="4:4" x14ac:dyDescent="0.25">
      <c r="D10421"/>
    </row>
    <row r="10422" spans="4:4" x14ac:dyDescent="0.25">
      <c r="D10422"/>
    </row>
    <row r="10423" spans="4:4" x14ac:dyDescent="0.25">
      <c r="D10423"/>
    </row>
    <row r="10424" spans="4:4" x14ac:dyDescent="0.25">
      <c r="D10424"/>
    </row>
    <row r="10425" spans="4:4" x14ac:dyDescent="0.25">
      <c r="D10425"/>
    </row>
    <row r="10426" spans="4:4" x14ac:dyDescent="0.25">
      <c r="D10426"/>
    </row>
    <row r="10427" spans="4:4" x14ac:dyDescent="0.25">
      <c r="D10427"/>
    </row>
    <row r="10428" spans="4:4" x14ac:dyDescent="0.25">
      <c r="D10428"/>
    </row>
    <row r="10429" spans="4:4" x14ac:dyDescent="0.25">
      <c r="D10429"/>
    </row>
    <row r="10430" spans="4:4" x14ac:dyDescent="0.25">
      <c r="D10430"/>
    </row>
    <row r="10431" spans="4:4" x14ac:dyDescent="0.25">
      <c r="D10431"/>
    </row>
    <row r="10432" spans="4:4" x14ac:dyDescent="0.25">
      <c r="D10432"/>
    </row>
    <row r="10433" spans="4:4" x14ac:dyDescent="0.25">
      <c r="D10433"/>
    </row>
    <row r="10434" spans="4:4" x14ac:dyDescent="0.25">
      <c r="D10434"/>
    </row>
    <row r="10435" spans="4:4" x14ac:dyDescent="0.25">
      <c r="D10435"/>
    </row>
    <row r="10436" spans="4:4" x14ac:dyDescent="0.25">
      <c r="D10436"/>
    </row>
    <row r="10437" spans="4:4" x14ac:dyDescent="0.25">
      <c r="D10437"/>
    </row>
    <row r="10438" spans="4:4" x14ac:dyDescent="0.25">
      <c r="D10438"/>
    </row>
    <row r="10439" spans="4:4" x14ac:dyDescent="0.25">
      <c r="D10439"/>
    </row>
    <row r="10440" spans="4:4" x14ac:dyDescent="0.25">
      <c r="D10440"/>
    </row>
    <row r="10441" spans="4:4" x14ac:dyDescent="0.25">
      <c r="D10441"/>
    </row>
    <row r="10442" spans="4:4" x14ac:dyDescent="0.25">
      <c r="D10442"/>
    </row>
    <row r="10443" spans="4:4" x14ac:dyDescent="0.25">
      <c r="D10443"/>
    </row>
    <row r="10444" spans="4:4" x14ac:dyDescent="0.25">
      <c r="D10444"/>
    </row>
    <row r="10445" spans="4:4" x14ac:dyDescent="0.25">
      <c r="D10445"/>
    </row>
    <row r="10446" spans="4:4" x14ac:dyDescent="0.25">
      <c r="D10446"/>
    </row>
    <row r="10447" spans="4:4" x14ac:dyDescent="0.25">
      <c r="D10447"/>
    </row>
    <row r="10448" spans="4:4" x14ac:dyDescent="0.25">
      <c r="D10448"/>
    </row>
    <row r="10449" spans="4:4" x14ac:dyDescent="0.25">
      <c r="D10449"/>
    </row>
    <row r="10450" spans="4:4" x14ac:dyDescent="0.25">
      <c r="D10450"/>
    </row>
    <row r="10451" spans="4:4" x14ac:dyDescent="0.25">
      <c r="D10451"/>
    </row>
    <row r="10452" spans="4:4" x14ac:dyDescent="0.25">
      <c r="D10452"/>
    </row>
    <row r="10453" spans="4:4" x14ac:dyDescent="0.25">
      <c r="D10453"/>
    </row>
    <row r="10454" spans="4:4" x14ac:dyDescent="0.25">
      <c r="D10454"/>
    </row>
    <row r="10455" spans="4:4" x14ac:dyDescent="0.25">
      <c r="D10455"/>
    </row>
    <row r="10456" spans="4:4" x14ac:dyDescent="0.25">
      <c r="D10456"/>
    </row>
    <row r="10457" spans="4:4" x14ac:dyDescent="0.25">
      <c r="D10457"/>
    </row>
    <row r="10458" spans="4:4" x14ac:dyDescent="0.25">
      <c r="D10458"/>
    </row>
    <row r="10459" spans="4:4" x14ac:dyDescent="0.25">
      <c r="D10459"/>
    </row>
    <row r="10460" spans="4:4" x14ac:dyDescent="0.25">
      <c r="D10460"/>
    </row>
    <row r="10461" spans="4:4" x14ac:dyDescent="0.25">
      <c r="D10461"/>
    </row>
    <row r="10462" spans="4:4" x14ac:dyDescent="0.25">
      <c r="D10462"/>
    </row>
    <row r="10463" spans="4:4" x14ac:dyDescent="0.25">
      <c r="D10463"/>
    </row>
    <row r="10464" spans="4:4" x14ac:dyDescent="0.25">
      <c r="D10464"/>
    </row>
    <row r="10465" spans="4:4" x14ac:dyDescent="0.25">
      <c r="D10465"/>
    </row>
    <row r="10466" spans="4:4" x14ac:dyDescent="0.25">
      <c r="D10466"/>
    </row>
    <row r="10467" spans="4:4" x14ac:dyDescent="0.25">
      <c r="D10467"/>
    </row>
    <row r="10468" spans="4:4" x14ac:dyDescent="0.25">
      <c r="D10468"/>
    </row>
    <row r="10469" spans="4:4" x14ac:dyDescent="0.25">
      <c r="D10469"/>
    </row>
    <row r="10470" spans="4:4" x14ac:dyDescent="0.25">
      <c r="D10470"/>
    </row>
    <row r="10471" spans="4:4" x14ac:dyDescent="0.25">
      <c r="D10471"/>
    </row>
    <row r="10472" spans="4:4" x14ac:dyDescent="0.25">
      <c r="D10472"/>
    </row>
    <row r="10473" spans="4:4" x14ac:dyDescent="0.25">
      <c r="D10473"/>
    </row>
    <row r="10474" spans="4:4" x14ac:dyDescent="0.25">
      <c r="D10474"/>
    </row>
    <row r="10475" spans="4:4" x14ac:dyDescent="0.25">
      <c r="D10475"/>
    </row>
    <row r="10476" spans="4:4" x14ac:dyDescent="0.25">
      <c r="D10476"/>
    </row>
    <row r="10477" spans="4:4" x14ac:dyDescent="0.25">
      <c r="D10477"/>
    </row>
    <row r="10478" spans="4:4" x14ac:dyDescent="0.25">
      <c r="D10478"/>
    </row>
    <row r="10479" spans="4:4" x14ac:dyDescent="0.25">
      <c r="D10479"/>
    </row>
    <row r="10480" spans="4:4" x14ac:dyDescent="0.25">
      <c r="D10480"/>
    </row>
    <row r="10481" spans="4:4" x14ac:dyDescent="0.25">
      <c r="D10481"/>
    </row>
    <row r="10482" spans="4:4" x14ac:dyDescent="0.25">
      <c r="D10482"/>
    </row>
    <row r="10483" spans="4:4" x14ac:dyDescent="0.25">
      <c r="D10483"/>
    </row>
    <row r="10484" spans="4:4" x14ac:dyDescent="0.25">
      <c r="D10484"/>
    </row>
    <row r="10485" spans="4:4" x14ac:dyDescent="0.25">
      <c r="D10485"/>
    </row>
    <row r="10486" spans="4:4" x14ac:dyDescent="0.25">
      <c r="D10486"/>
    </row>
    <row r="10487" spans="4:4" x14ac:dyDescent="0.25">
      <c r="D10487"/>
    </row>
    <row r="10488" spans="4:4" x14ac:dyDescent="0.25">
      <c r="D10488"/>
    </row>
    <row r="10489" spans="4:4" x14ac:dyDescent="0.25">
      <c r="D10489"/>
    </row>
    <row r="10490" spans="4:4" x14ac:dyDescent="0.25">
      <c r="D10490"/>
    </row>
    <row r="10491" spans="4:4" x14ac:dyDescent="0.25">
      <c r="D10491"/>
    </row>
    <row r="10492" spans="4:4" x14ac:dyDescent="0.25">
      <c r="D10492"/>
    </row>
    <row r="10493" spans="4:4" x14ac:dyDescent="0.25">
      <c r="D10493"/>
    </row>
    <row r="10494" spans="4:4" x14ac:dyDescent="0.25">
      <c r="D10494"/>
    </row>
    <row r="10495" spans="4:4" x14ac:dyDescent="0.25">
      <c r="D10495"/>
    </row>
    <row r="10496" spans="4:4" x14ac:dyDescent="0.25">
      <c r="D10496"/>
    </row>
    <row r="10497" spans="4:4" x14ac:dyDescent="0.25">
      <c r="D10497"/>
    </row>
    <row r="10498" spans="4:4" x14ac:dyDescent="0.25">
      <c r="D10498"/>
    </row>
    <row r="10499" spans="4:4" x14ac:dyDescent="0.25">
      <c r="D10499"/>
    </row>
    <row r="10500" spans="4:4" x14ac:dyDescent="0.25">
      <c r="D10500"/>
    </row>
    <row r="10501" spans="4:4" x14ac:dyDescent="0.25">
      <c r="D10501"/>
    </row>
    <row r="10502" spans="4:4" x14ac:dyDescent="0.25">
      <c r="D10502"/>
    </row>
    <row r="10503" spans="4:4" x14ac:dyDescent="0.25">
      <c r="D10503"/>
    </row>
    <row r="10504" spans="4:4" x14ac:dyDescent="0.25">
      <c r="D10504"/>
    </row>
    <row r="10505" spans="4:4" x14ac:dyDescent="0.25">
      <c r="D10505"/>
    </row>
    <row r="10506" spans="4:4" x14ac:dyDescent="0.25">
      <c r="D10506"/>
    </row>
    <row r="10507" spans="4:4" x14ac:dyDescent="0.25">
      <c r="D10507"/>
    </row>
    <row r="10508" spans="4:4" x14ac:dyDescent="0.25">
      <c r="D10508"/>
    </row>
    <row r="10509" spans="4:4" x14ac:dyDescent="0.25">
      <c r="D10509"/>
    </row>
    <row r="10510" spans="4:4" x14ac:dyDescent="0.25">
      <c r="D10510"/>
    </row>
    <row r="10511" spans="4:4" x14ac:dyDescent="0.25">
      <c r="D10511"/>
    </row>
    <row r="10512" spans="4:4" x14ac:dyDescent="0.25">
      <c r="D10512"/>
    </row>
    <row r="10513" spans="4:4" x14ac:dyDescent="0.25">
      <c r="D10513"/>
    </row>
    <row r="10514" spans="4:4" x14ac:dyDescent="0.25">
      <c r="D10514"/>
    </row>
    <row r="10515" spans="4:4" x14ac:dyDescent="0.25">
      <c r="D10515"/>
    </row>
    <row r="10516" spans="4:4" x14ac:dyDescent="0.25">
      <c r="D10516"/>
    </row>
    <row r="10517" spans="4:4" x14ac:dyDescent="0.25">
      <c r="D10517"/>
    </row>
    <row r="10518" spans="4:4" x14ac:dyDescent="0.25">
      <c r="D10518"/>
    </row>
    <row r="10519" spans="4:4" x14ac:dyDescent="0.25">
      <c r="D10519"/>
    </row>
    <row r="10520" spans="4:4" x14ac:dyDescent="0.25">
      <c r="D10520"/>
    </row>
    <row r="10521" spans="4:4" x14ac:dyDescent="0.25">
      <c r="D10521"/>
    </row>
    <row r="10522" spans="4:4" x14ac:dyDescent="0.25">
      <c r="D10522"/>
    </row>
    <row r="10523" spans="4:4" x14ac:dyDescent="0.25">
      <c r="D10523"/>
    </row>
    <row r="10524" spans="4:4" x14ac:dyDescent="0.25">
      <c r="D10524"/>
    </row>
    <row r="10525" spans="4:4" x14ac:dyDescent="0.25">
      <c r="D10525"/>
    </row>
    <row r="10526" spans="4:4" x14ac:dyDescent="0.25">
      <c r="D10526"/>
    </row>
    <row r="10527" spans="4:4" x14ac:dyDescent="0.25">
      <c r="D10527"/>
    </row>
    <row r="10528" spans="4:4" x14ac:dyDescent="0.25">
      <c r="D10528"/>
    </row>
    <row r="10529" spans="4:4" x14ac:dyDescent="0.25">
      <c r="D10529"/>
    </row>
    <row r="10530" spans="4:4" x14ac:dyDescent="0.25">
      <c r="D10530"/>
    </row>
    <row r="10531" spans="4:4" x14ac:dyDescent="0.25">
      <c r="D10531"/>
    </row>
    <row r="10532" spans="4:4" x14ac:dyDescent="0.25">
      <c r="D10532"/>
    </row>
    <row r="10533" spans="4:4" x14ac:dyDescent="0.25">
      <c r="D10533"/>
    </row>
    <row r="10534" spans="4:4" x14ac:dyDescent="0.25">
      <c r="D10534"/>
    </row>
    <row r="10535" spans="4:4" x14ac:dyDescent="0.25">
      <c r="D10535"/>
    </row>
    <row r="10536" spans="4:4" x14ac:dyDescent="0.25">
      <c r="D10536"/>
    </row>
    <row r="10537" spans="4:4" x14ac:dyDescent="0.25">
      <c r="D10537"/>
    </row>
    <row r="10538" spans="4:4" x14ac:dyDescent="0.25">
      <c r="D10538"/>
    </row>
    <row r="10539" spans="4:4" x14ac:dyDescent="0.25">
      <c r="D10539"/>
    </row>
    <row r="10540" spans="4:4" x14ac:dyDescent="0.25">
      <c r="D10540"/>
    </row>
    <row r="10541" spans="4:4" x14ac:dyDescent="0.25">
      <c r="D10541"/>
    </row>
    <row r="10542" spans="4:4" x14ac:dyDescent="0.25">
      <c r="D10542"/>
    </row>
    <row r="10543" spans="4:4" x14ac:dyDescent="0.25">
      <c r="D10543"/>
    </row>
    <row r="10544" spans="4:4" x14ac:dyDescent="0.25">
      <c r="D10544"/>
    </row>
    <row r="10545" spans="4:4" x14ac:dyDescent="0.25">
      <c r="D10545"/>
    </row>
    <row r="10546" spans="4:4" x14ac:dyDescent="0.25">
      <c r="D10546"/>
    </row>
    <row r="10547" spans="4:4" x14ac:dyDescent="0.25">
      <c r="D10547"/>
    </row>
    <row r="10548" spans="4:4" x14ac:dyDescent="0.25">
      <c r="D10548"/>
    </row>
    <row r="10549" spans="4:4" x14ac:dyDescent="0.25">
      <c r="D10549"/>
    </row>
    <row r="10550" spans="4:4" x14ac:dyDescent="0.25">
      <c r="D10550"/>
    </row>
    <row r="10551" spans="4:4" x14ac:dyDescent="0.25">
      <c r="D10551"/>
    </row>
    <row r="10552" spans="4:4" x14ac:dyDescent="0.25">
      <c r="D10552"/>
    </row>
    <row r="10553" spans="4:4" x14ac:dyDescent="0.25">
      <c r="D10553"/>
    </row>
    <row r="10554" spans="4:4" x14ac:dyDescent="0.25">
      <c r="D10554"/>
    </row>
    <row r="10555" spans="4:4" x14ac:dyDescent="0.25">
      <c r="D10555"/>
    </row>
    <row r="10556" spans="4:4" x14ac:dyDescent="0.25">
      <c r="D10556"/>
    </row>
    <row r="10557" spans="4:4" x14ac:dyDescent="0.25">
      <c r="D10557"/>
    </row>
    <row r="10558" spans="4:4" x14ac:dyDescent="0.25">
      <c r="D10558"/>
    </row>
    <row r="10559" spans="4:4" x14ac:dyDescent="0.25">
      <c r="D10559"/>
    </row>
    <row r="10560" spans="4:4" x14ac:dyDescent="0.25">
      <c r="D10560"/>
    </row>
    <row r="10561" spans="4:4" x14ac:dyDescent="0.25">
      <c r="D10561"/>
    </row>
    <row r="10562" spans="4:4" x14ac:dyDescent="0.25">
      <c r="D10562"/>
    </row>
    <row r="10563" spans="4:4" x14ac:dyDescent="0.25">
      <c r="D10563"/>
    </row>
    <row r="10564" spans="4:4" x14ac:dyDescent="0.25">
      <c r="D10564"/>
    </row>
    <row r="10565" spans="4:4" x14ac:dyDescent="0.25">
      <c r="D10565"/>
    </row>
    <row r="10566" spans="4:4" x14ac:dyDescent="0.25">
      <c r="D10566"/>
    </row>
    <row r="10567" spans="4:4" x14ac:dyDescent="0.25">
      <c r="D10567"/>
    </row>
    <row r="10568" spans="4:4" x14ac:dyDescent="0.25">
      <c r="D10568"/>
    </row>
    <row r="10569" spans="4:4" x14ac:dyDescent="0.25">
      <c r="D10569"/>
    </row>
    <row r="10570" spans="4:4" x14ac:dyDescent="0.25">
      <c r="D10570"/>
    </row>
    <row r="10571" spans="4:4" x14ac:dyDescent="0.25">
      <c r="D10571"/>
    </row>
    <row r="10572" spans="4:4" x14ac:dyDescent="0.25">
      <c r="D10572"/>
    </row>
    <row r="10573" spans="4:4" x14ac:dyDescent="0.25">
      <c r="D10573"/>
    </row>
    <row r="10574" spans="4:4" x14ac:dyDescent="0.25">
      <c r="D10574"/>
    </row>
    <row r="10575" spans="4:4" x14ac:dyDescent="0.25">
      <c r="D10575"/>
    </row>
    <row r="10576" spans="4:4" x14ac:dyDescent="0.25">
      <c r="D10576"/>
    </row>
    <row r="10577" spans="4:4" x14ac:dyDescent="0.25">
      <c r="D10577"/>
    </row>
    <row r="10578" spans="4:4" x14ac:dyDescent="0.25">
      <c r="D10578"/>
    </row>
    <row r="10579" spans="4:4" x14ac:dyDescent="0.25">
      <c r="D10579"/>
    </row>
    <row r="10580" spans="4:4" x14ac:dyDescent="0.25">
      <c r="D10580"/>
    </row>
    <row r="10581" spans="4:4" x14ac:dyDescent="0.25">
      <c r="D10581"/>
    </row>
    <row r="10582" spans="4:4" x14ac:dyDescent="0.25">
      <c r="D10582"/>
    </row>
    <row r="10583" spans="4:4" x14ac:dyDescent="0.25">
      <c r="D10583"/>
    </row>
    <row r="10584" spans="4:4" x14ac:dyDescent="0.25">
      <c r="D10584"/>
    </row>
    <row r="10585" spans="4:4" x14ac:dyDescent="0.25">
      <c r="D10585"/>
    </row>
    <row r="10586" spans="4:4" x14ac:dyDescent="0.25">
      <c r="D10586"/>
    </row>
    <row r="10587" spans="4:4" x14ac:dyDescent="0.25">
      <c r="D10587"/>
    </row>
    <row r="10588" spans="4:4" x14ac:dyDescent="0.25">
      <c r="D10588"/>
    </row>
    <row r="10589" spans="4:4" x14ac:dyDescent="0.25">
      <c r="D10589"/>
    </row>
    <row r="10590" spans="4:4" x14ac:dyDescent="0.25">
      <c r="D10590"/>
    </row>
    <row r="10591" spans="4:4" x14ac:dyDescent="0.25">
      <c r="D10591"/>
    </row>
    <row r="10592" spans="4:4" x14ac:dyDescent="0.25">
      <c r="D10592"/>
    </row>
    <row r="10593" spans="4:4" x14ac:dyDescent="0.25">
      <c r="D10593"/>
    </row>
    <row r="10594" spans="4:4" x14ac:dyDescent="0.25">
      <c r="D10594"/>
    </row>
    <row r="10595" spans="4:4" x14ac:dyDescent="0.25">
      <c r="D10595"/>
    </row>
    <row r="10596" spans="4:4" x14ac:dyDescent="0.25">
      <c r="D10596"/>
    </row>
    <row r="10597" spans="4:4" x14ac:dyDescent="0.25">
      <c r="D10597"/>
    </row>
    <row r="10598" spans="4:4" x14ac:dyDescent="0.25">
      <c r="D10598"/>
    </row>
    <row r="10599" spans="4:4" x14ac:dyDescent="0.25">
      <c r="D10599"/>
    </row>
    <row r="10600" spans="4:4" x14ac:dyDescent="0.25">
      <c r="D10600"/>
    </row>
    <row r="10601" spans="4:4" x14ac:dyDescent="0.25">
      <c r="D10601"/>
    </row>
    <row r="10602" spans="4:4" x14ac:dyDescent="0.25">
      <c r="D10602"/>
    </row>
    <row r="10603" spans="4:4" x14ac:dyDescent="0.25">
      <c r="D10603"/>
    </row>
    <row r="10604" spans="4:4" x14ac:dyDescent="0.25">
      <c r="D10604"/>
    </row>
    <row r="10605" spans="4:4" x14ac:dyDescent="0.25">
      <c r="D10605"/>
    </row>
    <row r="10606" spans="4:4" x14ac:dyDescent="0.25">
      <c r="D10606"/>
    </row>
    <row r="10607" spans="4:4" x14ac:dyDescent="0.25">
      <c r="D10607"/>
    </row>
    <row r="10608" spans="4:4" x14ac:dyDescent="0.25">
      <c r="D10608"/>
    </row>
    <row r="10609" spans="4:4" x14ac:dyDescent="0.25">
      <c r="D10609"/>
    </row>
    <row r="10610" spans="4:4" x14ac:dyDescent="0.25">
      <c r="D10610"/>
    </row>
    <row r="10611" spans="4:4" x14ac:dyDescent="0.25">
      <c r="D10611"/>
    </row>
    <row r="10612" spans="4:4" x14ac:dyDescent="0.25">
      <c r="D10612"/>
    </row>
    <row r="10613" spans="4:4" x14ac:dyDescent="0.25">
      <c r="D10613"/>
    </row>
    <row r="10614" spans="4:4" x14ac:dyDescent="0.25">
      <c r="D10614"/>
    </row>
    <row r="10615" spans="4:4" x14ac:dyDescent="0.25">
      <c r="D10615"/>
    </row>
    <row r="10616" spans="4:4" x14ac:dyDescent="0.25">
      <c r="D10616"/>
    </row>
    <row r="10617" spans="4:4" x14ac:dyDescent="0.25">
      <c r="D10617"/>
    </row>
    <row r="10618" spans="4:4" x14ac:dyDescent="0.25">
      <c r="D10618"/>
    </row>
    <row r="10619" spans="4:4" x14ac:dyDescent="0.25">
      <c r="D10619"/>
    </row>
    <row r="10620" spans="4:4" x14ac:dyDescent="0.25">
      <c r="D10620"/>
    </row>
    <row r="10621" spans="4:4" x14ac:dyDescent="0.25">
      <c r="D10621"/>
    </row>
    <row r="10622" spans="4:4" x14ac:dyDescent="0.25">
      <c r="D10622"/>
    </row>
    <row r="10623" spans="4:4" x14ac:dyDescent="0.25">
      <c r="D10623"/>
    </row>
    <row r="10624" spans="4:4" x14ac:dyDescent="0.25">
      <c r="D10624"/>
    </row>
    <row r="10625" spans="4:4" x14ac:dyDescent="0.25">
      <c r="D10625"/>
    </row>
    <row r="10626" spans="4:4" x14ac:dyDescent="0.25">
      <c r="D10626"/>
    </row>
    <row r="10627" spans="4:4" x14ac:dyDescent="0.25">
      <c r="D10627"/>
    </row>
    <row r="10628" spans="4:4" x14ac:dyDescent="0.25">
      <c r="D10628"/>
    </row>
    <row r="10629" spans="4:4" x14ac:dyDescent="0.25">
      <c r="D10629"/>
    </row>
    <row r="10630" spans="4:4" x14ac:dyDescent="0.25">
      <c r="D10630"/>
    </row>
    <row r="10631" spans="4:4" x14ac:dyDescent="0.25">
      <c r="D10631"/>
    </row>
    <row r="10632" spans="4:4" x14ac:dyDescent="0.25">
      <c r="D10632"/>
    </row>
    <row r="10633" spans="4:4" x14ac:dyDescent="0.25">
      <c r="D10633"/>
    </row>
    <row r="10634" spans="4:4" x14ac:dyDescent="0.25">
      <c r="D10634"/>
    </row>
    <row r="10635" spans="4:4" x14ac:dyDescent="0.25">
      <c r="D10635"/>
    </row>
    <row r="10636" spans="4:4" x14ac:dyDescent="0.25">
      <c r="D10636"/>
    </row>
    <row r="10637" spans="4:4" x14ac:dyDescent="0.25">
      <c r="D10637"/>
    </row>
    <row r="10638" spans="4:4" x14ac:dyDescent="0.25">
      <c r="D10638"/>
    </row>
    <row r="10639" spans="4:4" x14ac:dyDescent="0.25">
      <c r="D10639"/>
    </row>
    <row r="10640" spans="4:4" x14ac:dyDescent="0.25">
      <c r="D10640"/>
    </row>
    <row r="10641" spans="4:4" x14ac:dyDescent="0.25">
      <c r="D10641"/>
    </row>
    <row r="10642" spans="4:4" x14ac:dyDescent="0.25">
      <c r="D10642"/>
    </row>
    <row r="10643" spans="4:4" x14ac:dyDescent="0.25">
      <c r="D10643"/>
    </row>
    <row r="10644" spans="4:4" x14ac:dyDescent="0.25">
      <c r="D10644"/>
    </row>
    <row r="10645" spans="4:4" x14ac:dyDescent="0.25">
      <c r="D10645"/>
    </row>
    <row r="10646" spans="4:4" x14ac:dyDescent="0.25">
      <c r="D10646"/>
    </row>
    <row r="10647" spans="4:4" x14ac:dyDescent="0.25">
      <c r="D10647"/>
    </row>
    <row r="10648" spans="4:4" x14ac:dyDescent="0.25">
      <c r="D10648"/>
    </row>
    <row r="10649" spans="4:4" x14ac:dyDescent="0.25">
      <c r="D10649"/>
    </row>
    <row r="10650" spans="4:4" x14ac:dyDescent="0.25">
      <c r="D10650"/>
    </row>
    <row r="10651" spans="4:4" x14ac:dyDescent="0.25">
      <c r="D10651"/>
    </row>
    <row r="10652" spans="4:4" x14ac:dyDescent="0.25">
      <c r="D10652"/>
    </row>
    <row r="10653" spans="4:4" x14ac:dyDescent="0.25">
      <c r="D10653"/>
    </row>
    <row r="10654" spans="4:4" x14ac:dyDescent="0.25">
      <c r="D10654"/>
    </row>
    <row r="10655" spans="4:4" x14ac:dyDescent="0.25">
      <c r="D10655"/>
    </row>
    <row r="10656" spans="4:4" x14ac:dyDescent="0.25">
      <c r="D10656"/>
    </row>
    <row r="10657" spans="4:4" x14ac:dyDescent="0.25">
      <c r="D10657"/>
    </row>
    <row r="10658" spans="4:4" x14ac:dyDescent="0.25">
      <c r="D10658"/>
    </row>
    <row r="10659" spans="4:4" x14ac:dyDescent="0.25">
      <c r="D10659"/>
    </row>
    <row r="10660" spans="4:4" x14ac:dyDescent="0.25">
      <c r="D10660"/>
    </row>
    <row r="10661" spans="4:4" x14ac:dyDescent="0.25">
      <c r="D10661"/>
    </row>
    <row r="10662" spans="4:4" x14ac:dyDescent="0.25">
      <c r="D10662"/>
    </row>
    <row r="10663" spans="4:4" x14ac:dyDescent="0.25">
      <c r="D10663"/>
    </row>
    <row r="10664" spans="4:4" x14ac:dyDescent="0.25">
      <c r="D10664"/>
    </row>
    <row r="10665" spans="4:4" x14ac:dyDescent="0.25">
      <c r="D10665"/>
    </row>
    <row r="10666" spans="4:4" x14ac:dyDescent="0.25">
      <c r="D10666"/>
    </row>
    <row r="10667" spans="4:4" x14ac:dyDescent="0.25">
      <c r="D10667"/>
    </row>
    <row r="10668" spans="4:4" x14ac:dyDescent="0.25">
      <c r="D10668"/>
    </row>
    <row r="10669" spans="4:4" x14ac:dyDescent="0.25">
      <c r="D10669"/>
    </row>
    <row r="10670" spans="4:4" x14ac:dyDescent="0.25">
      <c r="D10670"/>
    </row>
    <row r="10671" spans="4:4" x14ac:dyDescent="0.25">
      <c r="D10671"/>
    </row>
    <row r="10672" spans="4:4" x14ac:dyDescent="0.25">
      <c r="D10672"/>
    </row>
    <row r="10673" spans="4:4" x14ac:dyDescent="0.25">
      <c r="D10673"/>
    </row>
    <row r="10674" spans="4:4" x14ac:dyDescent="0.25">
      <c r="D10674"/>
    </row>
    <row r="10675" spans="4:4" x14ac:dyDescent="0.25">
      <c r="D10675"/>
    </row>
    <row r="10676" spans="4:4" x14ac:dyDescent="0.25">
      <c r="D10676"/>
    </row>
    <row r="10677" spans="4:4" x14ac:dyDescent="0.25">
      <c r="D10677"/>
    </row>
    <row r="10678" spans="4:4" x14ac:dyDescent="0.25">
      <c r="D10678"/>
    </row>
    <row r="10679" spans="4:4" x14ac:dyDescent="0.25">
      <c r="D10679"/>
    </row>
    <row r="10680" spans="4:4" x14ac:dyDescent="0.25">
      <c r="D10680"/>
    </row>
    <row r="10681" spans="4:4" x14ac:dyDescent="0.25">
      <c r="D10681"/>
    </row>
    <row r="10682" spans="4:4" x14ac:dyDescent="0.25">
      <c r="D10682"/>
    </row>
    <row r="10683" spans="4:4" x14ac:dyDescent="0.25">
      <c r="D10683"/>
    </row>
    <row r="10684" spans="4:4" x14ac:dyDescent="0.25">
      <c r="D10684"/>
    </row>
    <row r="10685" spans="4:4" x14ac:dyDescent="0.25">
      <c r="D10685"/>
    </row>
    <row r="10686" spans="4:4" x14ac:dyDescent="0.25">
      <c r="D10686"/>
    </row>
    <row r="10687" spans="4:4" x14ac:dyDescent="0.25">
      <c r="D10687"/>
    </row>
    <row r="10688" spans="4:4" x14ac:dyDescent="0.25">
      <c r="D10688"/>
    </row>
    <row r="10689" spans="4:4" x14ac:dyDescent="0.25">
      <c r="D10689"/>
    </row>
    <row r="10690" spans="4:4" x14ac:dyDescent="0.25">
      <c r="D10690"/>
    </row>
    <row r="10691" spans="4:4" x14ac:dyDescent="0.25">
      <c r="D10691"/>
    </row>
    <row r="10692" spans="4:4" x14ac:dyDescent="0.25">
      <c r="D10692"/>
    </row>
    <row r="10693" spans="4:4" x14ac:dyDescent="0.25">
      <c r="D10693"/>
    </row>
    <row r="10694" spans="4:4" x14ac:dyDescent="0.25">
      <c r="D10694"/>
    </row>
    <row r="10695" spans="4:4" x14ac:dyDescent="0.25">
      <c r="D10695"/>
    </row>
    <row r="10696" spans="4:4" x14ac:dyDescent="0.25">
      <c r="D10696"/>
    </row>
    <row r="10697" spans="4:4" x14ac:dyDescent="0.25">
      <c r="D10697"/>
    </row>
    <row r="10698" spans="4:4" x14ac:dyDescent="0.25">
      <c r="D10698"/>
    </row>
    <row r="10699" spans="4:4" x14ac:dyDescent="0.25">
      <c r="D10699"/>
    </row>
    <row r="10700" spans="4:4" x14ac:dyDescent="0.25">
      <c r="D10700"/>
    </row>
    <row r="10701" spans="4:4" x14ac:dyDescent="0.25">
      <c r="D10701"/>
    </row>
    <row r="10702" spans="4:4" x14ac:dyDescent="0.25">
      <c r="D10702"/>
    </row>
    <row r="10703" spans="4:4" x14ac:dyDescent="0.25">
      <c r="D10703"/>
    </row>
    <row r="10704" spans="4:4" x14ac:dyDescent="0.25">
      <c r="D10704"/>
    </row>
    <row r="10705" spans="4:4" x14ac:dyDescent="0.25">
      <c r="D10705"/>
    </row>
    <row r="10706" spans="4:4" x14ac:dyDescent="0.25">
      <c r="D10706"/>
    </row>
    <row r="10707" spans="4:4" x14ac:dyDescent="0.25">
      <c r="D10707"/>
    </row>
    <row r="10708" spans="4:4" x14ac:dyDescent="0.25">
      <c r="D10708"/>
    </row>
    <row r="10709" spans="4:4" x14ac:dyDescent="0.25">
      <c r="D10709"/>
    </row>
    <row r="10710" spans="4:4" x14ac:dyDescent="0.25">
      <c r="D10710"/>
    </row>
    <row r="10711" spans="4:4" x14ac:dyDescent="0.25">
      <c r="D10711"/>
    </row>
    <row r="10712" spans="4:4" x14ac:dyDescent="0.25">
      <c r="D10712"/>
    </row>
    <row r="10713" spans="4:4" x14ac:dyDescent="0.25">
      <c r="D10713"/>
    </row>
    <row r="10714" spans="4:4" x14ac:dyDescent="0.25">
      <c r="D10714"/>
    </row>
    <row r="10715" spans="4:4" x14ac:dyDescent="0.25">
      <c r="D10715"/>
    </row>
    <row r="10716" spans="4:4" x14ac:dyDescent="0.25">
      <c r="D10716"/>
    </row>
    <row r="10717" spans="4:4" x14ac:dyDescent="0.25">
      <c r="D10717"/>
    </row>
    <row r="10718" spans="4:4" x14ac:dyDescent="0.25">
      <c r="D10718"/>
    </row>
    <row r="10719" spans="4:4" x14ac:dyDescent="0.25">
      <c r="D10719"/>
    </row>
    <row r="10720" spans="4:4" x14ac:dyDescent="0.25">
      <c r="D10720"/>
    </row>
    <row r="10721" spans="4:4" x14ac:dyDescent="0.25">
      <c r="D10721"/>
    </row>
    <row r="10722" spans="4:4" x14ac:dyDescent="0.25">
      <c r="D10722"/>
    </row>
    <row r="10723" spans="4:4" x14ac:dyDescent="0.25">
      <c r="D10723"/>
    </row>
    <row r="10724" spans="4:4" x14ac:dyDescent="0.25">
      <c r="D10724"/>
    </row>
    <row r="10725" spans="4:4" x14ac:dyDescent="0.25">
      <c r="D10725"/>
    </row>
    <row r="10726" spans="4:4" x14ac:dyDescent="0.25">
      <c r="D10726"/>
    </row>
    <row r="10727" spans="4:4" x14ac:dyDescent="0.25">
      <c r="D10727"/>
    </row>
    <row r="10728" spans="4:4" x14ac:dyDescent="0.25">
      <c r="D10728"/>
    </row>
    <row r="10729" spans="4:4" x14ac:dyDescent="0.25">
      <c r="D10729"/>
    </row>
    <row r="10730" spans="4:4" x14ac:dyDescent="0.25">
      <c r="D10730"/>
    </row>
    <row r="10731" spans="4:4" x14ac:dyDescent="0.25">
      <c r="D10731"/>
    </row>
    <row r="10732" spans="4:4" x14ac:dyDescent="0.25">
      <c r="D10732"/>
    </row>
    <row r="10733" spans="4:4" x14ac:dyDescent="0.25">
      <c r="D10733"/>
    </row>
    <row r="10734" spans="4:4" x14ac:dyDescent="0.25">
      <c r="D10734"/>
    </row>
    <row r="10735" spans="4:4" x14ac:dyDescent="0.25">
      <c r="D10735"/>
    </row>
    <row r="10736" spans="4:4" x14ac:dyDescent="0.25">
      <c r="D10736"/>
    </row>
    <row r="10737" spans="4:4" x14ac:dyDescent="0.25">
      <c r="D10737"/>
    </row>
    <row r="10738" spans="4:4" x14ac:dyDescent="0.25">
      <c r="D10738"/>
    </row>
    <row r="10739" spans="4:4" x14ac:dyDescent="0.25">
      <c r="D10739"/>
    </row>
    <row r="10740" spans="4:4" x14ac:dyDescent="0.25">
      <c r="D10740"/>
    </row>
    <row r="10741" spans="4:4" x14ac:dyDescent="0.25">
      <c r="D10741"/>
    </row>
    <row r="10742" spans="4:4" x14ac:dyDescent="0.25">
      <c r="D10742"/>
    </row>
    <row r="10743" spans="4:4" x14ac:dyDescent="0.25">
      <c r="D10743"/>
    </row>
    <row r="10744" spans="4:4" x14ac:dyDescent="0.25">
      <c r="D10744"/>
    </row>
    <row r="10745" spans="4:4" x14ac:dyDescent="0.25">
      <c r="D10745"/>
    </row>
    <row r="10746" spans="4:4" x14ac:dyDescent="0.25">
      <c r="D10746"/>
    </row>
    <row r="10747" spans="4:4" x14ac:dyDescent="0.25">
      <c r="D10747"/>
    </row>
    <row r="10748" spans="4:4" x14ac:dyDescent="0.25">
      <c r="D10748"/>
    </row>
    <row r="10749" spans="4:4" x14ac:dyDescent="0.25">
      <c r="D10749"/>
    </row>
    <row r="10750" spans="4:4" x14ac:dyDescent="0.25">
      <c r="D10750"/>
    </row>
    <row r="10751" spans="4:4" x14ac:dyDescent="0.25">
      <c r="D10751"/>
    </row>
    <row r="10752" spans="4:4" x14ac:dyDescent="0.25">
      <c r="D10752"/>
    </row>
    <row r="10753" spans="4:4" x14ac:dyDescent="0.25">
      <c r="D10753"/>
    </row>
    <row r="10754" spans="4:4" x14ac:dyDescent="0.25">
      <c r="D10754"/>
    </row>
    <row r="10755" spans="4:4" x14ac:dyDescent="0.25">
      <c r="D10755"/>
    </row>
    <row r="10756" spans="4:4" x14ac:dyDescent="0.25">
      <c r="D10756"/>
    </row>
    <row r="10757" spans="4:4" x14ac:dyDescent="0.25">
      <c r="D10757"/>
    </row>
    <row r="10758" spans="4:4" x14ac:dyDescent="0.25">
      <c r="D10758"/>
    </row>
    <row r="10759" spans="4:4" x14ac:dyDescent="0.25">
      <c r="D10759"/>
    </row>
    <row r="10760" spans="4:4" x14ac:dyDescent="0.25">
      <c r="D10760"/>
    </row>
    <row r="10761" spans="4:4" x14ac:dyDescent="0.25">
      <c r="D10761"/>
    </row>
    <row r="10762" spans="4:4" x14ac:dyDescent="0.25">
      <c r="D10762"/>
    </row>
    <row r="10763" spans="4:4" x14ac:dyDescent="0.25">
      <c r="D10763"/>
    </row>
    <row r="10764" spans="4:4" x14ac:dyDescent="0.25">
      <c r="D10764"/>
    </row>
    <row r="10765" spans="4:4" x14ac:dyDescent="0.25">
      <c r="D10765"/>
    </row>
    <row r="10766" spans="4:4" x14ac:dyDescent="0.25">
      <c r="D10766"/>
    </row>
    <row r="10767" spans="4:4" x14ac:dyDescent="0.25">
      <c r="D10767"/>
    </row>
    <row r="10768" spans="4:4" x14ac:dyDescent="0.25">
      <c r="D10768"/>
    </row>
    <row r="10769" spans="4:4" x14ac:dyDescent="0.25">
      <c r="D10769"/>
    </row>
    <row r="10770" spans="4:4" x14ac:dyDescent="0.25">
      <c r="D10770"/>
    </row>
    <row r="10771" spans="4:4" x14ac:dyDescent="0.25">
      <c r="D10771"/>
    </row>
    <row r="10772" spans="4:4" x14ac:dyDescent="0.25">
      <c r="D10772"/>
    </row>
    <row r="10773" spans="4:4" x14ac:dyDescent="0.25">
      <c r="D10773"/>
    </row>
    <row r="10774" spans="4:4" x14ac:dyDescent="0.25">
      <c r="D10774"/>
    </row>
    <row r="10775" spans="4:4" x14ac:dyDescent="0.25">
      <c r="D10775"/>
    </row>
    <row r="10776" spans="4:4" x14ac:dyDescent="0.25">
      <c r="D10776"/>
    </row>
    <row r="10777" spans="4:4" x14ac:dyDescent="0.25">
      <c r="D10777"/>
    </row>
    <row r="10778" spans="4:4" x14ac:dyDescent="0.25">
      <c r="D10778"/>
    </row>
    <row r="10779" spans="4:4" x14ac:dyDescent="0.25">
      <c r="D10779"/>
    </row>
    <row r="10780" spans="4:4" x14ac:dyDescent="0.25">
      <c r="D10780"/>
    </row>
    <row r="10781" spans="4:4" x14ac:dyDescent="0.25">
      <c r="D10781"/>
    </row>
    <row r="10782" spans="4:4" x14ac:dyDescent="0.25">
      <c r="D10782"/>
    </row>
    <row r="10783" spans="4:4" x14ac:dyDescent="0.25">
      <c r="D10783"/>
    </row>
    <row r="10784" spans="4:4" x14ac:dyDescent="0.25">
      <c r="D10784"/>
    </row>
    <row r="10785" spans="4:4" x14ac:dyDescent="0.25">
      <c r="D10785"/>
    </row>
    <row r="10786" spans="4:4" x14ac:dyDescent="0.25">
      <c r="D10786"/>
    </row>
    <row r="10787" spans="4:4" x14ac:dyDescent="0.25">
      <c r="D10787"/>
    </row>
    <row r="10788" spans="4:4" x14ac:dyDescent="0.25">
      <c r="D10788"/>
    </row>
    <row r="10789" spans="4:4" x14ac:dyDescent="0.25">
      <c r="D10789"/>
    </row>
    <row r="10790" spans="4:4" x14ac:dyDescent="0.25">
      <c r="D10790"/>
    </row>
    <row r="10791" spans="4:4" x14ac:dyDescent="0.25">
      <c r="D10791"/>
    </row>
    <row r="10792" spans="4:4" x14ac:dyDescent="0.25">
      <c r="D10792"/>
    </row>
    <row r="10793" spans="4:4" x14ac:dyDescent="0.25">
      <c r="D10793"/>
    </row>
    <row r="10794" spans="4:4" x14ac:dyDescent="0.25">
      <c r="D10794"/>
    </row>
    <row r="10795" spans="4:4" x14ac:dyDescent="0.25">
      <c r="D10795"/>
    </row>
    <row r="10796" spans="4:4" x14ac:dyDescent="0.25">
      <c r="D10796"/>
    </row>
    <row r="10797" spans="4:4" x14ac:dyDescent="0.25">
      <c r="D10797"/>
    </row>
    <row r="10798" spans="4:4" x14ac:dyDescent="0.25">
      <c r="D10798"/>
    </row>
    <row r="10799" spans="4:4" x14ac:dyDescent="0.25">
      <c r="D10799"/>
    </row>
    <row r="10800" spans="4:4" x14ac:dyDescent="0.25">
      <c r="D10800"/>
    </row>
    <row r="10801" spans="4:4" x14ac:dyDescent="0.25">
      <c r="D10801"/>
    </row>
    <row r="10802" spans="4:4" x14ac:dyDescent="0.25">
      <c r="D10802"/>
    </row>
    <row r="10803" spans="4:4" x14ac:dyDescent="0.25">
      <c r="D10803"/>
    </row>
    <row r="10804" spans="4:4" x14ac:dyDescent="0.25">
      <c r="D10804"/>
    </row>
    <row r="10805" spans="4:4" x14ac:dyDescent="0.25">
      <c r="D10805"/>
    </row>
    <row r="10806" spans="4:4" x14ac:dyDescent="0.25">
      <c r="D10806"/>
    </row>
    <row r="10807" spans="4:4" x14ac:dyDescent="0.25">
      <c r="D10807"/>
    </row>
    <row r="10808" spans="4:4" x14ac:dyDescent="0.25">
      <c r="D10808"/>
    </row>
    <row r="10809" spans="4:4" x14ac:dyDescent="0.25">
      <c r="D10809"/>
    </row>
    <row r="10810" spans="4:4" x14ac:dyDescent="0.25">
      <c r="D10810"/>
    </row>
    <row r="10811" spans="4:4" x14ac:dyDescent="0.25">
      <c r="D10811"/>
    </row>
    <row r="10812" spans="4:4" x14ac:dyDescent="0.25">
      <c r="D10812"/>
    </row>
    <row r="10813" spans="4:4" x14ac:dyDescent="0.25">
      <c r="D10813"/>
    </row>
    <row r="10814" spans="4:4" x14ac:dyDescent="0.25">
      <c r="D10814"/>
    </row>
    <row r="10815" spans="4:4" x14ac:dyDescent="0.25">
      <c r="D10815"/>
    </row>
    <row r="10816" spans="4:4" x14ac:dyDescent="0.25">
      <c r="D10816"/>
    </row>
    <row r="10817" spans="4:4" x14ac:dyDescent="0.25">
      <c r="D10817"/>
    </row>
    <row r="10818" spans="4:4" x14ac:dyDescent="0.25">
      <c r="D10818"/>
    </row>
    <row r="10819" spans="4:4" x14ac:dyDescent="0.25">
      <c r="D10819"/>
    </row>
    <row r="10820" spans="4:4" x14ac:dyDescent="0.25">
      <c r="D10820"/>
    </row>
    <row r="10821" spans="4:4" x14ac:dyDescent="0.25">
      <c r="D10821"/>
    </row>
    <row r="10822" spans="4:4" x14ac:dyDescent="0.25">
      <c r="D10822"/>
    </row>
    <row r="10823" spans="4:4" x14ac:dyDescent="0.25">
      <c r="D10823"/>
    </row>
    <row r="10824" spans="4:4" x14ac:dyDescent="0.25">
      <c r="D10824"/>
    </row>
    <row r="10825" spans="4:4" x14ac:dyDescent="0.25">
      <c r="D10825"/>
    </row>
    <row r="10826" spans="4:4" x14ac:dyDescent="0.25">
      <c r="D10826"/>
    </row>
    <row r="10827" spans="4:4" x14ac:dyDescent="0.25">
      <c r="D10827"/>
    </row>
    <row r="10828" spans="4:4" x14ac:dyDescent="0.25">
      <c r="D10828"/>
    </row>
    <row r="10829" spans="4:4" x14ac:dyDescent="0.25">
      <c r="D10829"/>
    </row>
    <row r="10830" spans="4:4" x14ac:dyDescent="0.25">
      <c r="D10830"/>
    </row>
    <row r="10831" spans="4:4" x14ac:dyDescent="0.25">
      <c r="D10831"/>
    </row>
    <row r="10832" spans="4:4" x14ac:dyDescent="0.25">
      <c r="D10832"/>
    </row>
    <row r="10833" spans="4:4" x14ac:dyDescent="0.25">
      <c r="D10833"/>
    </row>
    <row r="10834" spans="4:4" x14ac:dyDescent="0.25">
      <c r="D10834"/>
    </row>
    <row r="10835" spans="4:4" x14ac:dyDescent="0.25">
      <c r="D10835"/>
    </row>
    <row r="10836" spans="4:4" x14ac:dyDescent="0.25">
      <c r="D10836"/>
    </row>
    <row r="10837" spans="4:4" x14ac:dyDescent="0.25">
      <c r="D10837"/>
    </row>
    <row r="10838" spans="4:4" x14ac:dyDescent="0.25">
      <c r="D10838"/>
    </row>
    <row r="10839" spans="4:4" x14ac:dyDescent="0.25">
      <c r="D10839"/>
    </row>
    <row r="10840" spans="4:4" x14ac:dyDescent="0.25">
      <c r="D10840"/>
    </row>
    <row r="10841" spans="4:4" x14ac:dyDescent="0.25">
      <c r="D10841"/>
    </row>
    <row r="10842" spans="4:4" x14ac:dyDescent="0.25">
      <c r="D10842"/>
    </row>
    <row r="10843" spans="4:4" x14ac:dyDescent="0.25">
      <c r="D10843"/>
    </row>
    <row r="10844" spans="4:4" x14ac:dyDescent="0.25">
      <c r="D10844"/>
    </row>
    <row r="10845" spans="4:4" x14ac:dyDescent="0.25">
      <c r="D10845"/>
    </row>
    <row r="10846" spans="4:4" x14ac:dyDescent="0.25">
      <c r="D10846"/>
    </row>
    <row r="10847" spans="4:4" x14ac:dyDescent="0.25">
      <c r="D10847"/>
    </row>
    <row r="10848" spans="4:4" x14ac:dyDescent="0.25">
      <c r="D10848"/>
    </row>
    <row r="10849" spans="4:4" x14ac:dyDescent="0.25">
      <c r="D10849"/>
    </row>
    <row r="10850" spans="4:4" x14ac:dyDescent="0.25">
      <c r="D10850"/>
    </row>
    <row r="10851" spans="4:4" x14ac:dyDescent="0.25">
      <c r="D10851"/>
    </row>
    <row r="10852" spans="4:4" x14ac:dyDescent="0.25">
      <c r="D10852"/>
    </row>
    <row r="10853" spans="4:4" x14ac:dyDescent="0.25">
      <c r="D10853"/>
    </row>
    <row r="10854" spans="4:4" x14ac:dyDescent="0.25">
      <c r="D10854"/>
    </row>
    <row r="10855" spans="4:4" x14ac:dyDescent="0.25">
      <c r="D10855"/>
    </row>
    <row r="10856" spans="4:4" x14ac:dyDescent="0.25">
      <c r="D10856"/>
    </row>
    <row r="10857" spans="4:4" x14ac:dyDescent="0.25">
      <c r="D10857"/>
    </row>
    <row r="10858" spans="4:4" x14ac:dyDescent="0.25">
      <c r="D10858"/>
    </row>
    <row r="10859" spans="4:4" x14ac:dyDescent="0.25">
      <c r="D10859"/>
    </row>
    <row r="10860" spans="4:4" x14ac:dyDescent="0.25">
      <c r="D10860"/>
    </row>
    <row r="10861" spans="4:4" x14ac:dyDescent="0.25">
      <c r="D10861"/>
    </row>
    <row r="10862" spans="4:4" x14ac:dyDescent="0.25">
      <c r="D10862"/>
    </row>
    <row r="10863" spans="4:4" x14ac:dyDescent="0.25">
      <c r="D10863"/>
    </row>
    <row r="10864" spans="4:4" x14ac:dyDescent="0.25">
      <c r="D10864"/>
    </row>
    <row r="10865" spans="4:4" x14ac:dyDescent="0.25">
      <c r="D10865"/>
    </row>
    <row r="10866" spans="4:4" x14ac:dyDescent="0.25">
      <c r="D10866"/>
    </row>
    <row r="10867" spans="4:4" x14ac:dyDescent="0.25">
      <c r="D10867"/>
    </row>
    <row r="10868" spans="4:4" x14ac:dyDescent="0.25">
      <c r="D10868"/>
    </row>
    <row r="10869" spans="4:4" x14ac:dyDescent="0.25">
      <c r="D10869"/>
    </row>
    <row r="10870" spans="4:4" x14ac:dyDescent="0.25">
      <c r="D10870"/>
    </row>
    <row r="10871" spans="4:4" x14ac:dyDescent="0.25">
      <c r="D10871"/>
    </row>
    <row r="10872" spans="4:4" x14ac:dyDescent="0.25">
      <c r="D10872"/>
    </row>
    <row r="10873" spans="4:4" x14ac:dyDescent="0.25">
      <c r="D10873"/>
    </row>
    <row r="10874" spans="4:4" x14ac:dyDescent="0.25">
      <c r="D10874"/>
    </row>
    <row r="10875" spans="4:4" x14ac:dyDescent="0.25">
      <c r="D10875"/>
    </row>
    <row r="10876" spans="4:4" x14ac:dyDescent="0.25">
      <c r="D10876"/>
    </row>
    <row r="10877" spans="4:4" x14ac:dyDescent="0.25">
      <c r="D10877"/>
    </row>
    <row r="10878" spans="4:4" x14ac:dyDescent="0.25">
      <c r="D10878"/>
    </row>
    <row r="10879" spans="4:4" x14ac:dyDescent="0.25">
      <c r="D10879"/>
    </row>
    <row r="10880" spans="4:4" x14ac:dyDescent="0.25">
      <c r="D10880"/>
    </row>
    <row r="10881" spans="4:4" x14ac:dyDescent="0.25">
      <c r="D10881"/>
    </row>
    <row r="10882" spans="4:4" x14ac:dyDescent="0.25">
      <c r="D10882"/>
    </row>
    <row r="10883" spans="4:4" x14ac:dyDescent="0.25">
      <c r="D10883"/>
    </row>
    <row r="10884" spans="4:4" x14ac:dyDescent="0.25">
      <c r="D10884"/>
    </row>
    <row r="10885" spans="4:4" x14ac:dyDescent="0.25">
      <c r="D10885"/>
    </row>
    <row r="10886" spans="4:4" x14ac:dyDescent="0.25">
      <c r="D10886"/>
    </row>
    <row r="10887" spans="4:4" x14ac:dyDescent="0.25">
      <c r="D10887"/>
    </row>
    <row r="10888" spans="4:4" x14ac:dyDescent="0.25">
      <c r="D10888"/>
    </row>
    <row r="10889" spans="4:4" x14ac:dyDescent="0.25">
      <c r="D10889"/>
    </row>
    <row r="10890" spans="4:4" x14ac:dyDescent="0.25">
      <c r="D10890"/>
    </row>
    <row r="10891" spans="4:4" x14ac:dyDescent="0.25">
      <c r="D10891"/>
    </row>
    <row r="10892" spans="4:4" x14ac:dyDescent="0.25">
      <c r="D10892"/>
    </row>
    <row r="10893" spans="4:4" x14ac:dyDescent="0.25">
      <c r="D10893"/>
    </row>
    <row r="10894" spans="4:4" x14ac:dyDescent="0.25">
      <c r="D10894"/>
    </row>
    <row r="10895" spans="4:4" x14ac:dyDescent="0.25">
      <c r="D10895"/>
    </row>
    <row r="10896" spans="4:4" x14ac:dyDescent="0.25">
      <c r="D10896"/>
    </row>
    <row r="10897" spans="4:4" x14ac:dyDescent="0.25">
      <c r="D10897"/>
    </row>
    <row r="10898" spans="4:4" x14ac:dyDescent="0.25">
      <c r="D10898"/>
    </row>
    <row r="10899" spans="4:4" x14ac:dyDescent="0.25">
      <c r="D10899"/>
    </row>
    <row r="10900" spans="4:4" x14ac:dyDescent="0.25">
      <c r="D10900"/>
    </row>
    <row r="10901" spans="4:4" x14ac:dyDescent="0.25">
      <c r="D10901"/>
    </row>
    <row r="10902" spans="4:4" x14ac:dyDescent="0.25">
      <c r="D10902"/>
    </row>
    <row r="10903" spans="4:4" x14ac:dyDescent="0.25">
      <c r="D10903"/>
    </row>
    <row r="10904" spans="4:4" x14ac:dyDescent="0.25">
      <c r="D10904"/>
    </row>
    <row r="10905" spans="4:4" x14ac:dyDescent="0.25">
      <c r="D10905"/>
    </row>
    <row r="10906" spans="4:4" x14ac:dyDescent="0.25">
      <c r="D10906"/>
    </row>
    <row r="10907" spans="4:4" x14ac:dyDescent="0.25">
      <c r="D10907"/>
    </row>
    <row r="10908" spans="4:4" x14ac:dyDescent="0.25">
      <c r="D10908"/>
    </row>
    <row r="10909" spans="4:4" x14ac:dyDescent="0.25">
      <c r="D10909"/>
    </row>
    <row r="10910" spans="4:4" x14ac:dyDescent="0.25">
      <c r="D10910"/>
    </row>
    <row r="10911" spans="4:4" x14ac:dyDescent="0.25">
      <c r="D10911"/>
    </row>
    <row r="10912" spans="4:4" x14ac:dyDescent="0.25">
      <c r="D10912"/>
    </row>
    <row r="10913" spans="4:4" x14ac:dyDescent="0.25">
      <c r="D10913"/>
    </row>
    <row r="10914" spans="4:4" x14ac:dyDescent="0.25">
      <c r="D10914"/>
    </row>
    <row r="10915" spans="4:4" x14ac:dyDescent="0.25">
      <c r="D10915"/>
    </row>
    <row r="10916" spans="4:4" x14ac:dyDescent="0.25">
      <c r="D10916"/>
    </row>
    <row r="10917" spans="4:4" x14ac:dyDescent="0.25">
      <c r="D10917"/>
    </row>
    <row r="10918" spans="4:4" x14ac:dyDescent="0.25">
      <c r="D10918"/>
    </row>
    <row r="10919" spans="4:4" x14ac:dyDescent="0.25">
      <c r="D10919"/>
    </row>
    <row r="10920" spans="4:4" x14ac:dyDescent="0.25">
      <c r="D10920"/>
    </row>
    <row r="10921" spans="4:4" x14ac:dyDescent="0.25">
      <c r="D10921"/>
    </row>
    <row r="10922" spans="4:4" x14ac:dyDescent="0.25">
      <c r="D10922"/>
    </row>
    <row r="10923" spans="4:4" x14ac:dyDescent="0.25">
      <c r="D10923"/>
    </row>
    <row r="10924" spans="4:4" x14ac:dyDescent="0.25">
      <c r="D10924"/>
    </row>
    <row r="10925" spans="4:4" x14ac:dyDescent="0.25">
      <c r="D10925"/>
    </row>
    <row r="10926" spans="4:4" x14ac:dyDescent="0.25">
      <c r="D10926"/>
    </row>
    <row r="10927" spans="4:4" x14ac:dyDescent="0.25">
      <c r="D10927"/>
    </row>
    <row r="10928" spans="4:4" x14ac:dyDescent="0.25">
      <c r="D10928"/>
    </row>
    <row r="10929" spans="4:4" x14ac:dyDescent="0.25">
      <c r="D10929"/>
    </row>
    <row r="10930" spans="4:4" x14ac:dyDescent="0.25">
      <c r="D10930"/>
    </row>
    <row r="10931" spans="4:4" x14ac:dyDescent="0.25">
      <c r="D10931"/>
    </row>
    <row r="10932" spans="4:4" x14ac:dyDescent="0.25">
      <c r="D10932"/>
    </row>
    <row r="10933" spans="4:4" x14ac:dyDescent="0.25">
      <c r="D10933"/>
    </row>
    <row r="10934" spans="4:4" x14ac:dyDescent="0.25">
      <c r="D10934"/>
    </row>
    <row r="10935" spans="4:4" x14ac:dyDescent="0.25">
      <c r="D10935"/>
    </row>
    <row r="10936" spans="4:4" x14ac:dyDescent="0.25">
      <c r="D10936"/>
    </row>
    <row r="10937" spans="4:4" x14ac:dyDescent="0.25">
      <c r="D10937"/>
    </row>
    <row r="10938" spans="4:4" x14ac:dyDescent="0.25">
      <c r="D10938"/>
    </row>
    <row r="10939" spans="4:4" x14ac:dyDescent="0.25">
      <c r="D10939"/>
    </row>
    <row r="10940" spans="4:4" x14ac:dyDescent="0.25">
      <c r="D10940"/>
    </row>
    <row r="10941" spans="4:4" x14ac:dyDescent="0.25">
      <c r="D10941"/>
    </row>
    <row r="10942" spans="4:4" x14ac:dyDescent="0.25">
      <c r="D10942"/>
    </row>
    <row r="10943" spans="4:4" x14ac:dyDescent="0.25">
      <c r="D10943"/>
    </row>
    <row r="10944" spans="4:4" x14ac:dyDescent="0.25">
      <c r="D10944"/>
    </row>
    <row r="10945" spans="4:4" x14ac:dyDescent="0.25">
      <c r="D10945"/>
    </row>
    <row r="10946" spans="4:4" x14ac:dyDescent="0.25">
      <c r="D10946"/>
    </row>
    <row r="10947" spans="4:4" x14ac:dyDescent="0.25">
      <c r="D10947"/>
    </row>
    <row r="10948" spans="4:4" x14ac:dyDescent="0.25">
      <c r="D10948"/>
    </row>
    <row r="10949" spans="4:4" x14ac:dyDescent="0.25">
      <c r="D10949"/>
    </row>
    <row r="10950" spans="4:4" x14ac:dyDescent="0.25">
      <c r="D10950"/>
    </row>
    <row r="10951" spans="4:4" x14ac:dyDescent="0.25">
      <c r="D10951"/>
    </row>
    <row r="10952" spans="4:4" x14ac:dyDescent="0.25">
      <c r="D10952"/>
    </row>
    <row r="10953" spans="4:4" x14ac:dyDescent="0.25">
      <c r="D10953"/>
    </row>
    <row r="10954" spans="4:4" x14ac:dyDescent="0.25">
      <c r="D10954"/>
    </row>
    <row r="10955" spans="4:4" x14ac:dyDescent="0.25">
      <c r="D10955"/>
    </row>
    <row r="10956" spans="4:4" x14ac:dyDescent="0.25">
      <c r="D10956"/>
    </row>
    <row r="10957" spans="4:4" x14ac:dyDescent="0.25">
      <c r="D10957"/>
    </row>
    <row r="10958" spans="4:4" x14ac:dyDescent="0.25">
      <c r="D10958"/>
    </row>
    <row r="10959" spans="4:4" x14ac:dyDescent="0.25">
      <c r="D10959"/>
    </row>
    <row r="10960" spans="4:4" x14ac:dyDescent="0.25">
      <c r="D10960"/>
    </row>
    <row r="10961" spans="4:4" x14ac:dyDescent="0.25">
      <c r="D10961"/>
    </row>
    <row r="10962" spans="4:4" x14ac:dyDescent="0.25">
      <c r="D10962"/>
    </row>
    <row r="10963" spans="4:4" x14ac:dyDescent="0.25">
      <c r="D10963"/>
    </row>
    <row r="10964" spans="4:4" x14ac:dyDescent="0.25">
      <c r="D10964"/>
    </row>
    <row r="10965" spans="4:4" x14ac:dyDescent="0.25">
      <c r="D10965"/>
    </row>
    <row r="10966" spans="4:4" x14ac:dyDescent="0.25">
      <c r="D10966"/>
    </row>
    <row r="10967" spans="4:4" x14ac:dyDescent="0.25">
      <c r="D10967"/>
    </row>
    <row r="10968" spans="4:4" x14ac:dyDescent="0.25">
      <c r="D10968"/>
    </row>
    <row r="10969" spans="4:4" x14ac:dyDescent="0.25">
      <c r="D10969"/>
    </row>
    <row r="10970" spans="4:4" x14ac:dyDescent="0.25">
      <c r="D10970"/>
    </row>
    <row r="10971" spans="4:4" x14ac:dyDescent="0.25">
      <c r="D10971"/>
    </row>
    <row r="10972" spans="4:4" x14ac:dyDescent="0.25">
      <c r="D10972"/>
    </row>
    <row r="10973" spans="4:4" x14ac:dyDescent="0.25">
      <c r="D10973"/>
    </row>
    <row r="10974" spans="4:4" x14ac:dyDescent="0.25">
      <c r="D10974"/>
    </row>
    <row r="10975" spans="4:4" x14ac:dyDescent="0.25">
      <c r="D10975"/>
    </row>
    <row r="10976" spans="4:4" x14ac:dyDescent="0.25">
      <c r="D10976"/>
    </row>
    <row r="10977" spans="4:4" x14ac:dyDescent="0.25">
      <c r="D10977"/>
    </row>
    <row r="10978" spans="4:4" x14ac:dyDescent="0.25">
      <c r="D10978"/>
    </row>
    <row r="10979" spans="4:4" x14ac:dyDescent="0.25">
      <c r="D10979"/>
    </row>
    <row r="10980" spans="4:4" x14ac:dyDescent="0.25">
      <c r="D10980"/>
    </row>
    <row r="10981" spans="4:4" x14ac:dyDescent="0.25">
      <c r="D10981"/>
    </row>
    <row r="10982" spans="4:4" x14ac:dyDescent="0.25">
      <c r="D10982"/>
    </row>
    <row r="10983" spans="4:4" x14ac:dyDescent="0.25">
      <c r="D10983"/>
    </row>
    <row r="10984" spans="4:4" x14ac:dyDescent="0.25">
      <c r="D10984"/>
    </row>
    <row r="10985" spans="4:4" x14ac:dyDescent="0.25">
      <c r="D10985"/>
    </row>
    <row r="10986" spans="4:4" x14ac:dyDescent="0.25">
      <c r="D10986"/>
    </row>
    <row r="10987" spans="4:4" x14ac:dyDescent="0.25">
      <c r="D10987"/>
    </row>
    <row r="10988" spans="4:4" x14ac:dyDescent="0.25">
      <c r="D10988"/>
    </row>
    <row r="10989" spans="4:4" x14ac:dyDescent="0.25">
      <c r="D10989"/>
    </row>
    <row r="10990" spans="4:4" x14ac:dyDescent="0.25">
      <c r="D10990"/>
    </row>
    <row r="10991" spans="4:4" x14ac:dyDescent="0.25">
      <c r="D10991"/>
    </row>
    <row r="10992" spans="4:4" x14ac:dyDescent="0.25">
      <c r="D10992"/>
    </row>
    <row r="10993" spans="4:4" x14ac:dyDescent="0.25">
      <c r="D10993"/>
    </row>
    <row r="10994" spans="4:4" x14ac:dyDescent="0.25">
      <c r="D10994"/>
    </row>
    <row r="10995" spans="4:4" x14ac:dyDescent="0.25">
      <c r="D10995"/>
    </row>
    <row r="10996" spans="4:4" x14ac:dyDescent="0.25">
      <c r="D10996"/>
    </row>
    <row r="10997" spans="4:4" x14ac:dyDescent="0.25">
      <c r="D10997"/>
    </row>
    <row r="10998" spans="4:4" x14ac:dyDescent="0.25">
      <c r="D10998"/>
    </row>
    <row r="10999" spans="4:4" x14ac:dyDescent="0.25">
      <c r="D10999"/>
    </row>
    <row r="11000" spans="4:4" x14ac:dyDescent="0.25">
      <c r="D11000"/>
    </row>
    <row r="11001" spans="4:4" x14ac:dyDescent="0.25">
      <c r="D11001"/>
    </row>
    <row r="11002" spans="4:4" x14ac:dyDescent="0.25">
      <c r="D11002"/>
    </row>
    <row r="11003" spans="4:4" x14ac:dyDescent="0.25">
      <c r="D11003"/>
    </row>
    <row r="11004" spans="4:4" x14ac:dyDescent="0.25">
      <c r="D11004"/>
    </row>
    <row r="11005" spans="4:4" x14ac:dyDescent="0.25">
      <c r="D11005"/>
    </row>
    <row r="11006" spans="4:4" x14ac:dyDescent="0.25">
      <c r="D11006"/>
    </row>
    <row r="11007" spans="4:4" x14ac:dyDescent="0.25">
      <c r="D11007"/>
    </row>
    <row r="11008" spans="4:4" x14ac:dyDescent="0.25">
      <c r="D11008"/>
    </row>
    <row r="11009" spans="4:4" x14ac:dyDescent="0.25">
      <c r="D11009"/>
    </row>
    <row r="11010" spans="4:4" x14ac:dyDescent="0.25">
      <c r="D11010"/>
    </row>
    <row r="11011" spans="4:4" x14ac:dyDescent="0.25">
      <c r="D11011"/>
    </row>
    <row r="11012" spans="4:4" x14ac:dyDescent="0.25">
      <c r="D11012"/>
    </row>
    <row r="11013" spans="4:4" x14ac:dyDescent="0.25">
      <c r="D11013"/>
    </row>
    <row r="11014" spans="4:4" x14ac:dyDescent="0.25">
      <c r="D11014"/>
    </row>
    <row r="11015" spans="4:4" x14ac:dyDescent="0.25">
      <c r="D11015"/>
    </row>
    <row r="11016" spans="4:4" x14ac:dyDescent="0.25">
      <c r="D11016"/>
    </row>
    <row r="11017" spans="4:4" x14ac:dyDescent="0.25">
      <c r="D11017"/>
    </row>
    <row r="11018" spans="4:4" x14ac:dyDescent="0.25">
      <c r="D11018"/>
    </row>
    <row r="11019" spans="4:4" x14ac:dyDescent="0.25">
      <c r="D11019"/>
    </row>
    <row r="11020" spans="4:4" x14ac:dyDescent="0.25">
      <c r="D11020"/>
    </row>
    <row r="11021" spans="4:4" x14ac:dyDescent="0.25">
      <c r="D11021"/>
    </row>
    <row r="11022" spans="4:4" x14ac:dyDescent="0.25">
      <c r="D11022"/>
    </row>
    <row r="11023" spans="4:4" x14ac:dyDescent="0.25">
      <c r="D11023"/>
    </row>
    <row r="11024" spans="4:4" x14ac:dyDescent="0.25">
      <c r="D11024"/>
    </row>
    <row r="11025" spans="4:4" x14ac:dyDescent="0.25">
      <c r="D11025"/>
    </row>
    <row r="11026" spans="4:4" x14ac:dyDescent="0.25">
      <c r="D11026"/>
    </row>
    <row r="11027" spans="4:4" x14ac:dyDescent="0.25">
      <c r="D11027"/>
    </row>
    <row r="11028" spans="4:4" x14ac:dyDescent="0.25">
      <c r="D11028"/>
    </row>
    <row r="11029" spans="4:4" x14ac:dyDescent="0.25">
      <c r="D11029"/>
    </row>
    <row r="11030" spans="4:4" x14ac:dyDescent="0.25">
      <c r="D11030"/>
    </row>
    <row r="11031" spans="4:4" x14ac:dyDescent="0.25">
      <c r="D11031"/>
    </row>
    <row r="11032" spans="4:4" x14ac:dyDescent="0.25">
      <c r="D11032"/>
    </row>
    <row r="11033" spans="4:4" x14ac:dyDescent="0.25">
      <c r="D11033"/>
    </row>
    <row r="11034" spans="4:4" x14ac:dyDescent="0.25">
      <c r="D11034"/>
    </row>
    <row r="11035" spans="4:4" x14ac:dyDescent="0.25">
      <c r="D11035"/>
    </row>
    <row r="11036" spans="4:4" x14ac:dyDescent="0.25">
      <c r="D11036"/>
    </row>
    <row r="11037" spans="4:4" x14ac:dyDescent="0.25">
      <c r="D11037"/>
    </row>
    <row r="11038" spans="4:4" x14ac:dyDescent="0.25">
      <c r="D11038"/>
    </row>
    <row r="11039" spans="4:4" x14ac:dyDescent="0.25">
      <c r="D11039"/>
    </row>
    <row r="11040" spans="4:4" x14ac:dyDescent="0.25">
      <c r="D11040"/>
    </row>
    <row r="11041" spans="4:4" x14ac:dyDescent="0.25">
      <c r="D11041"/>
    </row>
    <row r="11042" spans="4:4" x14ac:dyDescent="0.25">
      <c r="D11042"/>
    </row>
    <row r="11043" spans="4:4" x14ac:dyDescent="0.25">
      <c r="D11043"/>
    </row>
    <row r="11044" spans="4:4" x14ac:dyDescent="0.25">
      <c r="D11044"/>
    </row>
    <row r="11045" spans="4:4" x14ac:dyDescent="0.25">
      <c r="D11045"/>
    </row>
    <row r="11046" spans="4:4" x14ac:dyDescent="0.25">
      <c r="D11046"/>
    </row>
    <row r="11047" spans="4:4" x14ac:dyDescent="0.25">
      <c r="D11047"/>
    </row>
    <row r="11048" spans="4:4" x14ac:dyDescent="0.25">
      <c r="D11048"/>
    </row>
    <row r="11049" spans="4:4" x14ac:dyDescent="0.25">
      <c r="D11049"/>
    </row>
    <row r="11050" spans="4:4" x14ac:dyDescent="0.25">
      <c r="D11050"/>
    </row>
    <row r="11051" spans="4:4" x14ac:dyDescent="0.25">
      <c r="D11051"/>
    </row>
    <row r="11052" spans="4:4" x14ac:dyDescent="0.25">
      <c r="D11052"/>
    </row>
    <row r="11053" spans="4:4" x14ac:dyDescent="0.25">
      <c r="D11053"/>
    </row>
    <row r="11054" spans="4:4" x14ac:dyDescent="0.25">
      <c r="D11054"/>
    </row>
    <row r="11055" spans="4:4" x14ac:dyDescent="0.25">
      <c r="D11055"/>
    </row>
    <row r="11056" spans="4:4" x14ac:dyDescent="0.25">
      <c r="D11056"/>
    </row>
    <row r="11057" spans="4:4" x14ac:dyDescent="0.25">
      <c r="D11057"/>
    </row>
    <row r="11058" spans="4:4" x14ac:dyDescent="0.25">
      <c r="D11058"/>
    </row>
    <row r="11059" spans="4:4" x14ac:dyDescent="0.25">
      <c r="D11059"/>
    </row>
    <row r="11060" spans="4:4" x14ac:dyDescent="0.25">
      <c r="D11060"/>
    </row>
    <row r="11061" spans="4:4" x14ac:dyDescent="0.25">
      <c r="D11061"/>
    </row>
    <row r="11062" spans="4:4" x14ac:dyDescent="0.25">
      <c r="D11062"/>
    </row>
    <row r="11063" spans="4:4" x14ac:dyDescent="0.25">
      <c r="D11063"/>
    </row>
    <row r="11064" spans="4:4" x14ac:dyDescent="0.25">
      <c r="D11064"/>
    </row>
    <row r="11065" spans="4:4" x14ac:dyDescent="0.25">
      <c r="D11065"/>
    </row>
    <row r="11066" spans="4:4" x14ac:dyDescent="0.25">
      <c r="D11066"/>
    </row>
    <row r="11067" spans="4:4" x14ac:dyDescent="0.25">
      <c r="D11067"/>
    </row>
    <row r="11068" spans="4:4" x14ac:dyDescent="0.25">
      <c r="D11068"/>
    </row>
    <row r="11069" spans="4:4" x14ac:dyDescent="0.25">
      <c r="D11069"/>
    </row>
    <row r="11070" spans="4:4" x14ac:dyDescent="0.25">
      <c r="D11070"/>
    </row>
    <row r="11071" spans="4:4" x14ac:dyDescent="0.25">
      <c r="D11071"/>
    </row>
    <row r="11072" spans="4:4" x14ac:dyDescent="0.25">
      <c r="D11072"/>
    </row>
    <row r="11073" spans="4:4" x14ac:dyDescent="0.25">
      <c r="D11073"/>
    </row>
    <row r="11074" spans="4:4" x14ac:dyDescent="0.25">
      <c r="D11074"/>
    </row>
    <row r="11075" spans="4:4" x14ac:dyDescent="0.25">
      <c r="D11075"/>
    </row>
    <row r="11076" spans="4:4" x14ac:dyDescent="0.25">
      <c r="D11076"/>
    </row>
    <row r="11077" spans="4:4" x14ac:dyDescent="0.25">
      <c r="D11077"/>
    </row>
    <row r="11078" spans="4:4" x14ac:dyDescent="0.25">
      <c r="D11078"/>
    </row>
    <row r="11079" spans="4:4" x14ac:dyDescent="0.25">
      <c r="D11079"/>
    </row>
    <row r="11080" spans="4:4" x14ac:dyDescent="0.25">
      <c r="D11080"/>
    </row>
    <row r="11081" spans="4:4" x14ac:dyDescent="0.25">
      <c r="D11081"/>
    </row>
    <row r="11082" spans="4:4" x14ac:dyDescent="0.25">
      <c r="D11082"/>
    </row>
    <row r="11083" spans="4:4" x14ac:dyDescent="0.25">
      <c r="D11083"/>
    </row>
    <row r="11084" spans="4:4" x14ac:dyDescent="0.25">
      <c r="D11084"/>
    </row>
    <row r="11085" spans="4:4" x14ac:dyDescent="0.25">
      <c r="D11085"/>
    </row>
    <row r="11086" spans="4:4" x14ac:dyDescent="0.25">
      <c r="D11086"/>
    </row>
    <row r="11087" spans="4:4" x14ac:dyDescent="0.25">
      <c r="D11087"/>
    </row>
    <row r="11088" spans="4:4" x14ac:dyDescent="0.25">
      <c r="D11088"/>
    </row>
    <row r="11089" spans="4:4" x14ac:dyDescent="0.25">
      <c r="D11089"/>
    </row>
    <row r="11090" spans="4:4" x14ac:dyDescent="0.25">
      <c r="D11090"/>
    </row>
    <row r="11091" spans="4:4" x14ac:dyDescent="0.25">
      <c r="D11091"/>
    </row>
    <row r="11092" spans="4:4" x14ac:dyDescent="0.25">
      <c r="D11092"/>
    </row>
    <row r="11093" spans="4:4" x14ac:dyDescent="0.25">
      <c r="D11093"/>
    </row>
    <row r="11094" spans="4:4" x14ac:dyDescent="0.25">
      <c r="D11094"/>
    </row>
    <row r="11095" spans="4:4" x14ac:dyDescent="0.25">
      <c r="D11095"/>
    </row>
    <row r="11096" spans="4:4" x14ac:dyDescent="0.25">
      <c r="D11096"/>
    </row>
    <row r="11097" spans="4:4" x14ac:dyDescent="0.25">
      <c r="D11097"/>
    </row>
    <row r="11098" spans="4:4" x14ac:dyDescent="0.25">
      <c r="D11098"/>
    </row>
    <row r="11099" spans="4:4" x14ac:dyDescent="0.25">
      <c r="D11099"/>
    </row>
    <row r="11100" spans="4:4" x14ac:dyDescent="0.25">
      <c r="D11100"/>
    </row>
    <row r="11101" spans="4:4" x14ac:dyDescent="0.25">
      <c r="D11101"/>
    </row>
    <row r="11102" spans="4:4" x14ac:dyDescent="0.25">
      <c r="D11102"/>
    </row>
    <row r="11103" spans="4:4" x14ac:dyDescent="0.25">
      <c r="D11103"/>
    </row>
    <row r="11104" spans="4:4" x14ac:dyDescent="0.25">
      <c r="D11104"/>
    </row>
    <row r="11105" spans="4:4" x14ac:dyDescent="0.25">
      <c r="D11105"/>
    </row>
    <row r="11106" spans="4:4" x14ac:dyDescent="0.25">
      <c r="D11106"/>
    </row>
    <row r="11107" spans="4:4" x14ac:dyDescent="0.25">
      <c r="D11107"/>
    </row>
    <row r="11108" spans="4:4" x14ac:dyDescent="0.25">
      <c r="D11108"/>
    </row>
    <row r="11109" spans="4:4" x14ac:dyDescent="0.25">
      <c r="D11109"/>
    </row>
    <row r="11110" spans="4:4" x14ac:dyDescent="0.25">
      <c r="D11110"/>
    </row>
    <row r="11111" spans="4:4" x14ac:dyDescent="0.25">
      <c r="D11111"/>
    </row>
    <row r="11112" spans="4:4" x14ac:dyDescent="0.25">
      <c r="D11112"/>
    </row>
    <row r="11113" spans="4:4" x14ac:dyDescent="0.25">
      <c r="D11113"/>
    </row>
    <row r="11114" spans="4:4" x14ac:dyDescent="0.25">
      <c r="D11114"/>
    </row>
    <row r="11115" spans="4:4" x14ac:dyDescent="0.25">
      <c r="D11115"/>
    </row>
    <row r="11116" spans="4:4" x14ac:dyDescent="0.25">
      <c r="D11116"/>
    </row>
    <row r="11117" spans="4:4" x14ac:dyDescent="0.25">
      <c r="D11117"/>
    </row>
    <row r="11118" spans="4:4" x14ac:dyDescent="0.25">
      <c r="D11118"/>
    </row>
    <row r="11119" spans="4:4" x14ac:dyDescent="0.25">
      <c r="D11119"/>
    </row>
    <row r="11120" spans="4:4" x14ac:dyDescent="0.25">
      <c r="D11120"/>
    </row>
    <row r="11121" spans="4:4" x14ac:dyDescent="0.25">
      <c r="D11121"/>
    </row>
    <row r="11122" spans="4:4" x14ac:dyDescent="0.25">
      <c r="D11122"/>
    </row>
    <row r="11123" spans="4:4" x14ac:dyDescent="0.25">
      <c r="D11123"/>
    </row>
    <row r="11124" spans="4:4" x14ac:dyDescent="0.25">
      <c r="D11124"/>
    </row>
    <row r="11125" spans="4:4" x14ac:dyDescent="0.25">
      <c r="D11125"/>
    </row>
    <row r="11126" spans="4:4" x14ac:dyDescent="0.25">
      <c r="D11126"/>
    </row>
    <row r="11127" spans="4:4" x14ac:dyDescent="0.25">
      <c r="D11127"/>
    </row>
    <row r="11128" spans="4:4" x14ac:dyDescent="0.25">
      <c r="D11128"/>
    </row>
    <row r="11129" spans="4:4" x14ac:dyDescent="0.25">
      <c r="D11129"/>
    </row>
    <row r="11130" spans="4:4" x14ac:dyDescent="0.25">
      <c r="D11130"/>
    </row>
    <row r="11131" spans="4:4" x14ac:dyDescent="0.25">
      <c r="D11131"/>
    </row>
    <row r="11132" spans="4:4" x14ac:dyDescent="0.25">
      <c r="D11132"/>
    </row>
    <row r="11133" spans="4:4" x14ac:dyDescent="0.25">
      <c r="D11133"/>
    </row>
    <row r="11134" spans="4:4" x14ac:dyDescent="0.25">
      <c r="D11134"/>
    </row>
    <row r="11135" spans="4:4" x14ac:dyDescent="0.25">
      <c r="D11135"/>
    </row>
    <row r="11136" spans="4:4" x14ac:dyDescent="0.25">
      <c r="D11136"/>
    </row>
    <row r="11137" spans="4:4" x14ac:dyDescent="0.25">
      <c r="D11137"/>
    </row>
    <row r="11138" spans="4:4" x14ac:dyDescent="0.25">
      <c r="D11138"/>
    </row>
    <row r="11139" spans="4:4" x14ac:dyDescent="0.25">
      <c r="D11139"/>
    </row>
    <row r="11140" spans="4:4" x14ac:dyDescent="0.25">
      <c r="D11140"/>
    </row>
    <row r="11141" spans="4:4" x14ac:dyDescent="0.25">
      <c r="D11141"/>
    </row>
    <row r="11142" spans="4:4" x14ac:dyDescent="0.25">
      <c r="D11142"/>
    </row>
    <row r="11143" spans="4:4" x14ac:dyDescent="0.25">
      <c r="D11143"/>
    </row>
    <row r="11144" spans="4:4" x14ac:dyDescent="0.25">
      <c r="D11144"/>
    </row>
    <row r="11145" spans="4:4" x14ac:dyDescent="0.25">
      <c r="D11145"/>
    </row>
    <row r="11146" spans="4:4" x14ac:dyDescent="0.25">
      <c r="D11146"/>
    </row>
    <row r="11147" spans="4:4" x14ac:dyDescent="0.25">
      <c r="D11147"/>
    </row>
    <row r="11148" spans="4:4" x14ac:dyDescent="0.25">
      <c r="D11148"/>
    </row>
    <row r="11149" spans="4:4" x14ac:dyDescent="0.25">
      <c r="D11149"/>
    </row>
    <row r="11150" spans="4:4" x14ac:dyDescent="0.25">
      <c r="D11150"/>
    </row>
    <row r="11151" spans="4:4" x14ac:dyDescent="0.25">
      <c r="D11151"/>
    </row>
    <row r="11152" spans="4:4" x14ac:dyDescent="0.25">
      <c r="D11152"/>
    </row>
    <row r="11153" spans="4:4" x14ac:dyDescent="0.25">
      <c r="D11153"/>
    </row>
    <row r="11154" spans="4:4" x14ac:dyDescent="0.25">
      <c r="D11154"/>
    </row>
    <row r="11155" spans="4:4" x14ac:dyDescent="0.25">
      <c r="D11155"/>
    </row>
    <row r="11156" spans="4:4" x14ac:dyDescent="0.25">
      <c r="D11156"/>
    </row>
    <row r="11157" spans="4:4" x14ac:dyDescent="0.25">
      <c r="D11157"/>
    </row>
    <row r="11158" spans="4:4" x14ac:dyDescent="0.25">
      <c r="D11158"/>
    </row>
    <row r="11159" spans="4:4" x14ac:dyDescent="0.25">
      <c r="D11159"/>
    </row>
    <row r="11160" spans="4:4" x14ac:dyDescent="0.25">
      <c r="D11160"/>
    </row>
    <row r="11161" spans="4:4" x14ac:dyDescent="0.25">
      <c r="D11161"/>
    </row>
    <row r="11162" spans="4:4" x14ac:dyDescent="0.25">
      <c r="D11162"/>
    </row>
    <row r="11163" spans="4:4" x14ac:dyDescent="0.25">
      <c r="D11163"/>
    </row>
    <row r="11164" spans="4:4" x14ac:dyDescent="0.25">
      <c r="D11164"/>
    </row>
    <row r="11165" spans="4:4" x14ac:dyDescent="0.25">
      <c r="D11165"/>
    </row>
    <row r="11166" spans="4:4" x14ac:dyDescent="0.25">
      <c r="D11166"/>
    </row>
    <row r="11167" spans="4:4" x14ac:dyDescent="0.25">
      <c r="D11167"/>
    </row>
    <row r="11168" spans="4:4" x14ac:dyDescent="0.25">
      <c r="D11168"/>
    </row>
    <row r="11169" spans="4:4" x14ac:dyDescent="0.25">
      <c r="D11169"/>
    </row>
    <row r="11170" spans="4:4" x14ac:dyDescent="0.25">
      <c r="D11170"/>
    </row>
    <row r="11171" spans="4:4" x14ac:dyDescent="0.25">
      <c r="D11171"/>
    </row>
    <row r="11172" spans="4:4" x14ac:dyDescent="0.25">
      <c r="D11172"/>
    </row>
    <row r="11173" spans="4:4" x14ac:dyDescent="0.25">
      <c r="D11173"/>
    </row>
    <row r="11174" spans="4:4" x14ac:dyDescent="0.25">
      <c r="D11174"/>
    </row>
    <row r="11175" spans="4:4" x14ac:dyDescent="0.25">
      <c r="D11175"/>
    </row>
    <row r="11176" spans="4:4" x14ac:dyDescent="0.25">
      <c r="D11176"/>
    </row>
    <row r="11177" spans="4:4" x14ac:dyDescent="0.25">
      <c r="D11177"/>
    </row>
    <row r="11178" spans="4:4" x14ac:dyDescent="0.25">
      <c r="D11178"/>
    </row>
    <row r="11179" spans="4:4" x14ac:dyDescent="0.25">
      <c r="D11179"/>
    </row>
    <row r="11180" spans="4:4" x14ac:dyDescent="0.25">
      <c r="D11180"/>
    </row>
    <row r="11181" spans="4:4" x14ac:dyDescent="0.25">
      <c r="D11181"/>
    </row>
    <row r="11182" spans="4:4" x14ac:dyDescent="0.25">
      <c r="D11182"/>
    </row>
    <row r="11183" spans="4:4" x14ac:dyDescent="0.25">
      <c r="D11183"/>
    </row>
    <row r="11184" spans="4:4" x14ac:dyDescent="0.25">
      <c r="D11184"/>
    </row>
    <row r="11185" spans="4:4" x14ac:dyDescent="0.25">
      <c r="D11185"/>
    </row>
    <row r="11186" spans="4:4" x14ac:dyDescent="0.25">
      <c r="D11186"/>
    </row>
    <row r="11187" spans="4:4" x14ac:dyDescent="0.25">
      <c r="D11187"/>
    </row>
    <row r="11188" spans="4:4" x14ac:dyDescent="0.25">
      <c r="D11188"/>
    </row>
    <row r="11189" spans="4:4" x14ac:dyDescent="0.25">
      <c r="D11189"/>
    </row>
    <row r="11190" spans="4:4" x14ac:dyDescent="0.25">
      <c r="D11190"/>
    </row>
    <row r="11191" spans="4:4" x14ac:dyDescent="0.25">
      <c r="D11191"/>
    </row>
    <row r="11192" spans="4:4" x14ac:dyDescent="0.25">
      <c r="D11192"/>
    </row>
    <row r="11193" spans="4:4" x14ac:dyDescent="0.25">
      <c r="D11193"/>
    </row>
    <row r="11194" spans="4:4" x14ac:dyDescent="0.25">
      <c r="D11194"/>
    </row>
    <row r="11195" spans="4:4" x14ac:dyDescent="0.25">
      <c r="D11195"/>
    </row>
    <row r="11196" spans="4:4" x14ac:dyDescent="0.25">
      <c r="D11196"/>
    </row>
    <row r="11197" spans="4:4" x14ac:dyDescent="0.25">
      <c r="D11197"/>
    </row>
    <row r="11198" spans="4:4" x14ac:dyDescent="0.25">
      <c r="D11198"/>
    </row>
    <row r="11199" spans="4:4" x14ac:dyDescent="0.25">
      <c r="D11199"/>
    </row>
    <row r="11200" spans="4:4" x14ac:dyDescent="0.25">
      <c r="D11200"/>
    </row>
    <row r="11201" spans="4:4" x14ac:dyDescent="0.25">
      <c r="D11201"/>
    </row>
    <row r="11202" spans="4:4" x14ac:dyDescent="0.25">
      <c r="D11202"/>
    </row>
    <row r="11203" spans="4:4" x14ac:dyDescent="0.25">
      <c r="D11203"/>
    </row>
    <row r="11204" spans="4:4" x14ac:dyDescent="0.25">
      <c r="D11204"/>
    </row>
    <row r="11205" spans="4:4" x14ac:dyDescent="0.25">
      <c r="D11205"/>
    </row>
    <row r="11206" spans="4:4" x14ac:dyDescent="0.25">
      <c r="D11206"/>
    </row>
    <row r="11207" spans="4:4" x14ac:dyDescent="0.25">
      <c r="D11207"/>
    </row>
    <row r="11208" spans="4:4" x14ac:dyDescent="0.25">
      <c r="D11208"/>
    </row>
    <row r="11209" spans="4:4" x14ac:dyDescent="0.25">
      <c r="D11209"/>
    </row>
    <row r="11210" spans="4:4" x14ac:dyDescent="0.25">
      <c r="D11210"/>
    </row>
    <row r="11211" spans="4:4" x14ac:dyDescent="0.25">
      <c r="D11211"/>
    </row>
    <row r="11212" spans="4:4" x14ac:dyDescent="0.25">
      <c r="D11212"/>
    </row>
    <row r="11213" spans="4:4" x14ac:dyDescent="0.25">
      <c r="D11213"/>
    </row>
    <row r="11214" spans="4:4" x14ac:dyDescent="0.25">
      <c r="D11214"/>
    </row>
    <row r="11215" spans="4:4" x14ac:dyDescent="0.25">
      <c r="D11215"/>
    </row>
    <row r="11216" spans="4:4" x14ac:dyDescent="0.25">
      <c r="D11216"/>
    </row>
    <row r="11217" spans="4:4" x14ac:dyDescent="0.25">
      <c r="D11217"/>
    </row>
    <row r="11218" spans="4:4" x14ac:dyDescent="0.25">
      <c r="D11218"/>
    </row>
    <row r="11219" spans="4:4" x14ac:dyDescent="0.25">
      <c r="D11219"/>
    </row>
    <row r="11220" spans="4:4" x14ac:dyDescent="0.25">
      <c r="D11220"/>
    </row>
    <row r="11221" spans="4:4" x14ac:dyDescent="0.25">
      <c r="D11221"/>
    </row>
    <row r="11222" spans="4:4" x14ac:dyDescent="0.25">
      <c r="D11222"/>
    </row>
    <row r="11223" spans="4:4" x14ac:dyDescent="0.25">
      <c r="D11223"/>
    </row>
    <row r="11224" spans="4:4" x14ac:dyDescent="0.25">
      <c r="D11224"/>
    </row>
    <row r="11225" spans="4:4" x14ac:dyDescent="0.25">
      <c r="D11225"/>
    </row>
    <row r="11226" spans="4:4" x14ac:dyDescent="0.25">
      <c r="D11226"/>
    </row>
    <row r="11227" spans="4:4" x14ac:dyDescent="0.25">
      <c r="D11227"/>
    </row>
    <row r="11228" spans="4:4" x14ac:dyDescent="0.25">
      <c r="D11228"/>
    </row>
    <row r="11229" spans="4:4" x14ac:dyDescent="0.25">
      <c r="D11229"/>
    </row>
    <row r="11230" spans="4:4" x14ac:dyDescent="0.25">
      <c r="D11230"/>
    </row>
    <row r="11231" spans="4:4" x14ac:dyDescent="0.25">
      <c r="D11231"/>
    </row>
    <row r="11232" spans="4:4" x14ac:dyDescent="0.25">
      <c r="D11232"/>
    </row>
    <row r="11233" spans="4:4" x14ac:dyDescent="0.25">
      <c r="D11233"/>
    </row>
    <row r="11234" spans="4:4" x14ac:dyDescent="0.25">
      <c r="D11234"/>
    </row>
    <row r="11235" spans="4:4" x14ac:dyDescent="0.25">
      <c r="D11235"/>
    </row>
    <row r="11236" spans="4:4" x14ac:dyDescent="0.25">
      <c r="D11236"/>
    </row>
    <row r="11237" spans="4:4" x14ac:dyDescent="0.25">
      <c r="D11237"/>
    </row>
    <row r="11238" spans="4:4" x14ac:dyDescent="0.25">
      <c r="D11238"/>
    </row>
    <row r="11239" spans="4:4" x14ac:dyDescent="0.25">
      <c r="D11239"/>
    </row>
    <row r="11240" spans="4:4" x14ac:dyDescent="0.25">
      <c r="D11240"/>
    </row>
    <row r="11241" spans="4:4" x14ac:dyDescent="0.25">
      <c r="D11241"/>
    </row>
    <row r="11242" spans="4:4" x14ac:dyDescent="0.25">
      <c r="D11242"/>
    </row>
    <row r="11243" spans="4:4" x14ac:dyDescent="0.25">
      <c r="D11243"/>
    </row>
    <row r="11244" spans="4:4" x14ac:dyDescent="0.25">
      <c r="D11244"/>
    </row>
    <row r="11245" spans="4:4" x14ac:dyDescent="0.25">
      <c r="D11245"/>
    </row>
    <row r="11246" spans="4:4" x14ac:dyDescent="0.25">
      <c r="D11246"/>
    </row>
    <row r="11247" spans="4:4" x14ac:dyDescent="0.25">
      <c r="D11247"/>
    </row>
    <row r="11248" spans="4:4" x14ac:dyDescent="0.25">
      <c r="D11248"/>
    </row>
    <row r="11249" spans="4:4" x14ac:dyDescent="0.25">
      <c r="D11249"/>
    </row>
    <row r="11250" spans="4:4" x14ac:dyDescent="0.25">
      <c r="D11250"/>
    </row>
    <row r="11251" spans="4:4" x14ac:dyDescent="0.25">
      <c r="D11251"/>
    </row>
    <row r="11252" spans="4:4" x14ac:dyDescent="0.25">
      <c r="D11252"/>
    </row>
    <row r="11253" spans="4:4" x14ac:dyDescent="0.25">
      <c r="D11253"/>
    </row>
    <row r="11254" spans="4:4" x14ac:dyDescent="0.25">
      <c r="D11254"/>
    </row>
    <row r="11255" spans="4:4" x14ac:dyDescent="0.25">
      <c r="D11255"/>
    </row>
    <row r="11256" spans="4:4" x14ac:dyDescent="0.25">
      <c r="D11256"/>
    </row>
    <row r="11257" spans="4:4" x14ac:dyDescent="0.25">
      <c r="D11257"/>
    </row>
    <row r="11258" spans="4:4" x14ac:dyDescent="0.25">
      <c r="D11258"/>
    </row>
    <row r="11259" spans="4:4" x14ac:dyDescent="0.25">
      <c r="D11259"/>
    </row>
    <row r="11260" spans="4:4" x14ac:dyDescent="0.25">
      <c r="D11260"/>
    </row>
    <row r="11261" spans="4:4" x14ac:dyDescent="0.25">
      <c r="D11261"/>
    </row>
    <row r="11262" spans="4:4" x14ac:dyDescent="0.25">
      <c r="D11262"/>
    </row>
    <row r="11263" spans="4:4" x14ac:dyDescent="0.25">
      <c r="D11263"/>
    </row>
    <row r="11264" spans="4:4" x14ac:dyDescent="0.25">
      <c r="D11264"/>
    </row>
    <row r="11265" spans="4:4" x14ac:dyDescent="0.25">
      <c r="D11265"/>
    </row>
    <row r="11266" spans="4:4" x14ac:dyDescent="0.25">
      <c r="D11266"/>
    </row>
    <row r="11267" spans="4:4" x14ac:dyDescent="0.25">
      <c r="D11267"/>
    </row>
    <row r="11268" spans="4:4" x14ac:dyDescent="0.25">
      <c r="D11268"/>
    </row>
    <row r="11269" spans="4:4" x14ac:dyDescent="0.25">
      <c r="D11269"/>
    </row>
    <row r="11270" spans="4:4" x14ac:dyDescent="0.25">
      <c r="D11270"/>
    </row>
    <row r="11271" spans="4:4" x14ac:dyDescent="0.25">
      <c r="D11271"/>
    </row>
    <row r="11272" spans="4:4" x14ac:dyDescent="0.25">
      <c r="D11272"/>
    </row>
    <row r="11273" spans="4:4" x14ac:dyDescent="0.25">
      <c r="D11273"/>
    </row>
    <row r="11274" spans="4:4" x14ac:dyDescent="0.25">
      <c r="D11274"/>
    </row>
    <row r="11275" spans="4:4" x14ac:dyDescent="0.25">
      <c r="D11275"/>
    </row>
    <row r="11276" spans="4:4" x14ac:dyDescent="0.25">
      <c r="D11276"/>
    </row>
    <row r="11277" spans="4:4" x14ac:dyDescent="0.25">
      <c r="D11277"/>
    </row>
    <row r="11278" spans="4:4" x14ac:dyDescent="0.25">
      <c r="D11278"/>
    </row>
    <row r="11279" spans="4:4" x14ac:dyDescent="0.25">
      <c r="D11279"/>
    </row>
    <row r="11280" spans="4:4" x14ac:dyDescent="0.25">
      <c r="D11280"/>
    </row>
    <row r="11281" spans="4:4" x14ac:dyDescent="0.25">
      <c r="D11281"/>
    </row>
    <row r="11282" spans="4:4" x14ac:dyDescent="0.25">
      <c r="D11282"/>
    </row>
    <row r="11283" spans="4:4" x14ac:dyDescent="0.25">
      <c r="D11283"/>
    </row>
    <row r="11284" spans="4:4" x14ac:dyDescent="0.25">
      <c r="D11284"/>
    </row>
    <row r="11285" spans="4:4" x14ac:dyDescent="0.25">
      <c r="D11285"/>
    </row>
    <row r="11286" spans="4:4" x14ac:dyDescent="0.25">
      <c r="D11286"/>
    </row>
    <row r="11287" spans="4:4" x14ac:dyDescent="0.25">
      <c r="D11287"/>
    </row>
    <row r="11288" spans="4:4" x14ac:dyDescent="0.25">
      <c r="D11288"/>
    </row>
    <row r="11289" spans="4:4" x14ac:dyDescent="0.25">
      <c r="D11289"/>
    </row>
    <row r="11290" spans="4:4" x14ac:dyDescent="0.25">
      <c r="D11290"/>
    </row>
    <row r="11291" spans="4:4" x14ac:dyDescent="0.25">
      <c r="D11291"/>
    </row>
    <row r="11292" spans="4:4" x14ac:dyDescent="0.25">
      <c r="D11292"/>
    </row>
    <row r="11293" spans="4:4" x14ac:dyDescent="0.25">
      <c r="D11293"/>
    </row>
    <row r="11294" spans="4:4" x14ac:dyDescent="0.25">
      <c r="D11294"/>
    </row>
    <row r="11295" spans="4:4" x14ac:dyDescent="0.25">
      <c r="D11295"/>
    </row>
    <row r="11296" spans="4:4" x14ac:dyDescent="0.25">
      <c r="D11296"/>
    </row>
    <row r="11297" spans="4:4" x14ac:dyDescent="0.25">
      <c r="D11297"/>
    </row>
    <row r="11298" spans="4:4" x14ac:dyDescent="0.25">
      <c r="D11298"/>
    </row>
    <row r="11299" spans="4:4" x14ac:dyDescent="0.25">
      <c r="D11299"/>
    </row>
    <row r="11300" spans="4:4" x14ac:dyDescent="0.25">
      <c r="D11300"/>
    </row>
    <row r="11301" spans="4:4" x14ac:dyDescent="0.25">
      <c r="D11301"/>
    </row>
    <row r="11302" spans="4:4" x14ac:dyDescent="0.25">
      <c r="D11302"/>
    </row>
    <row r="11303" spans="4:4" x14ac:dyDescent="0.25">
      <c r="D11303"/>
    </row>
    <row r="11304" spans="4:4" x14ac:dyDescent="0.25">
      <c r="D11304"/>
    </row>
    <row r="11305" spans="4:4" x14ac:dyDescent="0.25">
      <c r="D11305"/>
    </row>
    <row r="11306" spans="4:4" x14ac:dyDescent="0.25">
      <c r="D11306"/>
    </row>
    <row r="11307" spans="4:4" x14ac:dyDescent="0.25">
      <c r="D11307"/>
    </row>
    <row r="11308" spans="4:4" x14ac:dyDescent="0.25">
      <c r="D11308"/>
    </row>
    <row r="11309" spans="4:4" x14ac:dyDescent="0.25">
      <c r="D11309"/>
    </row>
    <row r="11310" spans="4:4" x14ac:dyDescent="0.25">
      <c r="D11310"/>
    </row>
    <row r="11311" spans="4:4" x14ac:dyDescent="0.25">
      <c r="D11311"/>
    </row>
    <row r="11312" spans="4:4" x14ac:dyDescent="0.25">
      <c r="D11312"/>
    </row>
    <row r="11313" spans="4:4" x14ac:dyDescent="0.25">
      <c r="D11313"/>
    </row>
    <row r="11314" spans="4:4" x14ac:dyDescent="0.25">
      <c r="D11314"/>
    </row>
    <row r="11315" spans="4:4" x14ac:dyDescent="0.25">
      <c r="D11315"/>
    </row>
    <row r="11316" spans="4:4" x14ac:dyDescent="0.25">
      <c r="D11316"/>
    </row>
    <row r="11317" spans="4:4" x14ac:dyDescent="0.25">
      <c r="D11317"/>
    </row>
    <row r="11318" spans="4:4" x14ac:dyDescent="0.25">
      <c r="D11318"/>
    </row>
    <row r="11319" spans="4:4" x14ac:dyDescent="0.25">
      <c r="D11319"/>
    </row>
    <row r="11320" spans="4:4" x14ac:dyDescent="0.25">
      <c r="D11320"/>
    </row>
    <row r="11321" spans="4:4" x14ac:dyDescent="0.25">
      <c r="D11321"/>
    </row>
    <row r="11322" spans="4:4" x14ac:dyDescent="0.25">
      <c r="D11322"/>
    </row>
    <row r="11323" spans="4:4" x14ac:dyDescent="0.25">
      <c r="D11323"/>
    </row>
    <row r="11324" spans="4:4" x14ac:dyDescent="0.25">
      <c r="D11324"/>
    </row>
    <row r="11325" spans="4:4" x14ac:dyDescent="0.25">
      <c r="D11325"/>
    </row>
    <row r="11326" spans="4:4" x14ac:dyDescent="0.25">
      <c r="D11326"/>
    </row>
    <row r="11327" spans="4:4" x14ac:dyDescent="0.25">
      <c r="D11327"/>
    </row>
    <row r="11328" spans="4:4" x14ac:dyDescent="0.25">
      <c r="D11328"/>
    </row>
    <row r="11329" spans="4:4" x14ac:dyDescent="0.25">
      <c r="D11329"/>
    </row>
    <row r="11330" spans="4:4" x14ac:dyDescent="0.25">
      <c r="D11330"/>
    </row>
    <row r="11331" spans="4:4" x14ac:dyDescent="0.25">
      <c r="D11331"/>
    </row>
    <row r="11332" spans="4:4" x14ac:dyDescent="0.25">
      <c r="D11332"/>
    </row>
    <row r="11333" spans="4:4" x14ac:dyDescent="0.25">
      <c r="D11333"/>
    </row>
    <row r="11334" spans="4:4" x14ac:dyDescent="0.25">
      <c r="D11334"/>
    </row>
    <row r="11335" spans="4:4" x14ac:dyDescent="0.25">
      <c r="D11335"/>
    </row>
    <row r="11336" spans="4:4" x14ac:dyDescent="0.25">
      <c r="D11336"/>
    </row>
    <row r="11337" spans="4:4" x14ac:dyDescent="0.25">
      <c r="D11337"/>
    </row>
    <row r="11338" spans="4:4" x14ac:dyDescent="0.25">
      <c r="D11338"/>
    </row>
    <row r="11339" spans="4:4" x14ac:dyDescent="0.25">
      <c r="D11339"/>
    </row>
    <row r="11340" spans="4:4" x14ac:dyDescent="0.25">
      <c r="D11340"/>
    </row>
    <row r="11341" spans="4:4" x14ac:dyDescent="0.25">
      <c r="D11341"/>
    </row>
    <row r="11342" spans="4:4" x14ac:dyDescent="0.25">
      <c r="D11342"/>
    </row>
    <row r="11343" spans="4:4" x14ac:dyDescent="0.25">
      <c r="D11343"/>
    </row>
    <row r="11344" spans="4:4" x14ac:dyDescent="0.25">
      <c r="D11344"/>
    </row>
    <row r="11345" spans="4:4" x14ac:dyDescent="0.25">
      <c r="D11345"/>
    </row>
    <row r="11346" spans="4:4" x14ac:dyDescent="0.25">
      <c r="D11346"/>
    </row>
    <row r="11347" spans="4:4" x14ac:dyDescent="0.25">
      <c r="D11347"/>
    </row>
    <row r="11348" spans="4:4" x14ac:dyDescent="0.25">
      <c r="D11348"/>
    </row>
    <row r="11349" spans="4:4" x14ac:dyDescent="0.25">
      <c r="D11349"/>
    </row>
    <row r="11350" spans="4:4" x14ac:dyDescent="0.25">
      <c r="D11350"/>
    </row>
    <row r="11351" spans="4:4" x14ac:dyDescent="0.25">
      <c r="D11351"/>
    </row>
    <row r="11352" spans="4:4" x14ac:dyDescent="0.25">
      <c r="D11352"/>
    </row>
    <row r="11353" spans="4:4" x14ac:dyDescent="0.25">
      <c r="D11353"/>
    </row>
    <row r="11354" spans="4:4" x14ac:dyDescent="0.25">
      <c r="D11354"/>
    </row>
    <row r="11355" spans="4:4" x14ac:dyDescent="0.25">
      <c r="D11355"/>
    </row>
    <row r="11356" spans="4:4" x14ac:dyDescent="0.25">
      <c r="D11356"/>
    </row>
    <row r="11357" spans="4:4" x14ac:dyDescent="0.25">
      <c r="D11357"/>
    </row>
    <row r="11358" spans="4:4" x14ac:dyDescent="0.25">
      <c r="D11358"/>
    </row>
    <row r="11359" spans="4:4" x14ac:dyDescent="0.25">
      <c r="D11359"/>
    </row>
    <row r="11360" spans="4:4" x14ac:dyDescent="0.25">
      <c r="D11360"/>
    </row>
    <row r="11361" spans="4:4" x14ac:dyDescent="0.25">
      <c r="D11361"/>
    </row>
    <row r="11362" spans="4:4" x14ac:dyDescent="0.25">
      <c r="D11362"/>
    </row>
    <row r="11363" spans="4:4" x14ac:dyDescent="0.25">
      <c r="D11363"/>
    </row>
    <row r="11364" spans="4:4" x14ac:dyDescent="0.25">
      <c r="D11364"/>
    </row>
    <row r="11365" spans="4:4" x14ac:dyDescent="0.25">
      <c r="D11365"/>
    </row>
    <row r="11366" spans="4:4" x14ac:dyDescent="0.25">
      <c r="D11366"/>
    </row>
    <row r="11367" spans="4:4" x14ac:dyDescent="0.25">
      <c r="D11367"/>
    </row>
    <row r="11368" spans="4:4" x14ac:dyDescent="0.25">
      <c r="D11368"/>
    </row>
    <row r="11369" spans="4:4" x14ac:dyDescent="0.25">
      <c r="D11369"/>
    </row>
    <row r="11370" spans="4:4" x14ac:dyDescent="0.25">
      <c r="D11370"/>
    </row>
    <row r="11371" spans="4:4" x14ac:dyDescent="0.25">
      <c r="D11371"/>
    </row>
    <row r="11372" spans="4:4" x14ac:dyDescent="0.25">
      <c r="D11372"/>
    </row>
    <row r="11373" spans="4:4" x14ac:dyDescent="0.25">
      <c r="D11373"/>
    </row>
    <row r="11374" spans="4:4" x14ac:dyDescent="0.25">
      <c r="D11374"/>
    </row>
    <row r="11375" spans="4:4" x14ac:dyDescent="0.25">
      <c r="D11375"/>
    </row>
    <row r="11376" spans="4:4" x14ac:dyDescent="0.25">
      <c r="D11376"/>
    </row>
    <row r="11377" spans="4:4" x14ac:dyDescent="0.25">
      <c r="D11377"/>
    </row>
    <row r="11378" spans="4:4" x14ac:dyDescent="0.25">
      <c r="D11378"/>
    </row>
    <row r="11379" spans="4:4" x14ac:dyDescent="0.25">
      <c r="D11379"/>
    </row>
    <row r="11380" spans="4:4" x14ac:dyDescent="0.25">
      <c r="D11380"/>
    </row>
    <row r="11381" spans="4:4" x14ac:dyDescent="0.25">
      <c r="D11381"/>
    </row>
    <row r="11382" spans="4:4" x14ac:dyDescent="0.25">
      <c r="D11382"/>
    </row>
    <row r="11383" spans="4:4" x14ac:dyDescent="0.25">
      <c r="D11383"/>
    </row>
    <row r="11384" spans="4:4" x14ac:dyDescent="0.25">
      <c r="D11384"/>
    </row>
    <row r="11385" spans="4:4" x14ac:dyDescent="0.25">
      <c r="D11385"/>
    </row>
    <row r="11386" spans="4:4" x14ac:dyDescent="0.25">
      <c r="D11386"/>
    </row>
    <row r="11387" spans="4:4" x14ac:dyDescent="0.25">
      <c r="D11387"/>
    </row>
    <row r="11388" spans="4:4" x14ac:dyDescent="0.25">
      <c r="D11388"/>
    </row>
    <row r="11389" spans="4:4" x14ac:dyDescent="0.25">
      <c r="D11389"/>
    </row>
    <row r="11390" spans="4:4" x14ac:dyDescent="0.25">
      <c r="D11390"/>
    </row>
    <row r="11391" spans="4:4" x14ac:dyDescent="0.25">
      <c r="D11391"/>
    </row>
    <row r="11392" spans="4:4" x14ac:dyDescent="0.25">
      <c r="D11392"/>
    </row>
    <row r="11393" spans="4:4" x14ac:dyDescent="0.25">
      <c r="D11393"/>
    </row>
    <row r="11394" spans="4:4" x14ac:dyDescent="0.25">
      <c r="D11394"/>
    </row>
    <row r="11395" spans="4:4" x14ac:dyDescent="0.25">
      <c r="D11395"/>
    </row>
    <row r="11396" spans="4:4" x14ac:dyDescent="0.25">
      <c r="D11396"/>
    </row>
    <row r="11397" spans="4:4" x14ac:dyDescent="0.25">
      <c r="D11397"/>
    </row>
    <row r="11398" spans="4:4" x14ac:dyDescent="0.25">
      <c r="D11398"/>
    </row>
    <row r="11399" spans="4:4" x14ac:dyDescent="0.25">
      <c r="D11399"/>
    </row>
    <row r="11400" spans="4:4" x14ac:dyDescent="0.25">
      <c r="D11400"/>
    </row>
    <row r="11401" spans="4:4" x14ac:dyDescent="0.25">
      <c r="D11401"/>
    </row>
    <row r="11402" spans="4:4" x14ac:dyDescent="0.25">
      <c r="D11402"/>
    </row>
    <row r="11403" spans="4:4" x14ac:dyDescent="0.25">
      <c r="D11403"/>
    </row>
    <row r="11404" spans="4:4" x14ac:dyDescent="0.25">
      <c r="D11404"/>
    </row>
    <row r="11405" spans="4:4" x14ac:dyDescent="0.25">
      <c r="D11405"/>
    </row>
    <row r="11406" spans="4:4" x14ac:dyDescent="0.25">
      <c r="D11406"/>
    </row>
    <row r="11407" spans="4:4" x14ac:dyDescent="0.25">
      <c r="D11407"/>
    </row>
    <row r="11408" spans="4:4" x14ac:dyDescent="0.25">
      <c r="D11408"/>
    </row>
    <row r="11409" spans="4:4" x14ac:dyDescent="0.25">
      <c r="D11409"/>
    </row>
    <row r="11410" spans="4:4" x14ac:dyDescent="0.25">
      <c r="D11410"/>
    </row>
    <row r="11411" spans="4:4" x14ac:dyDescent="0.25">
      <c r="D11411"/>
    </row>
    <row r="11412" spans="4:4" x14ac:dyDescent="0.25">
      <c r="D11412"/>
    </row>
    <row r="11413" spans="4:4" x14ac:dyDescent="0.25">
      <c r="D11413"/>
    </row>
    <row r="11414" spans="4:4" x14ac:dyDescent="0.25">
      <c r="D11414"/>
    </row>
    <row r="11415" spans="4:4" x14ac:dyDescent="0.25">
      <c r="D11415"/>
    </row>
    <row r="11416" spans="4:4" x14ac:dyDescent="0.25">
      <c r="D11416"/>
    </row>
    <row r="11417" spans="4:4" x14ac:dyDescent="0.25">
      <c r="D11417"/>
    </row>
    <row r="11418" spans="4:4" x14ac:dyDescent="0.25">
      <c r="D11418"/>
    </row>
    <row r="11419" spans="4:4" x14ac:dyDescent="0.25">
      <c r="D11419"/>
    </row>
    <row r="11420" spans="4:4" x14ac:dyDescent="0.25">
      <c r="D11420"/>
    </row>
    <row r="11421" spans="4:4" x14ac:dyDescent="0.25">
      <c r="D11421"/>
    </row>
    <row r="11422" spans="4:4" x14ac:dyDescent="0.25">
      <c r="D11422"/>
    </row>
    <row r="11423" spans="4:4" x14ac:dyDescent="0.25">
      <c r="D11423"/>
    </row>
    <row r="11424" spans="4:4" x14ac:dyDescent="0.25">
      <c r="D11424"/>
    </row>
    <row r="11425" spans="4:4" x14ac:dyDescent="0.25">
      <c r="D11425"/>
    </row>
    <row r="11426" spans="4:4" x14ac:dyDescent="0.25">
      <c r="D11426"/>
    </row>
    <row r="11427" spans="4:4" x14ac:dyDescent="0.25">
      <c r="D11427"/>
    </row>
    <row r="11428" spans="4:4" x14ac:dyDescent="0.25">
      <c r="D11428"/>
    </row>
    <row r="11429" spans="4:4" x14ac:dyDescent="0.25">
      <c r="D11429"/>
    </row>
    <row r="11430" spans="4:4" x14ac:dyDescent="0.25">
      <c r="D11430"/>
    </row>
    <row r="11431" spans="4:4" x14ac:dyDescent="0.25">
      <c r="D11431"/>
    </row>
    <row r="11432" spans="4:4" x14ac:dyDescent="0.25">
      <c r="D11432"/>
    </row>
    <row r="11433" spans="4:4" x14ac:dyDescent="0.25">
      <c r="D11433"/>
    </row>
    <row r="11434" spans="4:4" x14ac:dyDescent="0.25">
      <c r="D11434"/>
    </row>
    <row r="11435" spans="4:4" x14ac:dyDescent="0.25">
      <c r="D11435"/>
    </row>
    <row r="11436" spans="4:4" x14ac:dyDescent="0.25">
      <c r="D11436"/>
    </row>
    <row r="11437" spans="4:4" x14ac:dyDescent="0.25">
      <c r="D11437"/>
    </row>
    <row r="11438" spans="4:4" x14ac:dyDescent="0.25">
      <c r="D11438"/>
    </row>
    <row r="11439" spans="4:4" x14ac:dyDescent="0.25">
      <c r="D11439"/>
    </row>
    <row r="11440" spans="4:4" x14ac:dyDescent="0.25">
      <c r="D11440"/>
    </row>
    <row r="11441" spans="4:4" x14ac:dyDescent="0.25">
      <c r="D11441"/>
    </row>
    <row r="11442" spans="4:4" x14ac:dyDescent="0.25">
      <c r="D11442"/>
    </row>
    <row r="11443" spans="4:4" x14ac:dyDescent="0.25">
      <c r="D11443"/>
    </row>
    <row r="11444" spans="4:4" x14ac:dyDescent="0.25">
      <c r="D11444"/>
    </row>
    <row r="11445" spans="4:4" x14ac:dyDescent="0.25">
      <c r="D11445"/>
    </row>
    <row r="11446" spans="4:4" x14ac:dyDescent="0.25">
      <c r="D11446"/>
    </row>
    <row r="11447" spans="4:4" x14ac:dyDescent="0.25">
      <c r="D11447"/>
    </row>
    <row r="11448" spans="4:4" x14ac:dyDescent="0.25">
      <c r="D11448"/>
    </row>
    <row r="11449" spans="4:4" x14ac:dyDescent="0.25">
      <c r="D11449"/>
    </row>
    <row r="11450" spans="4:4" x14ac:dyDescent="0.25">
      <c r="D11450"/>
    </row>
    <row r="11451" spans="4:4" x14ac:dyDescent="0.25">
      <c r="D11451"/>
    </row>
    <row r="11452" spans="4:4" x14ac:dyDescent="0.25">
      <c r="D11452"/>
    </row>
    <row r="11453" spans="4:4" x14ac:dyDescent="0.25">
      <c r="D11453"/>
    </row>
    <row r="11454" spans="4:4" x14ac:dyDescent="0.25">
      <c r="D11454"/>
    </row>
    <row r="11455" spans="4:4" x14ac:dyDescent="0.25">
      <c r="D11455"/>
    </row>
    <row r="11456" spans="4:4" x14ac:dyDescent="0.25">
      <c r="D11456"/>
    </row>
    <row r="11457" spans="4:4" x14ac:dyDescent="0.25">
      <c r="D11457"/>
    </row>
    <row r="11458" spans="4:4" x14ac:dyDescent="0.25">
      <c r="D11458"/>
    </row>
    <row r="11459" spans="4:4" x14ac:dyDescent="0.25">
      <c r="D11459"/>
    </row>
    <row r="11460" spans="4:4" x14ac:dyDescent="0.25">
      <c r="D11460"/>
    </row>
    <row r="11461" spans="4:4" x14ac:dyDescent="0.25">
      <c r="D11461"/>
    </row>
    <row r="11462" spans="4:4" x14ac:dyDescent="0.25">
      <c r="D11462"/>
    </row>
    <row r="11463" spans="4:4" x14ac:dyDescent="0.25">
      <c r="D11463"/>
    </row>
    <row r="11464" spans="4:4" x14ac:dyDescent="0.25">
      <c r="D11464"/>
    </row>
    <row r="11465" spans="4:4" x14ac:dyDescent="0.25">
      <c r="D11465"/>
    </row>
    <row r="11466" spans="4:4" x14ac:dyDescent="0.25">
      <c r="D11466"/>
    </row>
    <row r="11467" spans="4:4" x14ac:dyDescent="0.25">
      <c r="D11467"/>
    </row>
    <row r="11468" spans="4:4" x14ac:dyDescent="0.25">
      <c r="D11468"/>
    </row>
    <row r="11469" spans="4:4" x14ac:dyDescent="0.25">
      <c r="D11469"/>
    </row>
    <row r="11470" spans="4:4" x14ac:dyDescent="0.25">
      <c r="D11470"/>
    </row>
    <row r="11471" spans="4:4" x14ac:dyDescent="0.25">
      <c r="D11471"/>
    </row>
    <row r="11472" spans="4:4" x14ac:dyDescent="0.25">
      <c r="D11472"/>
    </row>
    <row r="11473" spans="4:4" x14ac:dyDescent="0.25">
      <c r="D11473"/>
    </row>
    <row r="11474" spans="4:4" x14ac:dyDescent="0.25">
      <c r="D11474"/>
    </row>
    <row r="11475" spans="4:4" x14ac:dyDescent="0.25">
      <c r="D11475"/>
    </row>
    <row r="11476" spans="4:4" x14ac:dyDescent="0.25">
      <c r="D11476"/>
    </row>
    <row r="11477" spans="4:4" x14ac:dyDescent="0.25">
      <c r="D11477"/>
    </row>
    <row r="11478" spans="4:4" x14ac:dyDescent="0.25">
      <c r="D11478"/>
    </row>
    <row r="11479" spans="4:4" x14ac:dyDescent="0.25">
      <c r="D11479"/>
    </row>
    <row r="11480" spans="4:4" x14ac:dyDescent="0.25">
      <c r="D11480"/>
    </row>
    <row r="11481" spans="4:4" x14ac:dyDescent="0.25">
      <c r="D11481"/>
    </row>
    <row r="11482" spans="4:4" x14ac:dyDescent="0.25">
      <c r="D11482"/>
    </row>
    <row r="11483" spans="4:4" x14ac:dyDescent="0.25">
      <c r="D11483"/>
    </row>
    <row r="11484" spans="4:4" x14ac:dyDescent="0.25">
      <c r="D11484"/>
    </row>
    <row r="11485" spans="4:4" x14ac:dyDescent="0.25">
      <c r="D11485"/>
    </row>
    <row r="11486" spans="4:4" x14ac:dyDescent="0.25">
      <c r="D11486"/>
    </row>
    <row r="11487" spans="4:4" x14ac:dyDescent="0.25">
      <c r="D11487"/>
    </row>
    <row r="11488" spans="4:4" x14ac:dyDescent="0.25">
      <c r="D11488"/>
    </row>
    <row r="11489" spans="4:4" x14ac:dyDescent="0.25">
      <c r="D11489"/>
    </row>
    <row r="11490" spans="4:4" x14ac:dyDescent="0.25">
      <c r="D11490"/>
    </row>
    <row r="11491" spans="4:4" x14ac:dyDescent="0.25">
      <c r="D11491"/>
    </row>
    <row r="11492" spans="4:4" x14ac:dyDescent="0.25">
      <c r="D11492"/>
    </row>
    <row r="11493" spans="4:4" x14ac:dyDescent="0.25">
      <c r="D11493"/>
    </row>
    <row r="11494" spans="4:4" x14ac:dyDescent="0.25">
      <c r="D11494"/>
    </row>
    <row r="11495" spans="4:4" x14ac:dyDescent="0.25">
      <c r="D11495"/>
    </row>
    <row r="11496" spans="4:4" x14ac:dyDescent="0.25">
      <c r="D11496"/>
    </row>
    <row r="11497" spans="4:4" x14ac:dyDescent="0.25">
      <c r="D11497"/>
    </row>
    <row r="11498" spans="4:4" x14ac:dyDescent="0.25">
      <c r="D11498"/>
    </row>
    <row r="11499" spans="4:4" x14ac:dyDescent="0.25">
      <c r="D11499"/>
    </row>
    <row r="11500" spans="4:4" x14ac:dyDescent="0.25">
      <c r="D11500"/>
    </row>
    <row r="11501" spans="4:4" x14ac:dyDescent="0.25">
      <c r="D11501"/>
    </row>
    <row r="11502" spans="4:4" x14ac:dyDescent="0.25">
      <c r="D11502"/>
    </row>
    <row r="11503" spans="4:4" x14ac:dyDescent="0.25">
      <c r="D11503"/>
    </row>
    <row r="11504" spans="4:4" x14ac:dyDescent="0.25">
      <c r="D11504"/>
    </row>
    <row r="11505" spans="4:4" x14ac:dyDescent="0.25">
      <c r="D11505"/>
    </row>
    <row r="11506" spans="4:4" x14ac:dyDescent="0.25">
      <c r="D11506"/>
    </row>
    <row r="11507" spans="4:4" x14ac:dyDescent="0.25">
      <c r="D11507"/>
    </row>
    <row r="11508" spans="4:4" x14ac:dyDescent="0.25">
      <c r="D11508"/>
    </row>
    <row r="11509" spans="4:4" x14ac:dyDescent="0.25">
      <c r="D11509"/>
    </row>
    <row r="11510" spans="4:4" x14ac:dyDescent="0.25">
      <c r="D11510"/>
    </row>
    <row r="11511" spans="4:4" x14ac:dyDescent="0.25">
      <c r="D11511"/>
    </row>
    <row r="11512" spans="4:4" x14ac:dyDescent="0.25">
      <c r="D11512"/>
    </row>
    <row r="11513" spans="4:4" x14ac:dyDescent="0.25">
      <c r="D11513"/>
    </row>
    <row r="11514" spans="4:4" x14ac:dyDescent="0.25">
      <c r="D11514"/>
    </row>
    <row r="11515" spans="4:4" x14ac:dyDescent="0.25">
      <c r="D11515"/>
    </row>
    <row r="11516" spans="4:4" x14ac:dyDescent="0.25">
      <c r="D11516"/>
    </row>
    <row r="11517" spans="4:4" x14ac:dyDescent="0.25">
      <c r="D11517"/>
    </row>
    <row r="11518" spans="4:4" x14ac:dyDescent="0.25">
      <c r="D11518"/>
    </row>
    <row r="11519" spans="4:4" x14ac:dyDescent="0.25">
      <c r="D11519"/>
    </row>
    <row r="11520" spans="4:4" x14ac:dyDescent="0.25">
      <c r="D11520"/>
    </row>
    <row r="11521" spans="4:4" x14ac:dyDescent="0.25">
      <c r="D11521"/>
    </row>
    <row r="11522" spans="4:4" x14ac:dyDescent="0.25">
      <c r="D11522"/>
    </row>
    <row r="11523" spans="4:4" x14ac:dyDescent="0.25">
      <c r="D11523"/>
    </row>
    <row r="11524" spans="4:4" x14ac:dyDescent="0.25">
      <c r="D11524"/>
    </row>
    <row r="11525" spans="4:4" x14ac:dyDescent="0.25">
      <c r="D11525"/>
    </row>
    <row r="11526" spans="4:4" x14ac:dyDescent="0.25">
      <c r="D11526"/>
    </row>
    <row r="11527" spans="4:4" x14ac:dyDescent="0.25">
      <c r="D11527"/>
    </row>
    <row r="11528" spans="4:4" x14ac:dyDescent="0.25">
      <c r="D11528"/>
    </row>
    <row r="11529" spans="4:4" x14ac:dyDescent="0.25">
      <c r="D11529"/>
    </row>
    <row r="11530" spans="4:4" x14ac:dyDescent="0.25">
      <c r="D11530"/>
    </row>
    <row r="11531" spans="4:4" x14ac:dyDescent="0.25">
      <c r="D11531"/>
    </row>
    <row r="11532" spans="4:4" x14ac:dyDescent="0.25">
      <c r="D11532"/>
    </row>
    <row r="11533" spans="4:4" x14ac:dyDescent="0.25">
      <c r="D11533"/>
    </row>
    <row r="11534" spans="4:4" x14ac:dyDescent="0.25">
      <c r="D11534"/>
    </row>
    <row r="11535" spans="4:4" x14ac:dyDescent="0.25">
      <c r="D11535"/>
    </row>
    <row r="11536" spans="4:4" x14ac:dyDescent="0.25">
      <c r="D11536"/>
    </row>
    <row r="11537" spans="4:4" x14ac:dyDescent="0.25">
      <c r="D11537"/>
    </row>
    <row r="11538" spans="4:4" x14ac:dyDescent="0.25">
      <c r="D11538"/>
    </row>
    <row r="11539" spans="4:4" x14ac:dyDescent="0.25">
      <c r="D11539"/>
    </row>
    <row r="11540" spans="4:4" x14ac:dyDescent="0.25">
      <c r="D11540"/>
    </row>
    <row r="11541" spans="4:4" x14ac:dyDescent="0.25">
      <c r="D11541"/>
    </row>
    <row r="11542" spans="4:4" x14ac:dyDescent="0.25">
      <c r="D11542"/>
    </row>
    <row r="11543" spans="4:4" x14ac:dyDescent="0.25">
      <c r="D11543"/>
    </row>
    <row r="11544" spans="4:4" x14ac:dyDescent="0.25">
      <c r="D11544"/>
    </row>
    <row r="11545" spans="4:4" x14ac:dyDescent="0.25">
      <c r="D11545"/>
    </row>
    <row r="11546" spans="4:4" x14ac:dyDescent="0.25">
      <c r="D11546"/>
    </row>
    <row r="11547" spans="4:4" x14ac:dyDescent="0.25">
      <c r="D11547"/>
    </row>
    <row r="11548" spans="4:4" x14ac:dyDescent="0.25">
      <c r="D11548"/>
    </row>
    <row r="11549" spans="4:4" x14ac:dyDescent="0.25">
      <c r="D11549"/>
    </row>
    <row r="11550" spans="4:4" x14ac:dyDescent="0.25">
      <c r="D11550"/>
    </row>
    <row r="11551" spans="4:4" x14ac:dyDescent="0.25">
      <c r="D11551"/>
    </row>
    <row r="11552" spans="4:4" x14ac:dyDescent="0.25">
      <c r="D11552"/>
    </row>
    <row r="11553" spans="4:4" x14ac:dyDescent="0.25">
      <c r="D11553"/>
    </row>
    <row r="11554" spans="4:4" x14ac:dyDescent="0.25">
      <c r="D11554"/>
    </row>
    <row r="11555" spans="4:4" x14ac:dyDescent="0.25">
      <c r="D11555"/>
    </row>
    <row r="11556" spans="4:4" x14ac:dyDescent="0.25">
      <c r="D11556"/>
    </row>
    <row r="11557" spans="4:4" x14ac:dyDescent="0.25">
      <c r="D11557"/>
    </row>
    <row r="11558" spans="4:4" x14ac:dyDescent="0.25">
      <c r="D11558"/>
    </row>
    <row r="11559" spans="4:4" x14ac:dyDescent="0.25">
      <c r="D11559"/>
    </row>
    <row r="11560" spans="4:4" x14ac:dyDescent="0.25">
      <c r="D11560"/>
    </row>
    <row r="11561" spans="4:4" x14ac:dyDescent="0.25">
      <c r="D11561"/>
    </row>
    <row r="11562" spans="4:4" x14ac:dyDescent="0.25">
      <c r="D11562"/>
    </row>
    <row r="11563" spans="4:4" x14ac:dyDescent="0.25">
      <c r="D11563"/>
    </row>
    <row r="11564" spans="4:4" x14ac:dyDescent="0.25">
      <c r="D11564"/>
    </row>
    <row r="11565" spans="4:4" x14ac:dyDescent="0.25">
      <c r="D11565"/>
    </row>
    <row r="11566" spans="4:4" x14ac:dyDescent="0.25">
      <c r="D11566"/>
    </row>
    <row r="11567" spans="4:4" x14ac:dyDescent="0.25">
      <c r="D11567"/>
    </row>
    <row r="11568" spans="4:4" x14ac:dyDescent="0.25">
      <c r="D11568"/>
    </row>
    <row r="11569" spans="4:4" x14ac:dyDescent="0.25">
      <c r="D11569"/>
    </row>
    <row r="11570" spans="4:4" x14ac:dyDescent="0.25">
      <c r="D11570"/>
    </row>
    <row r="11571" spans="4:4" x14ac:dyDescent="0.25">
      <c r="D11571"/>
    </row>
    <row r="11572" spans="4:4" x14ac:dyDescent="0.25">
      <c r="D11572"/>
    </row>
    <row r="11573" spans="4:4" x14ac:dyDescent="0.25">
      <c r="D11573"/>
    </row>
    <row r="11574" spans="4:4" x14ac:dyDescent="0.25">
      <c r="D11574"/>
    </row>
    <row r="11575" spans="4:4" x14ac:dyDescent="0.25">
      <c r="D11575"/>
    </row>
    <row r="11576" spans="4:4" x14ac:dyDescent="0.25">
      <c r="D11576"/>
    </row>
    <row r="11577" spans="4:4" x14ac:dyDescent="0.25">
      <c r="D11577"/>
    </row>
    <row r="11578" spans="4:4" x14ac:dyDescent="0.25">
      <c r="D11578"/>
    </row>
    <row r="11579" spans="4:4" x14ac:dyDescent="0.25">
      <c r="D11579"/>
    </row>
    <row r="11580" spans="4:4" x14ac:dyDescent="0.25">
      <c r="D11580"/>
    </row>
    <row r="11581" spans="4:4" x14ac:dyDescent="0.25">
      <c r="D11581"/>
    </row>
    <row r="11582" spans="4:4" x14ac:dyDescent="0.25">
      <c r="D11582"/>
    </row>
    <row r="11583" spans="4:4" x14ac:dyDescent="0.25">
      <c r="D11583"/>
    </row>
    <row r="11584" spans="4:4" x14ac:dyDescent="0.25">
      <c r="D11584"/>
    </row>
    <row r="11585" spans="4:4" x14ac:dyDescent="0.25">
      <c r="D11585"/>
    </row>
    <row r="11586" spans="4:4" x14ac:dyDescent="0.25">
      <c r="D11586"/>
    </row>
    <row r="11587" spans="4:4" x14ac:dyDescent="0.25">
      <c r="D11587"/>
    </row>
    <row r="11588" spans="4:4" x14ac:dyDescent="0.25">
      <c r="D11588"/>
    </row>
    <row r="11589" spans="4:4" x14ac:dyDescent="0.25">
      <c r="D11589"/>
    </row>
    <row r="11590" spans="4:4" x14ac:dyDescent="0.25">
      <c r="D11590"/>
    </row>
    <row r="11591" spans="4:4" x14ac:dyDescent="0.25">
      <c r="D11591"/>
    </row>
    <row r="11592" spans="4:4" x14ac:dyDescent="0.25">
      <c r="D11592"/>
    </row>
    <row r="11593" spans="4:4" x14ac:dyDescent="0.25">
      <c r="D11593"/>
    </row>
    <row r="11594" spans="4:4" x14ac:dyDescent="0.25">
      <c r="D11594"/>
    </row>
    <row r="11595" spans="4:4" x14ac:dyDescent="0.25">
      <c r="D11595"/>
    </row>
    <row r="11596" spans="4:4" x14ac:dyDescent="0.25">
      <c r="D11596"/>
    </row>
    <row r="11597" spans="4:4" x14ac:dyDescent="0.25">
      <c r="D11597"/>
    </row>
    <row r="11598" spans="4:4" x14ac:dyDescent="0.25">
      <c r="D11598"/>
    </row>
    <row r="11599" spans="4:4" x14ac:dyDescent="0.25">
      <c r="D11599"/>
    </row>
    <row r="11600" spans="4:4" x14ac:dyDescent="0.25">
      <c r="D11600"/>
    </row>
    <row r="11601" spans="4:4" x14ac:dyDescent="0.25">
      <c r="D11601"/>
    </row>
    <row r="11602" spans="4:4" x14ac:dyDescent="0.25">
      <c r="D11602"/>
    </row>
    <row r="11603" spans="4:4" x14ac:dyDescent="0.25">
      <c r="D11603"/>
    </row>
    <row r="11604" spans="4:4" x14ac:dyDescent="0.25">
      <c r="D11604"/>
    </row>
    <row r="11605" spans="4:4" x14ac:dyDescent="0.25">
      <c r="D11605"/>
    </row>
    <row r="11606" spans="4:4" x14ac:dyDescent="0.25">
      <c r="D11606"/>
    </row>
    <row r="11607" spans="4:4" x14ac:dyDescent="0.25">
      <c r="D11607"/>
    </row>
    <row r="11608" spans="4:4" x14ac:dyDescent="0.25">
      <c r="D11608"/>
    </row>
    <row r="11609" spans="4:4" x14ac:dyDescent="0.25">
      <c r="D11609"/>
    </row>
    <row r="11610" spans="4:4" x14ac:dyDescent="0.25">
      <c r="D11610"/>
    </row>
    <row r="11611" spans="4:4" x14ac:dyDescent="0.25">
      <c r="D11611"/>
    </row>
    <row r="11612" spans="4:4" x14ac:dyDescent="0.25">
      <c r="D11612"/>
    </row>
    <row r="11613" spans="4:4" x14ac:dyDescent="0.25">
      <c r="D11613"/>
    </row>
    <row r="11614" spans="4:4" x14ac:dyDescent="0.25">
      <c r="D11614"/>
    </row>
    <row r="11615" spans="4:4" x14ac:dyDescent="0.25">
      <c r="D11615"/>
    </row>
    <row r="11616" spans="4:4" x14ac:dyDescent="0.25">
      <c r="D11616"/>
    </row>
    <row r="11617" spans="4:4" x14ac:dyDescent="0.25">
      <c r="D11617"/>
    </row>
    <row r="11618" spans="4:4" x14ac:dyDescent="0.25">
      <c r="D11618"/>
    </row>
    <row r="11619" spans="4:4" x14ac:dyDescent="0.25">
      <c r="D11619"/>
    </row>
    <row r="11620" spans="4:4" x14ac:dyDescent="0.25">
      <c r="D11620"/>
    </row>
    <row r="11621" spans="4:4" x14ac:dyDescent="0.25">
      <c r="D11621"/>
    </row>
    <row r="11622" spans="4:4" x14ac:dyDescent="0.25">
      <c r="D11622"/>
    </row>
    <row r="11623" spans="4:4" x14ac:dyDescent="0.25">
      <c r="D11623"/>
    </row>
    <row r="11624" spans="4:4" x14ac:dyDescent="0.25">
      <c r="D11624"/>
    </row>
    <row r="11625" spans="4:4" x14ac:dyDescent="0.25">
      <c r="D11625"/>
    </row>
    <row r="11626" spans="4:4" x14ac:dyDescent="0.25">
      <c r="D11626"/>
    </row>
    <row r="11627" spans="4:4" x14ac:dyDescent="0.25">
      <c r="D11627"/>
    </row>
    <row r="11628" spans="4:4" x14ac:dyDescent="0.25">
      <c r="D11628"/>
    </row>
    <row r="11629" spans="4:4" x14ac:dyDescent="0.25">
      <c r="D11629"/>
    </row>
    <row r="11630" spans="4:4" x14ac:dyDescent="0.25">
      <c r="D11630"/>
    </row>
    <row r="11631" spans="4:4" x14ac:dyDescent="0.25">
      <c r="D11631"/>
    </row>
    <row r="11632" spans="4:4" x14ac:dyDescent="0.25">
      <c r="D11632"/>
    </row>
    <row r="11633" spans="4:4" x14ac:dyDescent="0.25">
      <c r="D11633"/>
    </row>
    <row r="11634" spans="4:4" x14ac:dyDescent="0.25">
      <c r="D11634"/>
    </row>
    <row r="11635" spans="4:4" x14ac:dyDescent="0.25">
      <c r="D11635"/>
    </row>
    <row r="11636" spans="4:4" x14ac:dyDescent="0.25">
      <c r="D11636"/>
    </row>
    <row r="11637" spans="4:4" x14ac:dyDescent="0.25">
      <c r="D11637"/>
    </row>
    <row r="11638" spans="4:4" x14ac:dyDescent="0.25">
      <c r="D11638"/>
    </row>
    <row r="11639" spans="4:4" x14ac:dyDescent="0.25">
      <c r="D11639"/>
    </row>
    <row r="11640" spans="4:4" x14ac:dyDescent="0.25">
      <c r="D11640"/>
    </row>
    <row r="11641" spans="4:4" x14ac:dyDescent="0.25">
      <c r="D11641"/>
    </row>
    <row r="11642" spans="4:4" x14ac:dyDescent="0.25">
      <c r="D11642"/>
    </row>
    <row r="11643" spans="4:4" x14ac:dyDescent="0.25">
      <c r="D11643"/>
    </row>
    <row r="11644" spans="4:4" x14ac:dyDescent="0.25">
      <c r="D11644"/>
    </row>
    <row r="11645" spans="4:4" x14ac:dyDescent="0.25">
      <c r="D11645"/>
    </row>
    <row r="11646" spans="4:4" x14ac:dyDescent="0.25">
      <c r="D11646"/>
    </row>
    <row r="11647" spans="4:4" x14ac:dyDescent="0.25">
      <c r="D11647"/>
    </row>
    <row r="11648" spans="4:4" x14ac:dyDescent="0.25">
      <c r="D11648"/>
    </row>
    <row r="11649" spans="4:4" x14ac:dyDescent="0.25">
      <c r="D11649"/>
    </row>
    <row r="11650" spans="4:4" x14ac:dyDescent="0.25">
      <c r="D11650"/>
    </row>
    <row r="11651" spans="4:4" x14ac:dyDescent="0.25">
      <c r="D11651"/>
    </row>
    <row r="11652" spans="4:4" x14ac:dyDescent="0.25">
      <c r="D11652"/>
    </row>
    <row r="11653" spans="4:4" x14ac:dyDescent="0.25">
      <c r="D11653"/>
    </row>
    <row r="11654" spans="4:4" x14ac:dyDescent="0.25">
      <c r="D11654"/>
    </row>
    <row r="11655" spans="4:4" x14ac:dyDescent="0.25">
      <c r="D11655"/>
    </row>
    <row r="11656" spans="4:4" x14ac:dyDescent="0.25">
      <c r="D11656"/>
    </row>
    <row r="11657" spans="4:4" x14ac:dyDescent="0.25">
      <c r="D11657"/>
    </row>
    <row r="11658" spans="4:4" x14ac:dyDescent="0.25">
      <c r="D11658"/>
    </row>
    <row r="11659" spans="4:4" x14ac:dyDescent="0.25">
      <c r="D11659"/>
    </row>
    <row r="11660" spans="4:4" x14ac:dyDescent="0.25">
      <c r="D11660"/>
    </row>
    <row r="11661" spans="4:4" x14ac:dyDescent="0.25">
      <c r="D11661"/>
    </row>
    <row r="11662" spans="4:4" x14ac:dyDescent="0.25">
      <c r="D11662"/>
    </row>
    <row r="11663" spans="4:4" x14ac:dyDescent="0.25">
      <c r="D11663"/>
    </row>
    <row r="11664" spans="4:4" x14ac:dyDescent="0.25">
      <c r="D11664"/>
    </row>
    <row r="11665" spans="4:4" x14ac:dyDescent="0.25">
      <c r="D11665"/>
    </row>
    <row r="11666" spans="4:4" x14ac:dyDescent="0.25">
      <c r="D11666"/>
    </row>
    <row r="11667" spans="4:4" x14ac:dyDescent="0.25">
      <c r="D11667"/>
    </row>
    <row r="11668" spans="4:4" x14ac:dyDescent="0.25">
      <c r="D11668"/>
    </row>
    <row r="11669" spans="4:4" x14ac:dyDescent="0.25">
      <c r="D11669"/>
    </row>
    <row r="11670" spans="4:4" x14ac:dyDescent="0.25">
      <c r="D11670"/>
    </row>
    <row r="11671" spans="4:4" x14ac:dyDescent="0.25">
      <c r="D11671"/>
    </row>
    <row r="11672" spans="4:4" x14ac:dyDescent="0.25">
      <c r="D11672"/>
    </row>
    <row r="11673" spans="4:4" x14ac:dyDescent="0.25">
      <c r="D11673"/>
    </row>
    <row r="11674" spans="4:4" x14ac:dyDescent="0.25">
      <c r="D11674"/>
    </row>
    <row r="11675" spans="4:4" x14ac:dyDescent="0.25">
      <c r="D11675"/>
    </row>
    <row r="11676" spans="4:4" x14ac:dyDescent="0.25">
      <c r="D11676"/>
    </row>
    <row r="11677" spans="4:4" x14ac:dyDescent="0.25">
      <c r="D11677"/>
    </row>
    <row r="11678" spans="4:4" x14ac:dyDescent="0.25">
      <c r="D11678"/>
    </row>
    <row r="11679" spans="4:4" x14ac:dyDescent="0.25">
      <c r="D11679"/>
    </row>
    <row r="11680" spans="4:4" x14ac:dyDescent="0.25">
      <c r="D11680"/>
    </row>
    <row r="11681" spans="4:4" x14ac:dyDescent="0.25">
      <c r="D11681"/>
    </row>
    <row r="11682" spans="4:4" x14ac:dyDescent="0.25">
      <c r="D11682"/>
    </row>
    <row r="11683" spans="4:4" x14ac:dyDescent="0.25">
      <c r="D11683"/>
    </row>
    <row r="11684" spans="4:4" x14ac:dyDescent="0.25">
      <c r="D11684"/>
    </row>
    <row r="11685" spans="4:4" x14ac:dyDescent="0.25">
      <c r="D11685"/>
    </row>
    <row r="11686" spans="4:4" x14ac:dyDescent="0.25">
      <c r="D11686"/>
    </row>
    <row r="11687" spans="4:4" x14ac:dyDescent="0.25">
      <c r="D11687"/>
    </row>
    <row r="11688" spans="4:4" x14ac:dyDescent="0.25">
      <c r="D11688"/>
    </row>
    <row r="11689" spans="4:4" x14ac:dyDescent="0.25">
      <c r="D11689"/>
    </row>
    <row r="11690" spans="4:4" x14ac:dyDescent="0.25">
      <c r="D11690"/>
    </row>
    <row r="11691" spans="4:4" x14ac:dyDescent="0.25">
      <c r="D11691"/>
    </row>
    <row r="11692" spans="4:4" x14ac:dyDescent="0.25">
      <c r="D11692"/>
    </row>
    <row r="11693" spans="4:4" x14ac:dyDescent="0.25">
      <c r="D11693"/>
    </row>
    <row r="11694" spans="4:4" x14ac:dyDescent="0.25">
      <c r="D11694"/>
    </row>
    <row r="11695" spans="4:4" x14ac:dyDescent="0.25">
      <c r="D11695"/>
    </row>
    <row r="11696" spans="4:4" x14ac:dyDescent="0.25">
      <c r="D11696"/>
    </row>
    <row r="11697" spans="4:4" x14ac:dyDescent="0.25">
      <c r="D11697"/>
    </row>
    <row r="11698" spans="4:4" x14ac:dyDescent="0.25">
      <c r="D11698"/>
    </row>
    <row r="11699" spans="4:4" x14ac:dyDescent="0.25">
      <c r="D11699"/>
    </row>
    <row r="11700" spans="4:4" x14ac:dyDescent="0.25">
      <c r="D11700"/>
    </row>
    <row r="11701" spans="4:4" x14ac:dyDescent="0.25">
      <c r="D11701"/>
    </row>
    <row r="11702" spans="4:4" x14ac:dyDescent="0.25">
      <c r="D11702"/>
    </row>
    <row r="11703" spans="4:4" x14ac:dyDescent="0.25">
      <c r="D11703"/>
    </row>
    <row r="11704" spans="4:4" x14ac:dyDescent="0.25">
      <c r="D11704"/>
    </row>
    <row r="11705" spans="4:4" x14ac:dyDescent="0.25">
      <c r="D11705"/>
    </row>
    <row r="11706" spans="4:4" x14ac:dyDescent="0.25">
      <c r="D11706"/>
    </row>
    <row r="11707" spans="4:4" x14ac:dyDescent="0.25">
      <c r="D11707"/>
    </row>
    <row r="11708" spans="4:4" x14ac:dyDescent="0.25">
      <c r="D11708"/>
    </row>
    <row r="11709" spans="4:4" x14ac:dyDescent="0.25">
      <c r="D11709"/>
    </row>
    <row r="11710" spans="4:4" x14ac:dyDescent="0.25">
      <c r="D11710"/>
    </row>
    <row r="11711" spans="4:4" x14ac:dyDescent="0.25">
      <c r="D11711"/>
    </row>
    <row r="11712" spans="4:4" x14ac:dyDescent="0.25">
      <c r="D11712"/>
    </row>
    <row r="11713" spans="4:4" x14ac:dyDescent="0.25">
      <c r="D11713"/>
    </row>
    <row r="11714" spans="4:4" x14ac:dyDescent="0.25">
      <c r="D11714"/>
    </row>
    <row r="11715" spans="4:4" x14ac:dyDescent="0.25">
      <c r="D11715"/>
    </row>
    <row r="11716" spans="4:4" x14ac:dyDescent="0.25">
      <c r="D11716"/>
    </row>
    <row r="11717" spans="4:4" x14ac:dyDescent="0.25">
      <c r="D11717"/>
    </row>
    <row r="11718" spans="4:4" x14ac:dyDescent="0.25">
      <c r="D11718"/>
    </row>
    <row r="11719" spans="4:4" x14ac:dyDescent="0.25">
      <c r="D11719"/>
    </row>
    <row r="11720" spans="4:4" x14ac:dyDescent="0.25">
      <c r="D11720"/>
    </row>
    <row r="11721" spans="4:4" x14ac:dyDescent="0.25">
      <c r="D11721"/>
    </row>
    <row r="11722" spans="4:4" x14ac:dyDescent="0.25">
      <c r="D11722"/>
    </row>
    <row r="11723" spans="4:4" x14ac:dyDescent="0.25">
      <c r="D11723"/>
    </row>
    <row r="11724" spans="4:4" x14ac:dyDescent="0.25">
      <c r="D11724"/>
    </row>
    <row r="11725" spans="4:4" x14ac:dyDescent="0.25">
      <c r="D11725"/>
    </row>
    <row r="11726" spans="4:4" x14ac:dyDescent="0.25">
      <c r="D11726"/>
    </row>
    <row r="11727" spans="4:4" x14ac:dyDescent="0.25">
      <c r="D11727"/>
    </row>
    <row r="11728" spans="4:4" x14ac:dyDescent="0.25">
      <c r="D11728"/>
    </row>
    <row r="11729" spans="4:4" x14ac:dyDescent="0.25">
      <c r="D11729"/>
    </row>
    <row r="11730" spans="4:4" x14ac:dyDescent="0.25">
      <c r="D11730"/>
    </row>
    <row r="11731" spans="4:4" x14ac:dyDescent="0.25">
      <c r="D11731"/>
    </row>
    <row r="11732" spans="4:4" x14ac:dyDescent="0.25">
      <c r="D11732"/>
    </row>
    <row r="11733" spans="4:4" x14ac:dyDescent="0.25">
      <c r="D11733"/>
    </row>
    <row r="11734" spans="4:4" x14ac:dyDescent="0.25">
      <c r="D11734"/>
    </row>
    <row r="11735" spans="4:4" x14ac:dyDescent="0.25">
      <c r="D11735"/>
    </row>
    <row r="11736" spans="4:4" x14ac:dyDescent="0.25">
      <c r="D11736"/>
    </row>
    <row r="11737" spans="4:4" x14ac:dyDescent="0.25">
      <c r="D11737"/>
    </row>
    <row r="11738" spans="4:4" x14ac:dyDescent="0.25">
      <c r="D11738"/>
    </row>
    <row r="11739" spans="4:4" x14ac:dyDescent="0.25">
      <c r="D11739"/>
    </row>
    <row r="11740" spans="4:4" x14ac:dyDescent="0.25">
      <c r="D11740"/>
    </row>
    <row r="11741" spans="4:4" x14ac:dyDescent="0.25">
      <c r="D11741"/>
    </row>
    <row r="11742" spans="4:4" x14ac:dyDescent="0.25">
      <c r="D11742"/>
    </row>
    <row r="11743" spans="4:4" x14ac:dyDescent="0.25">
      <c r="D11743"/>
    </row>
    <row r="11744" spans="4:4" x14ac:dyDescent="0.25">
      <c r="D11744"/>
    </row>
    <row r="11745" spans="4:4" x14ac:dyDescent="0.25">
      <c r="D11745"/>
    </row>
    <row r="11746" spans="4:4" x14ac:dyDescent="0.25">
      <c r="D11746"/>
    </row>
    <row r="11747" spans="4:4" x14ac:dyDescent="0.25">
      <c r="D11747"/>
    </row>
    <row r="11748" spans="4:4" x14ac:dyDescent="0.25">
      <c r="D11748"/>
    </row>
    <row r="11749" spans="4:4" x14ac:dyDescent="0.25">
      <c r="D11749"/>
    </row>
    <row r="11750" spans="4:4" x14ac:dyDescent="0.25">
      <c r="D11750"/>
    </row>
    <row r="11751" spans="4:4" x14ac:dyDescent="0.25">
      <c r="D11751"/>
    </row>
    <row r="11752" spans="4:4" x14ac:dyDescent="0.25">
      <c r="D11752"/>
    </row>
    <row r="11753" spans="4:4" x14ac:dyDescent="0.25">
      <c r="D11753"/>
    </row>
    <row r="11754" spans="4:4" x14ac:dyDescent="0.25">
      <c r="D11754"/>
    </row>
    <row r="11755" spans="4:4" x14ac:dyDescent="0.25">
      <c r="D11755"/>
    </row>
    <row r="11756" spans="4:4" x14ac:dyDescent="0.25">
      <c r="D11756"/>
    </row>
    <row r="11757" spans="4:4" x14ac:dyDescent="0.25">
      <c r="D11757"/>
    </row>
    <row r="11758" spans="4:4" x14ac:dyDescent="0.25">
      <c r="D11758"/>
    </row>
    <row r="11759" spans="4:4" x14ac:dyDescent="0.25">
      <c r="D11759"/>
    </row>
    <row r="11760" spans="4:4" x14ac:dyDescent="0.25">
      <c r="D11760"/>
    </row>
    <row r="11761" spans="4:4" x14ac:dyDescent="0.25">
      <c r="D11761"/>
    </row>
    <row r="11762" spans="4:4" x14ac:dyDescent="0.25">
      <c r="D11762"/>
    </row>
    <row r="11763" spans="4:4" x14ac:dyDescent="0.25">
      <c r="D11763"/>
    </row>
    <row r="11764" spans="4:4" x14ac:dyDescent="0.25">
      <c r="D11764"/>
    </row>
    <row r="11765" spans="4:4" x14ac:dyDescent="0.25">
      <c r="D11765"/>
    </row>
    <row r="11766" spans="4:4" x14ac:dyDescent="0.25">
      <c r="D11766"/>
    </row>
    <row r="11767" spans="4:4" x14ac:dyDescent="0.25">
      <c r="D11767"/>
    </row>
    <row r="11768" spans="4:4" x14ac:dyDescent="0.25">
      <c r="D11768"/>
    </row>
    <row r="11769" spans="4:4" x14ac:dyDescent="0.25">
      <c r="D11769"/>
    </row>
    <row r="11770" spans="4:4" x14ac:dyDescent="0.25">
      <c r="D11770"/>
    </row>
    <row r="11771" spans="4:4" x14ac:dyDescent="0.25">
      <c r="D11771"/>
    </row>
    <row r="11772" spans="4:4" x14ac:dyDescent="0.25">
      <c r="D11772"/>
    </row>
    <row r="11773" spans="4:4" x14ac:dyDescent="0.25">
      <c r="D11773"/>
    </row>
    <row r="11774" spans="4:4" x14ac:dyDescent="0.25">
      <c r="D11774"/>
    </row>
    <row r="11775" spans="4:4" x14ac:dyDescent="0.25">
      <c r="D11775"/>
    </row>
    <row r="11776" spans="4:4" x14ac:dyDescent="0.25">
      <c r="D11776"/>
    </row>
    <row r="11777" spans="4:4" x14ac:dyDescent="0.25">
      <c r="D11777"/>
    </row>
    <row r="11778" spans="4:4" x14ac:dyDescent="0.25">
      <c r="D11778"/>
    </row>
    <row r="11779" spans="4:4" x14ac:dyDescent="0.25">
      <c r="D11779"/>
    </row>
    <row r="11780" spans="4:4" x14ac:dyDescent="0.25">
      <c r="D11780"/>
    </row>
    <row r="11781" spans="4:4" x14ac:dyDescent="0.25">
      <c r="D11781"/>
    </row>
    <row r="11782" spans="4:4" x14ac:dyDescent="0.25">
      <c r="D11782"/>
    </row>
    <row r="11783" spans="4:4" x14ac:dyDescent="0.25">
      <c r="D11783"/>
    </row>
    <row r="11784" spans="4:4" x14ac:dyDescent="0.25">
      <c r="D11784"/>
    </row>
    <row r="11785" spans="4:4" x14ac:dyDescent="0.25">
      <c r="D11785"/>
    </row>
    <row r="11786" spans="4:4" x14ac:dyDescent="0.25">
      <c r="D11786"/>
    </row>
    <row r="11787" spans="4:4" x14ac:dyDescent="0.25">
      <c r="D11787"/>
    </row>
    <row r="11788" spans="4:4" x14ac:dyDescent="0.25">
      <c r="D11788"/>
    </row>
    <row r="11789" spans="4:4" x14ac:dyDescent="0.25">
      <c r="D11789"/>
    </row>
    <row r="11790" spans="4:4" x14ac:dyDescent="0.25">
      <c r="D11790"/>
    </row>
    <row r="11791" spans="4:4" x14ac:dyDescent="0.25">
      <c r="D11791"/>
    </row>
    <row r="11792" spans="4:4" x14ac:dyDescent="0.25">
      <c r="D11792"/>
    </row>
    <row r="11793" spans="4:4" x14ac:dyDescent="0.25">
      <c r="D11793"/>
    </row>
    <row r="11794" spans="4:4" x14ac:dyDescent="0.25">
      <c r="D11794"/>
    </row>
    <row r="11795" spans="4:4" x14ac:dyDescent="0.25">
      <c r="D11795"/>
    </row>
    <row r="11796" spans="4:4" x14ac:dyDescent="0.25">
      <c r="D11796"/>
    </row>
    <row r="11797" spans="4:4" x14ac:dyDescent="0.25">
      <c r="D11797"/>
    </row>
    <row r="11798" spans="4:4" x14ac:dyDescent="0.25">
      <c r="D11798"/>
    </row>
    <row r="11799" spans="4:4" x14ac:dyDescent="0.25">
      <c r="D11799"/>
    </row>
    <row r="11800" spans="4:4" x14ac:dyDescent="0.25">
      <c r="D11800"/>
    </row>
    <row r="11801" spans="4:4" x14ac:dyDescent="0.25">
      <c r="D11801"/>
    </row>
    <row r="11802" spans="4:4" x14ac:dyDescent="0.25">
      <c r="D11802"/>
    </row>
    <row r="11803" spans="4:4" x14ac:dyDescent="0.25">
      <c r="D11803"/>
    </row>
    <row r="11804" spans="4:4" x14ac:dyDescent="0.25">
      <c r="D11804"/>
    </row>
    <row r="11805" spans="4:4" x14ac:dyDescent="0.25">
      <c r="D11805"/>
    </row>
    <row r="11806" spans="4:4" x14ac:dyDescent="0.25">
      <c r="D11806"/>
    </row>
    <row r="11807" spans="4:4" x14ac:dyDescent="0.25">
      <c r="D11807"/>
    </row>
    <row r="11808" spans="4:4" x14ac:dyDescent="0.25">
      <c r="D11808"/>
    </row>
    <row r="11809" spans="4:4" x14ac:dyDescent="0.25">
      <c r="D11809"/>
    </row>
    <row r="11810" spans="4:4" x14ac:dyDescent="0.25">
      <c r="D11810"/>
    </row>
    <row r="11811" spans="4:4" x14ac:dyDescent="0.25">
      <c r="D11811"/>
    </row>
    <row r="11812" spans="4:4" x14ac:dyDescent="0.25">
      <c r="D11812"/>
    </row>
    <row r="11813" spans="4:4" x14ac:dyDescent="0.25">
      <c r="D11813"/>
    </row>
    <row r="11814" spans="4:4" x14ac:dyDescent="0.25">
      <c r="D11814"/>
    </row>
    <row r="11815" spans="4:4" x14ac:dyDescent="0.25">
      <c r="D11815"/>
    </row>
    <row r="11816" spans="4:4" x14ac:dyDescent="0.25">
      <c r="D11816"/>
    </row>
    <row r="11817" spans="4:4" x14ac:dyDescent="0.25">
      <c r="D11817"/>
    </row>
    <row r="11818" spans="4:4" x14ac:dyDescent="0.25">
      <c r="D11818"/>
    </row>
    <row r="11819" spans="4:4" x14ac:dyDescent="0.25">
      <c r="D11819"/>
    </row>
    <row r="11820" spans="4:4" x14ac:dyDescent="0.25">
      <c r="D11820"/>
    </row>
    <row r="11821" spans="4:4" x14ac:dyDescent="0.25">
      <c r="D11821"/>
    </row>
    <row r="11822" spans="4:4" x14ac:dyDescent="0.25">
      <c r="D11822"/>
    </row>
    <row r="11823" spans="4:4" x14ac:dyDescent="0.25">
      <c r="D11823"/>
    </row>
    <row r="11824" spans="4:4" x14ac:dyDescent="0.25">
      <c r="D11824"/>
    </row>
    <row r="11825" spans="4:4" x14ac:dyDescent="0.25">
      <c r="D11825"/>
    </row>
    <row r="11826" spans="4:4" x14ac:dyDescent="0.25">
      <c r="D11826"/>
    </row>
    <row r="11827" spans="4:4" x14ac:dyDescent="0.25">
      <c r="D11827"/>
    </row>
    <row r="11828" spans="4:4" x14ac:dyDescent="0.25">
      <c r="D11828"/>
    </row>
    <row r="11829" spans="4:4" x14ac:dyDescent="0.25">
      <c r="D11829"/>
    </row>
    <row r="11830" spans="4:4" x14ac:dyDescent="0.25">
      <c r="D11830"/>
    </row>
    <row r="11831" spans="4:4" x14ac:dyDescent="0.25">
      <c r="D11831"/>
    </row>
    <row r="11832" spans="4:4" x14ac:dyDescent="0.25">
      <c r="D11832"/>
    </row>
    <row r="11833" spans="4:4" x14ac:dyDescent="0.25">
      <c r="D11833"/>
    </row>
    <row r="11834" spans="4:4" x14ac:dyDescent="0.25">
      <c r="D11834"/>
    </row>
    <row r="11835" spans="4:4" x14ac:dyDescent="0.25">
      <c r="D11835"/>
    </row>
    <row r="11836" spans="4:4" x14ac:dyDescent="0.25">
      <c r="D11836"/>
    </row>
    <row r="11837" spans="4:4" x14ac:dyDescent="0.25">
      <c r="D11837"/>
    </row>
    <row r="11838" spans="4:4" x14ac:dyDescent="0.25">
      <c r="D11838"/>
    </row>
    <row r="11839" spans="4:4" x14ac:dyDescent="0.25">
      <c r="D11839"/>
    </row>
    <row r="11840" spans="4:4" x14ac:dyDescent="0.25">
      <c r="D11840"/>
    </row>
    <row r="11841" spans="4:4" x14ac:dyDescent="0.25">
      <c r="D11841"/>
    </row>
    <row r="11842" spans="4:4" x14ac:dyDescent="0.25">
      <c r="D11842"/>
    </row>
    <row r="11843" spans="4:4" x14ac:dyDescent="0.25">
      <c r="D11843"/>
    </row>
    <row r="11844" spans="4:4" x14ac:dyDescent="0.25">
      <c r="D11844"/>
    </row>
    <row r="11845" spans="4:4" x14ac:dyDescent="0.25">
      <c r="D11845"/>
    </row>
    <row r="11846" spans="4:4" x14ac:dyDescent="0.25">
      <c r="D11846"/>
    </row>
    <row r="11847" spans="4:4" x14ac:dyDescent="0.25">
      <c r="D11847"/>
    </row>
    <row r="11848" spans="4:4" x14ac:dyDescent="0.25">
      <c r="D11848"/>
    </row>
    <row r="11849" spans="4:4" x14ac:dyDescent="0.25">
      <c r="D11849"/>
    </row>
    <row r="11850" spans="4:4" x14ac:dyDescent="0.25">
      <c r="D11850"/>
    </row>
    <row r="11851" spans="4:4" x14ac:dyDescent="0.25">
      <c r="D11851"/>
    </row>
    <row r="11852" spans="4:4" x14ac:dyDescent="0.25">
      <c r="D11852"/>
    </row>
    <row r="11853" spans="4:4" x14ac:dyDescent="0.25">
      <c r="D11853"/>
    </row>
    <row r="11854" spans="4:4" x14ac:dyDescent="0.25">
      <c r="D11854"/>
    </row>
    <row r="11855" spans="4:4" x14ac:dyDescent="0.25">
      <c r="D11855"/>
    </row>
    <row r="11856" spans="4:4" x14ac:dyDescent="0.25">
      <c r="D11856"/>
    </row>
    <row r="11857" spans="4:4" x14ac:dyDescent="0.25">
      <c r="D11857"/>
    </row>
    <row r="11858" spans="4:4" x14ac:dyDescent="0.25">
      <c r="D11858"/>
    </row>
    <row r="11859" spans="4:4" x14ac:dyDescent="0.25">
      <c r="D11859"/>
    </row>
    <row r="11860" spans="4:4" x14ac:dyDescent="0.25">
      <c r="D11860"/>
    </row>
    <row r="11861" spans="4:4" x14ac:dyDescent="0.25">
      <c r="D11861"/>
    </row>
    <row r="11862" spans="4:4" x14ac:dyDescent="0.25">
      <c r="D11862"/>
    </row>
    <row r="11863" spans="4:4" x14ac:dyDescent="0.25">
      <c r="D11863"/>
    </row>
    <row r="11864" spans="4:4" x14ac:dyDescent="0.25">
      <c r="D11864"/>
    </row>
    <row r="11865" spans="4:4" x14ac:dyDescent="0.25">
      <c r="D11865"/>
    </row>
    <row r="11866" spans="4:4" x14ac:dyDescent="0.25">
      <c r="D11866"/>
    </row>
    <row r="11867" spans="4:4" x14ac:dyDescent="0.25">
      <c r="D11867"/>
    </row>
    <row r="11868" spans="4:4" x14ac:dyDescent="0.25">
      <c r="D11868"/>
    </row>
    <row r="11869" spans="4:4" x14ac:dyDescent="0.25">
      <c r="D11869"/>
    </row>
    <row r="11870" spans="4:4" x14ac:dyDescent="0.25">
      <c r="D11870"/>
    </row>
    <row r="11871" spans="4:4" x14ac:dyDescent="0.25">
      <c r="D11871"/>
    </row>
    <row r="11872" spans="4:4" x14ac:dyDescent="0.25">
      <c r="D11872"/>
    </row>
    <row r="11873" spans="4:4" x14ac:dyDescent="0.25">
      <c r="D11873"/>
    </row>
    <row r="11874" spans="4:4" x14ac:dyDescent="0.25">
      <c r="D11874"/>
    </row>
    <row r="11875" spans="4:4" x14ac:dyDescent="0.25">
      <c r="D11875"/>
    </row>
    <row r="11876" spans="4:4" x14ac:dyDescent="0.25">
      <c r="D11876"/>
    </row>
    <row r="11877" spans="4:4" x14ac:dyDescent="0.25">
      <c r="D11877"/>
    </row>
    <row r="11878" spans="4:4" x14ac:dyDescent="0.25">
      <c r="D11878"/>
    </row>
    <row r="11879" spans="4:4" x14ac:dyDescent="0.25">
      <c r="D11879"/>
    </row>
    <row r="11880" spans="4:4" x14ac:dyDescent="0.25">
      <c r="D11880"/>
    </row>
    <row r="11881" spans="4:4" x14ac:dyDescent="0.25">
      <c r="D11881"/>
    </row>
    <row r="11882" spans="4:4" x14ac:dyDescent="0.25">
      <c r="D11882"/>
    </row>
    <row r="11883" spans="4:4" x14ac:dyDescent="0.25">
      <c r="D11883"/>
    </row>
    <row r="11884" spans="4:4" x14ac:dyDescent="0.25">
      <c r="D11884"/>
    </row>
    <row r="11885" spans="4:4" x14ac:dyDescent="0.25">
      <c r="D11885"/>
    </row>
    <row r="11886" spans="4:4" x14ac:dyDescent="0.25">
      <c r="D11886"/>
    </row>
    <row r="11887" spans="4:4" x14ac:dyDescent="0.25">
      <c r="D11887"/>
    </row>
    <row r="11888" spans="4:4" x14ac:dyDescent="0.25">
      <c r="D11888"/>
    </row>
    <row r="11889" spans="4:4" x14ac:dyDescent="0.25">
      <c r="D11889"/>
    </row>
    <row r="11890" spans="4:4" x14ac:dyDescent="0.25">
      <c r="D11890"/>
    </row>
    <row r="11891" spans="4:4" x14ac:dyDescent="0.25">
      <c r="D11891"/>
    </row>
    <row r="11892" spans="4:4" x14ac:dyDescent="0.25">
      <c r="D11892"/>
    </row>
    <row r="11893" spans="4:4" x14ac:dyDescent="0.25">
      <c r="D11893"/>
    </row>
    <row r="11894" spans="4:4" x14ac:dyDescent="0.25">
      <c r="D11894"/>
    </row>
    <row r="11895" spans="4:4" x14ac:dyDescent="0.25">
      <c r="D11895"/>
    </row>
    <row r="11896" spans="4:4" x14ac:dyDescent="0.25">
      <c r="D11896"/>
    </row>
    <row r="11897" spans="4:4" x14ac:dyDescent="0.25">
      <c r="D11897"/>
    </row>
    <row r="11898" spans="4:4" x14ac:dyDescent="0.25">
      <c r="D11898"/>
    </row>
    <row r="11899" spans="4:4" x14ac:dyDescent="0.25">
      <c r="D11899"/>
    </row>
    <row r="11900" spans="4:4" x14ac:dyDescent="0.25">
      <c r="D11900"/>
    </row>
    <row r="11901" spans="4:4" x14ac:dyDescent="0.25">
      <c r="D11901"/>
    </row>
    <row r="11902" spans="4:4" x14ac:dyDescent="0.25">
      <c r="D11902"/>
    </row>
    <row r="11903" spans="4:4" x14ac:dyDescent="0.25">
      <c r="D11903"/>
    </row>
    <row r="11904" spans="4:4" x14ac:dyDescent="0.25">
      <c r="D11904"/>
    </row>
    <row r="11905" spans="4:4" x14ac:dyDescent="0.25">
      <c r="D11905"/>
    </row>
    <row r="11906" spans="4:4" x14ac:dyDescent="0.25">
      <c r="D11906"/>
    </row>
    <row r="11907" spans="4:4" x14ac:dyDescent="0.25">
      <c r="D11907"/>
    </row>
    <row r="11908" spans="4:4" x14ac:dyDescent="0.25">
      <c r="D11908"/>
    </row>
    <row r="11909" spans="4:4" x14ac:dyDescent="0.25">
      <c r="D11909"/>
    </row>
    <row r="11910" spans="4:4" x14ac:dyDescent="0.25">
      <c r="D11910"/>
    </row>
    <row r="11911" spans="4:4" x14ac:dyDescent="0.25">
      <c r="D11911"/>
    </row>
    <row r="11912" spans="4:4" x14ac:dyDescent="0.25">
      <c r="D11912"/>
    </row>
    <row r="11913" spans="4:4" x14ac:dyDescent="0.25">
      <c r="D11913"/>
    </row>
    <row r="11914" spans="4:4" x14ac:dyDescent="0.25">
      <c r="D11914"/>
    </row>
    <row r="11915" spans="4:4" x14ac:dyDescent="0.25">
      <c r="D11915"/>
    </row>
    <row r="11916" spans="4:4" x14ac:dyDescent="0.25">
      <c r="D11916"/>
    </row>
    <row r="11917" spans="4:4" x14ac:dyDescent="0.25">
      <c r="D11917"/>
    </row>
    <row r="11918" spans="4:4" x14ac:dyDescent="0.25">
      <c r="D11918"/>
    </row>
    <row r="11919" spans="4:4" x14ac:dyDescent="0.25">
      <c r="D11919"/>
    </row>
    <row r="11920" spans="4:4" x14ac:dyDescent="0.25">
      <c r="D11920"/>
    </row>
    <row r="11921" spans="4:4" x14ac:dyDescent="0.25">
      <c r="D11921"/>
    </row>
    <row r="11922" spans="4:4" x14ac:dyDescent="0.25">
      <c r="D11922"/>
    </row>
    <row r="11923" spans="4:4" x14ac:dyDescent="0.25">
      <c r="D11923"/>
    </row>
    <row r="11924" spans="4:4" x14ac:dyDescent="0.25">
      <c r="D11924"/>
    </row>
    <row r="11925" spans="4:4" x14ac:dyDescent="0.25">
      <c r="D11925"/>
    </row>
    <row r="11926" spans="4:4" x14ac:dyDescent="0.25">
      <c r="D11926"/>
    </row>
    <row r="11927" spans="4:4" x14ac:dyDescent="0.25">
      <c r="D11927"/>
    </row>
    <row r="11928" spans="4:4" x14ac:dyDescent="0.25">
      <c r="D11928"/>
    </row>
    <row r="11929" spans="4:4" x14ac:dyDescent="0.25">
      <c r="D11929"/>
    </row>
    <row r="11930" spans="4:4" x14ac:dyDescent="0.25">
      <c r="D11930"/>
    </row>
    <row r="11931" spans="4:4" x14ac:dyDescent="0.25">
      <c r="D11931"/>
    </row>
    <row r="11932" spans="4:4" x14ac:dyDescent="0.25">
      <c r="D11932"/>
    </row>
    <row r="11933" spans="4:4" x14ac:dyDescent="0.25">
      <c r="D11933"/>
    </row>
    <row r="11934" spans="4:4" x14ac:dyDescent="0.25">
      <c r="D11934"/>
    </row>
    <row r="11935" spans="4:4" x14ac:dyDescent="0.25">
      <c r="D11935"/>
    </row>
    <row r="11936" spans="4:4" x14ac:dyDescent="0.25">
      <c r="D11936"/>
    </row>
    <row r="11937" spans="4:4" x14ac:dyDescent="0.25">
      <c r="D11937"/>
    </row>
    <row r="11938" spans="4:4" x14ac:dyDescent="0.25">
      <c r="D11938"/>
    </row>
    <row r="11939" spans="4:4" x14ac:dyDescent="0.25">
      <c r="D11939"/>
    </row>
    <row r="11940" spans="4:4" x14ac:dyDescent="0.25">
      <c r="D11940"/>
    </row>
    <row r="11941" spans="4:4" x14ac:dyDescent="0.25">
      <c r="D11941"/>
    </row>
    <row r="11942" spans="4:4" x14ac:dyDescent="0.25">
      <c r="D11942"/>
    </row>
    <row r="11943" spans="4:4" x14ac:dyDescent="0.25">
      <c r="D11943"/>
    </row>
    <row r="11944" spans="4:4" x14ac:dyDescent="0.25">
      <c r="D11944"/>
    </row>
    <row r="11945" spans="4:4" x14ac:dyDescent="0.25">
      <c r="D11945"/>
    </row>
    <row r="11946" spans="4:4" x14ac:dyDescent="0.25">
      <c r="D11946"/>
    </row>
    <row r="11947" spans="4:4" x14ac:dyDescent="0.25">
      <c r="D11947"/>
    </row>
    <row r="11948" spans="4:4" x14ac:dyDescent="0.25">
      <c r="D11948"/>
    </row>
    <row r="11949" spans="4:4" x14ac:dyDescent="0.25">
      <c r="D11949"/>
    </row>
    <row r="11950" spans="4:4" x14ac:dyDescent="0.25">
      <c r="D11950"/>
    </row>
    <row r="11951" spans="4:4" x14ac:dyDescent="0.25">
      <c r="D11951"/>
    </row>
    <row r="11952" spans="4:4" x14ac:dyDescent="0.25">
      <c r="D11952"/>
    </row>
    <row r="11953" spans="4:4" x14ac:dyDescent="0.25">
      <c r="D11953"/>
    </row>
    <row r="11954" spans="4:4" x14ac:dyDescent="0.25">
      <c r="D11954"/>
    </row>
    <row r="11955" spans="4:4" x14ac:dyDescent="0.25">
      <c r="D11955"/>
    </row>
    <row r="11956" spans="4:4" x14ac:dyDescent="0.25">
      <c r="D11956"/>
    </row>
    <row r="11957" spans="4:4" x14ac:dyDescent="0.25">
      <c r="D11957"/>
    </row>
    <row r="11958" spans="4:4" x14ac:dyDescent="0.25">
      <c r="D11958"/>
    </row>
    <row r="11959" spans="4:4" x14ac:dyDescent="0.25">
      <c r="D11959"/>
    </row>
    <row r="11960" spans="4:4" x14ac:dyDescent="0.25">
      <c r="D11960"/>
    </row>
    <row r="11961" spans="4:4" x14ac:dyDescent="0.25">
      <c r="D11961"/>
    </row>
    <row r="11962" spans="4:4" x14ac:dyDescent="0.25">
      <c r="D11962"/>
    </row>
    <row r="11963" spans="4:4" x14ac:dyDescent="0.25">
      <c r="D11963"/>
    </row>
    <row r="11964" spans="4:4" x14ac:dyDescent="0.25">
      <c r="D11964"/>
    </row>
    <row r="11965" spans="4:4" x14ac:dyDescent="0.25">
      <c r="D11965"/>
    </row>
    <row r="11966" spans="4:4" x14ac:dyDescent="0.25">
      <c r="D11966"/>
    </row>
    <row r="11967" spans="4:4" x14ac:dyDescent="0.25">
      <c r="D11967"/>
    </row>
    <row r="11968" spans="4:4" x14ac:dyDescent="0.25">
      <c r="D11968"/>
    </row>
    <row r="11969" spans="4:4" x14ac:dyDescent="0.25">
      <c r="D11969"/>
    </row>
    <row r="11970" spans="4:4" x14ac:dyDescent="0.25">
      <c r="D11970"/>
    </row>
    <row r="11971" spans="4:4" x14ac:dyDescent="0.25">
      <c r="D11971"/>
    </row>
    <row r="11972" spans="4:4" x14ac:dyDescent="0.25">
      <c r="D11972"/>
    </row>
    <row r="11973" spans="4:4" x14ac:dyDescent="0.25">
      <c r="D11973"/>
    </row>
    <row r="11974" spans="4:4" x14ac:dyDescent="0.25">
      <c r="D11974"/>
    </row>
    <row r="11975" spans="4:4" x14ac:dyDescent="0.25">
      <c r="D11975"/>
    </row>
    <row r="11976" spans="4:4" x14ac:dyDescent="0.25">
      <c r="D11976"/>
    </row>
    <row r="11977" spans="4:4" x14ac:dyDescent="0.25">
      <c r="D11977"/>
    </row>
    <row r="11978" spans="4:4" x14ac:dyDescent="0.25">
      <c r="D11978"/>
    </row>
    <row r="11979" spans="4:4" x14ac:dyDescent="0.25">
      <c r="D11979"/>
    </row>
    <row r="11980" spans="4:4" x14ac:dyDescent="0.25">
      <c r="D11980"/>
    </row>
    <row r="11981" spans="4:4" x14ac:dyDescent="0.25">
      <c r="D11981"/>
    </row>
    <row r="11982" spans="4:4" x14ac:dyDescent="0.25">
      <c r="D11982"/>
    </row>
    <row r="11983" spans="4:4" x14ac:dyDescent="0.25">
      <c r="D11983"/>
    </row>
    <row r="11984" spans="4:4" x14ac:dyDescent="0.25">
      <c r="D11984"/>
    </row>
    <row r="11985" spans="4:4" x14ac:dyDescent="0.25">
      <c r="D11985"/>
    </row>
    <row r="11986" spans="4:4" x14ac:dyDescent="0.25">
      <c r="D11986"/>
    </row>
    <row r="11987" spans="4:4" x14ac:dyDescent="0.25">
      <c r="D11987"/>
    </row>
    <row r="11988" spans="4:4" x14ac:dyDescent="0.25">
      <c r="D11988"/>
    </row>
    <row r="11989" spans="4:4" x14ac:dyDescent="0.25">
      <c r="D11989"/>
    </row>
    <row r="11990" spans="4:4" x14ac:dyDescent="0.25">
      <c r="D11990"/>
    </row>
    <row r="11991" spans="4:4" x14ac:dyDescent="0.25">
      <c r="D11991"/>
    </row>
    <row r="11992" spans="4:4" x14ac:dyDescent="0.25">
      <c r="D11992"/>
    </row>
    <row r="11993" spans="4:4" x14ac:dyDescent="0.25">
      <c r="D11993"/>
    </row>
    <row r="11994" spans="4:4" x14ac:dyDescent="0.25">
      <c r="D11994"/>
    </row>
    <row r="11995" spans="4:4" x14ac:dyDescent="0.25">
      <c r="D11995"/>
    </row>
    <row r="11996" spans="4:4" x14ac:dyDescent="0.25">
      <c r="D11996"/>
    </row>
    <row r="11997" spans="4:4" x14ac:dyDescent="0.25">
      <c r="D11997"/>
    </row>
    <row r="11998" spans="4:4" x14ac:dyDescent="0.25">
      <c r="D11998"/>
    </row>
    <row r="11999" spans="4:4" x14ac:dyDescent="0.25">
      <c r="D11999"/>
    </row>
    <row r="12000" spans="4:4" x14ac:dyDescent="0.25">
      <c r="D12000"/>
    </row>
    <row r="12001" spans="4:4" x14ac:dyDescent="0.25">
      <c r="D12001"/>
    </row>
    <row r="12002" spans="4:4" x14ac:dyDescent="0.25">
      <c r="D12002"/>
    </row>
    <row r="12003" spans="4:4" x14ac:dyDescent="0.25">
      <c r="D12003"/>
    </row>
    <row r="12004" spans="4:4" x14ac:dyDescent="0.25">
      <c r="D12004"/>
    </row>
    <row r="12005" spans="4:4" x14ac:dyDescent="0.25">
      <c r="D12005"/>
    </row>
    <row r="12006" spans="4:4" x14ac:dyDescent="0.25">
      <c r="D12006"/>
    </row>
    <row r="12007" spans="4:4" x14ac:dyDescent="0.25">
      <c r="D12007"/>
    </row>
    <row r="12008" spans="4:4" x14ac:dyDescent="0.25">
      <c r="D12008"/>
    </row>
    <row r="12009" spans="4:4" x14ac:dyDescent="0.25">
      <c r="D12009"/>
    </row>
    <row r="12010" spans="4:4" x14ac:dyDescent="0.25">
      <c r="D12010"/>
    </row>
    <row r="12011" spans="4:4" x14ac:dyDescent="0.25">
      <c r="D12011"/>
    </row>
    <row r="12012" spans="4:4" x14ac:dyDescent="0.25">
      <c r="D12012"/>
    </row>
    <row r="12013" spans="4:4" x14ac:dyDescent="0.25">
      <c r="D12013"/>
    </row>
    <row r="12014" spans="4:4" x14ac:dyDescent="0.25">
      <c r="D12014"/>
    </row>
    <row r="12015" spans="4:4" x14ac:dyDescent="0.25">
      <c r="D12015"/>
    </row>
    <row r="12016" spans="4:4" x14ac:dyDescent="0.25">
      <c r="D12016"/>
    </row>
    <row r="12017" spans="4:4" x14ac:dyDescent="0.25">
      <c r="D12017"/>
    </row>
    <row r="12018" spans="4:4" x14ac:dyDescent="0.25">
      <c r="D12018"/>
    </row>
    <row r="12019" spans="4:4" x14ac:dyDescent="0.25">
      <c r="D12019"/>
    </row>
    <row r="12020" spans="4:4" x14ac:dyDescent="0.25">
      <c r="D12020"/>
    </row>
    <row r="12021" spans="4:4" x14ac:dyDescent="0.25">
      <c r="D12021"/>
    </row>
    <row r="12022" spans="4:4" x14ac:dyDescent="0.25">
      <c r="D12022"/>
    </row>
    <row r="12023" spans="4:4" x14ac:dyDescent="0.25">
      <c r="D12023"/>
    </row>
    <row r="12024" spans="4:4" x14ac:dyDescent="0.25">
      <c r="D12024"/>
    </row>
    <row r="12025" spans="4:4" x14ac:dyDescent="0.25">
      <c r="D12025"/>
    </row>
    <row r="12026" spans="4:4" x14ac:dyDescent="0.25">
      <c r="D12026"/>
    </row>
    <row r="12027" spans="4:4" x14ac:dyDescent="0.25">
      <c r="D12027"/>
    </row>
    <row r="12028" spans="4:4" x14ac:dyDescent="0.25">
      <c r="D12028"/>
    </row>
    <row r="12029" spans="4:4" x14ac:dyDescent="0.25">
      <c r="D12029"/>
    </row>
    <row r="12030" spans="4:4" x14ac:dyDescent="0.25">
      <c r="D12030"/>
    </row>
    <row r="12031" spans="4:4" x14ac:dyDescent="0.25">
      <c r="D12031"/>
    </row>
    <row r="12032" spans="4:4" x14ac:dyDescent="0.25">
      <c r="D12032"/>
    </row>
    <row r="12033" spans="4:4" x14ac:dyDescent="0.25">
      <c r="D12033"/>
    </row>
    <row r="12034" spans="4:4" x14ac:dyDescent="0.25">
      <c r="D12034"/>
    </row>
    <row r="12035" spans="4:4" x14ac:dyDescent="0.25">
      <c r="D12035"/>
    </row>
    <row r="12036" spans="4:4" x14ac:dyDescent="0.25">
      <c r="D12036"/>
    </row>
    <row r="12037" spans="4:4" x14ac:dyDescent="0.25">
      <c r="D12037"/>
    </row>
    <row r="12038" spans="4:4" x14ac:dyDescent="0.25">
      <c r="D12038"/>
    </row>
    <row r="12039" spans="4:4" x14ac:dyDescent="0.25">
      <c r="D12039"/>
    </row>
    <row r="12040" spans="4:4" x14ac:dyDescent="0.25">
      <c r="D12040"/>
    </row>
    <row r="12041" spans="4:4" x14ac:dyDescent="0.25">
      <c r="D12041"/>
    </row>
    <row r="12042" spans="4:4" x14ac:dyDescent="0.25">
      <c r="D12042"/>
    </row>
    <row r="12043" spans="4:4" x14ac:dyDescent="0.25">
      <c r="D12043"/>
    </row>
    <row r="12044" spans="4:4" x14ac:dyDescent="0.25">
      <c r="D12044"/>
    </row>
    <row r="12045" spans="4:4" x14ac:dyDescent="0.25">
      <c r="D12045"/>
    </row>
    <row r="12046" spans="4:4" x14ac:dyDescent="0.25">
      <c r="D12046"/>
    </row>
    <row r="12047" spans="4:4" x14ac:dyDescent="0.25">
      <c r="D12047"/>
    </row>
    <row r="12048" spans="4:4" x14ac:dyDescent="0.25">
      <c r="D12048"/>
    </row>
    <row r="12049" spans="4:4" x14ac:dyDescent="0.25">
      <c r="D12049"/>
    </row>
    <row r="12050" spans="4:4" x14ac:dyDescent="0.25">
      <c r="D12050"/>
    </row>
    <row r="12051" spans="4:4" x14ac:dyDescent="0.25">
      <c r="D12051"/>
    </row>
    <row r="12052" spans="4:4" x14ac:dyDescent="0.25">
      <c r="D12052"/>
    </row>
    <row r="12053" spans="4:4" x14ac:dyDescent="0.25">
      <c r="D12053"/>
    </row>
    <row r="12054" spans="4:4" x14ac:dyDescent="0.25">
      <c r="D12054"/>
    </row>
    <row r="12055" spans="4:4" x14ac:dyDescent="0.25">
      <c r="D12055"/>
    </row>
    <row r="12056" spans="4:4" x14ac:dyDescent="0.25">
      <c r="D12056"/>
    </row>
    <row r="12057" spans="4:4" x14ac:dyDescent="0.25">
      <c r="D12057"/>
    </row>
    <row r="12058" spans="4:4" x14ac:dyDescent="0.25">
      <c r="D12058"/>
    </row>
    <row r="12059" spans="4:4" x14ac:dyDescent="0.25">
      <c r="D12059"/>
    </row>
    <row r="12060" spans="4:4" x14ac:dyDescent="0.25">
      <c r="D12060"/>
    </row>
    <row r="12061" spans="4:4" x14ac:dyDescent="0.25">
      <c r="D12061"/>
    </row>
    <row r="12062" spans="4:4" x14ac:dyDescent="0.25">
      <c r="D12062"/>
    </row>
    <row r="12063" spans="4:4" x14ac:dyDescent="0.25">
      <c r="D12063"/>
    </row>
    <row r="12064" spans="4:4" x14ac:dyDescent="0.25">
      <c r="D12064"/>
    </row>
    <row r="12065" spans="4:4" x14ac:dyDescent="0.25">
      <c r="D12065"/>
    </row>
    <row r="12066" spans="4:4" x14ac:dyDescent="0.25">
      <c r="D12066"/>
    </row>
    <row r="12067" spans="4:4" x14ac:dyDescent="0.25">
      <c r="D12067"/>
    </row>
    <row r="12068" spans="4:4" x14ac:dyDescent="0.25">
      <c r="D12068"/>
    </row>
    <row r="12069" spans="4:4" x14ac:dyDescent="0.25">
      <c r="D12069"/>
    </row>
    <row r="12070" spans="4:4" x14ac:dyDescent="0.25">
      <c r="D12070"/>
    </row>
    <row r="12071" spans="4:4" x14ac:dyDescent="0.25">
      <c r="D12071"/>
    </row>
    <row r="12072" spans="4:4" x14ac:dyDescent="0.25">
      <c r="D12072"/>
    </row>
    <row r="12073" spans="4:4" x14ac:dyDescent="0.25">
      <c r="D12073"/>
    </row>
    <row r="12074" spans="4:4" x14ac:dyDescent="0.25">
      <c r="D12074"/>
    </row>
    <row r="12075" spans="4:4" x14ac:dyDescent="0.25">
      <c r="D12075"/>
    </row>
    <row r="12076" spans="4:4" x14ac:dyDescent="0.25">
      <c r="D12076"/>
    </row>
    <row r="12077" spans="4:4" x14ac:dyDescent="0.25">
      <c r="D12077"/>
    </row>
    <row r="12078" spans="4:4" x14ac:dyDescent="0.25">
      <c r="D12078"/>
    </row>
    <row r="12079" spans="4:4" x14ac:dyDescent="0.25">
      <c r="D12079"/>
    </row>
    <row r="12080" spans="4:4" x14ac:dyDescent="0.25">
      <c r="D12080"/>
    </row>
    <row r="12081" spans="4:4" x14ac:dyDescent="0.25">
      <c r="D12081"/>
    </row>
    <row r="12082" spans="4:4" x14ac:dyDescent="0.25">
      <c r="D12082"/>
    </row>
    <row r="12083" spans="4:4" x14ac:dyDescent="0.25">
      <c r="D12083"/>
    </row>
    <row r="12084" spans="4:4" x14ac:dyDescent="0.25">
      <c r="D12084"/>
    </row>
    <row r="12085" spans="4:4" x14ac:dyDescent="0.25">
      <c r="D12085"/>
    </row>
    <row r="12086" spans="4:4" x14ac:dyDescent="0.25">
      <c r="D12086"/>
    </row>
    <row r="12087" spans="4:4" x14ac:dyDescent="0.25">
      <c r="D12087"/>
    </row>
    <row r="12088" spans="4:4" x14ac:dyDescent="0.25">
      <c r="D12088"/>
    </row>
    <row r="12089" spans="4:4" x14ac:dyDescent="0.25">
      <c r="D12089"/>
    </row>
    <row r="12090" spans="4:4" x14ac:dyDescent="0.25">
      <c r="D12090"/>
    </row>
    <row r="12091" spans="4:4" x14ac:dyDescent="0.25">
      <c r="D12091"/>
    </row>
    <row r="12092" spans="4:4" x14ac:dyDescent="0.25">
      <c r="D12092"/>
    </row>
    <row r="12093" spans="4:4" x14ac:dyDescent="0.25">
      <c r="D12093"/>
    </row>
    <row r="12094" spans="4:4" x14ac:dyDescent="0.25">
      <c r="D12094"/>
    </row>
    <row r="12095" spans="4:4" x14ac:dyDescent="0.25">
      <c r="D12095"/>
    </row>
    <row r="12096" spans="4:4" x14ac:dyDescent="0.25">
      <c r="D12096"/>
    </row>
    <row r="12097" spans="4:4" x14ac:dyDescent="0.25">
      <c r="D12097"/>
    </row>
    <row r="12098" spans="4:4" x14ac:dyDescent="0.25">
      <c r="D12098"/>
    </row>
    <row r="12099" spans="4:4" x14ac:dyDescent="0.25">
      <c r="D12099"/>
    </row>
    <row r="12100" spans="4:4" x14ac:dyDescent="0.25">
      <c r="D12100"/>
    </row>
    <row r="12101" spans="4:4" x14ac:dyDescent="0.25">
      <c r="D12101"/>
    </row>
    <row r="12102" spans="4:4" x14ac:dyDescent="0.25">
      <c r="D12102"/>
    </row>
    <row r="12103" spans="4:4" x14ac:dyDescent="0.25">
      <c r="D12103"/>
    </row>
    <row r="12104" spans="4:4" x14ac:dyDescent="0.25">
      <c r="D12104"/>
    </row>
    <row r="12105" spans="4:4" x14ac:dyDescent="0.25">
      <c r="D12105"/>
    </row>
    <row r="12106" spans="4:4" x14ac:dyDescent="0.25">
      <c r="D12106"/>
    </row>
    <row r="12107" spans="4:4" x14ac:dyDescent="0.25">
      <c r="D12107"/>
    </row>
    <row r="12108" spans="4:4" x14ac:dyDescent="0.25">
      <c r="D12108"/>
    </row>
    <row r="12109" spans="4:4" x14ac:dyDescent="0.25">
      <c r="D12109"/>
    </row>
    <row r="12110" spans="4:4" x14ac:dyDescent="0.25">
      <c r="D12110"/>
    </row>
    <row r="12111" spans="4:4" x14ac:dyDescent="0.25">
      <c r="D12111"/>
    </row>
    <row r="12112" spans="4:4" x14ac:dyDescent="0.25">
      <c r="D12112"/>
    </row>
    <row r="12113" spans="4:4" x14ac:dyDescent="0.25">
      <c r="D12113"/>
    </row>
    <row r="12114" spans="4:4" x14ac:dyDescent="0.25">
      <c r="D12114"/>
    </row>
    <row r="12115" spans="4:4" x14ac:dyDescent="0.25">
      <c r="D12115"/>
    </row>
    <row r="12116" spans="4:4" x14ac:dyDescent="0.25">
      <c r="D12116"/>
    </row>
    <row r="12117" spans="4:4" x14ac:dyDescent="0.25">
      <c r="D12117"/>
    </row>
    <row r="12118" spans="4:4" x14ac:dyDescent="0.25">
      <c r="D12118"/>
    </row>
    <row r="12119" spans="4:4" x14ac:dyDescent="0.25">
      <c r="D12119"/>
    </row>
    <row r="12120" spans="4:4" x14ac:dyDescent="0.25">
      <c r="D12120"/>
    </row>
    <row r="12121" spans="4:4" x14ac:dyDescent="0.25">
      <c r="D12121"/>
    </row>
    <row r="12122" spans="4:4" x14ac:dyDescent="0.25">
      <c r="D12122"/>
    </row>
    <row r="12123" spans="4:4" x14ac:dyDescent="0.25">
      <c r="D12123"/>
    </row>
    <row r="12124" spans="4:4" x14ac:dyDescent="0.25">
      <c r="D12124"/>
    </row>
    <row r="12125" spans="4:4" x14ac:dyDescent="0.25">
      <c r="D12125"/>
    </row>
    <row r="12126" spans="4:4" x14ac:dyDescent="0.25">
      <c r="D12126"/>
    </row>
    <row r="12127" spans="4:4" x14ac:dyDescent="0.25">
      <c r="D12127"/>
    </row>
    <row r="12128" spans="4:4" x14ac:dyDescent="0.25">
      <c r="D12128"/>
    </row>
    <row r="12129" spans="4:4" x14ac:dyDescent="0.25">
      <c r="D12129"/>
    </row>
    <row r="12130" spans="4:4" x14ac:dyDescent="0.25">
      <c r="D12130"/>
    </row>
    <row r="12131" spans="4:4" x14ac:dyDescent="0.25">
      <c r="D12131"/>
    </row>
    <row r="12132" spans="4:4" x14ac:dyDescent="0.25">
      <c r="D12132"/>
    </row>
    <row r="12133" spans="4:4" x14ac:dyDescent="0.25">
      <c r="D12133"/>
    </row>
    <row r="12134" spans="4:4" x14ac:dyDescent="0.25">
      <c r="D12134"/>
    </row>
    <row r="12135" spans="4:4" x14ac:dyDescent="0.25">
      <c r="D12135"/>
    </row>
    <row r="12136" spans="4:4" x14ac:dyDescent="0.25">
      <c r="D12136"/>
    </row>
    <row r="12137" spans="4:4" x14ac:dyDescent="0.25">
      <c r="D12137"/>
    </row>
    <row r="12138" spans="4:4" x14ac:dyDescent="0.25">
      <c r="D12138"/>
    </row>
    <row r="12139" spans="4:4" x14ac:dyDescent="0.25">
      <c r="D12139"/>
    </row>
    <row r="12140" spans="4:4" x14ac:dyDescent="0.25">
      <c r="D12140"/>
    </row>
    <row r="12141" spans="4:4" x14ac:dyDescent="0.25">
      <c r="D12141"/>
    </row>
    <row r="12142" spans="4:4" x14ac:dyDescent="0.25">
      <c r="D12142"/>
    </row>
    <row r="12143" spans="4:4" x14ac:dyDescent="0.25">
      <c r="D12143"/>
    </row>
    <row r="12144" spans="4:4" x14ac:dyDescent="0.25">
      <c r="D12144"/>
    </row>
    <row r="12145" spans="4:4" x14ac:dyDescent="0.25">
      <c r="D12145"/>
    </row>
    <row r="12146" spans="4:4" x14ac:dyDescent="0.25">
      <c r="D12146"/>
    </row>
    <row r="12147" spans="4:4" x14ac:dyDescent="0.25">
      <c r="D12147"/>
    </row>
    <row r="12148" spans="4:4" x14ac:dyDescent="0.25">
      <c r="D12148"/>
    </row>
    <row r="12149" spans="4:4" x14ac:dyDescent="0.25">
      <c r="D12149"/>
    </row>
    <row r="12150" spans="4:4" x14ac:dyDescent="0.25">
      <c r="D12150"/>
    </row>
    <row r="12151" spans="4:4" x14ac:dyDescent="0.25">
      <c r="D12151"/>
    </row>
    <row r="12152" spans="4:4" x14ac:dyDescent="0.25">
      <c r="D12152"/>
    </row>
    <row r="12153" spans="4:4" x14ac:dyDescent="0.25">
      <c r="D12153"/>
    </row>
    <row r="12154" spans="4:4" x14ac:dyDescent="0.25">
      <c r="D12154"/>
    </row>
    <row r="12155" spans="4:4" x14ac:dyDescent="0.25">
      <c r="D12155"/>
    </row>
    <row r="12156" spans="4:4" x14ac:dyDescent="0.25">
      <c r="D12156"/>
    </row>
    <row r="12157" spans="4:4" x14ac:dyDescent="0.25">
      <c r="D12157"/>
    </row>
    <row r="12158" spans="4:4" x14ac:dyDescent="0.25">
      <c r="D12158"/>
    </row>
    <row r="12159" spans="4:4" x14ac:dyDescent="0.25">
      <c r="D12159"/>
    </row>
    <row r="12160" spans="4:4" x14ac:dyDescent="0.25">
      <c r="D12160"/>
    </row>
    <row r="12161" spans="4:4" x14ac:dyDescent="0.25">
      <c r="D12161"/>
    </row>
    <row r="12162" spans="4:4" x14ac:dyDescent="0.25">
      <c r="D12162"/>
    </row>
    <row r="12163" spans="4:4" x14ac:dyDescent="0.25">
      <c r="D12163"/>
    </row>
    <row r="12164" spans="4:4" x14ac:dyDescent="0.25">
      <c r="D12164"/>
    </row>
    <row r="12165" spans="4:4" x14ac:dyDescent="0.25">
      <c r="D12165"/>
    </row>
    <row r="12166" spans="4:4" x14ac:dyDescent="0.25">
      <c r="D12166"/>
    </row>
    <row r="12167" spans="4:4" x14ac:dyDescent="0.25">
      <c r="D12167"/>
    </row>
    <row r="12168" spans="4:4" x14ac:dyDescent="0.25">
      <c r="D12168"/>
    </row>
    <row r="12169" spans="4:4" x14ac:dyDescent="0.25">
      <c r="D12169"/>
    </row>
    <row r="12170" spans="4:4" x14ac:dyDescent="0.25">
      <c r="D12170"/>
    </row>
    <row r="12171" spans="4:4" x14ac:dyDescent="0.25">
      <c r="D12171"/>
    </row>
    <row r="12172" spans="4:4" x14ac:dyDescent="0.25">
      <c r="D12172"/>
    </row>
    <row r="12173" spans="4:4" x14ac:dyDescent="0.25">
      <c r="D12173"/>
    </row>
    <row r="12174" spans="4:4" x14ac:dyDescent="0.25">
      <c r="D12174"/>
    </row>
    <row r="12175" spans="4:4" x14ac:dyDescent="0.25">
      <c r="D12175"/>
    </row>
    <row r="12176" spans="4:4" x14ac:dyDescent="0.25">
      <c r="D12176"/>
    </row>
    <row r="12177" spans="4:4" x14ac:dyDescent="0.25">
      <c r="D12177"/>
    </row>
    <row r="12178" spans="4:4" x14ac:dyDescent="0.25">
      <c r="D12178"/>
    </row>
    <row r="12179" spans="4:4" x14ac:dyDescent="0.25">
      <c r="D12179"/>
    </row>
    <row r="12180" spans="4:4" x14ac:dyDescent="0.25">
      <c r="D12180"/>
    </row>
    <row r="12181" spans="4:4" x14ac:dyDescent="0.25">
      <c r="D12181"/>
    </row>
    <row r="12182" spans="4:4" x14ac:dyDescent="0.25">
      <c r="D12182"/>
    </row>
    <row r="12183" spans="4:4" x14ac:dyDescent="0.25">
      <c r="D12183"/>
    </row>
    <row r="12184" spans="4:4" x14ac:dyDescent="0.25">
      <c r="D12184"/>
    </row>
    <row r="12185" spans="4:4" x14ac:dyDescent="0.25">
      <c r="D12185"/>
    </row>
    <row r="12186" spans="4:4" x14ac:dyDescent="0.25">
      <c r="D12186"/>
    </row>
    <row r="12187" spans="4:4" x14ac:dyDescent="0.25">
      <c r="D12187"/>
    </row>
    <row r="12188" spans="4:4" x14ac:dyDescent="0.25">
      <c r="D12188"/>
    </row>
    <row r="12189" spans="4:4" x14ac:dyDescent="0.25">
      <c r="D12189"/>
    </row>
    <row r="12190" spans="4:4" x14ac:dyDescent="0.25">
      <c r="D12190"/>
    </row>
    <row r="12191" spans="4:4" x14ac:dyDescent="0.25">
      <c r="D12191"/>
    </row>
    <row r="12192" spans="4:4" x14ac:dyDescent="0.25">
      <c r="D12192"/>
    </row>
    <row r="12193" spans="4:4" x14ac:dyDescent="0.25">
      <c r="D12193"/>
    </row>
    <row r="12194" spans="4:4" x14ac:dyDescent="0.25">
      <c r="D12194"/>
    </row>
    <row r="12195" spans="4:4" x14ac:dyDescent="0.25">
      <c r="D12195"/>
    </row>
    <row r="12196" spans="4:4" x14ac:dyDescent="0.25">
      <c r="D12196"/>
    </row>
    <row r="12197" spans="4:4" x14ac:dyDescent="0.25">
      <c r="D12197"/>
    </row>
    <row r="12198" spans="4:4" x14ac:dyDescent="0.25">
      <c r="D12198"/>
    </row>
    <row r="12199" spans="4:4" x14ac:dyDescent="0.25">
      <c r="D12199"/>
    </row>
    <row r="12200" spans="4:4" x14ac:dyDescent="0.25">
      <c r="D12200"/>
    </row>
    <row r="12201" spans="4:4" x14ac:dyDescent="0.25">
      <c r="D12201"/>
    </row>
    <row r="12202" spans="4:4" x14ac:dyDescent="0.25">
      <c r="D12202"/>
    </row>
    <row r="12203" spans="4:4" x14ac:dyDescent="0.25">
      <c r="D12203"/>
    </row>
    <row r="12204" spans="4:4" x14ac:dyDescent="0.25">
      <c r="D12204"/>
    </row>
    <row r="12205" spans="4:4" x14ac:dyDescent="0.25">
      <c r="D12205"/>
    </row>
    <row r="12206" spans="4:4" x14ac:dyDescent="0.25">
      <c r="D12206"/>
    </row>
    <row r="12207" spans="4:4" x14ac:dyDescent="0.25">
      <c r="D12207"/>
    </row>
    <row r="12208" spans="4:4" x14ac:dyDescent="0.25">
      <c r="D12208"/>
    </row>
    <row r="12209" spans="4:4" x14ac:dyDescent="0.25">
      <c r="D12209"/>
    </row>
    <row r="12210" spans="4:4" x14ac:dyDescent="0.25">
      <c r="D12210"/>
    </row>
    <row r="12211" spans="4:4" x14ac:dyDescent="0.25">
      <c r="D12211"/>
    </row>
    <row r="12212" spans="4:4" x14ac:dyDescent="0.25">
      <c r="D12212"/>
    </row>
    <row r="12213" spans="4:4" x14ac:dyDescent="0.25">
      <c r="D12213"/>
    </row>
    <row r="12214" spans="4:4" x14ac:dyDescent="0.25">
      <c r="D12214"/>
    </row>
    <row r="12215" spans="4:4" x14ac:dyDescent="0.25">
      <c r="D12215"/>
    </row>
    <row r="12216" spans="4:4" x14ac:dyDescent="0.25">
      <c r="D12216"/>
    </row>
    <row r="12217" spans="4:4" x14ac:dyDescent="0.25">
      <c r="D12217"/>
    </row>
    <row r="12218" spans="4:4" x14ac:dyDescent="0.25">
      <c r="D12218"/>
    </row>
    <row r="12219" spans="4:4" x14ac:dyDescent="0.25">
      <c r="D12219"/>
    </row>
    <row r="12220" spans="4:4" x14ac:dyDescent="0.25">
      <c r="D12220"/>
    </row>
    <row r="12221" spans="4:4" x14ac:dyDescent="0.25">
      <c r="D12221"/>
    </row>
    <row r="12222" spans="4:4" x14ac:dyDescent="0.25">
      <c r="D12222"/>
    </row>
    <row r="12223" spans="4:4" x14ac:dyDescent="0.25">
      <c r="D12223"/>
    </row>
    <row r="12224" spans="4:4" x14ac:dyDescent="0.25">
      <c r="D12224"/>
    </row>
    <row r="12225" spans="4:4" x14ac:dyDescent="0.25">
      <c r="D12225"/>
    </row>
    <row r="12226" spans="4:4" x14ac:dyDescent="0.25">
      <c r="D12226"/>
    </row>
    <row r="12227" spans="4:4" x14ac:dyDescent="0.25">
      <c r="D12227"/>
    </row>
    <row r="12228" spans="4:4" x14ac:dyDescent="0.25">
      <c r="D12228"/>
    </row>
    <row r="12229" spans="4:4" x14ac:dyDescent="0.25">
      <c r="D12229"/>
    </row>
    <row r="12230" spans="4:4" x14ac:dyDescent="0.25">
      <c r="D12230"/>
    </row>
    <row r="12231" spans="4:4" x14ac:dyDescent="0.25">
      <c r="D12231"/>
    </row>
    <row r="12232" spans="4:4" x14ac:dyDescent="0.25">
      <c r="D12232"/>
    </row>
    <row r="12233" spans="4:4" x14ac:dyDescent="0.25">
      <c r="D12233"/>
    </row>
    <row r="12234" spans="4:4" x14ac:dyDescent="0.25">
      <c r="D12234"/>
    </row>
    <row r="12235" spans="4:4" x14ac:dyDescent="0.25">
      <c r="D12235"/>
    </row>
    <row r="12236" spans="4:4" x14ac:dyDescent="0.25">
      <c r="D12236"/>
    </row>
    <row r="12237" spans="4:4" x14ac:dyDescent="0.25">
      <c r="D12237"/>
    </row>
    <row r="12238" spans="4:4" x14ac:dyDescent="0.25">
      <c r="D12238"/>
    </row>
    <row r="12239" spans="4:4" x14ac:dyDescent="0.25">
      <c r="D12239"/>
    </row>
    <row r="12240" spans="4:4" x14ac:dyDescent="0.25">
      <c r="D12240"/>
    </row>
    <row r="12241" spans="4:4" x14ac:dyDescent="0.25">
      <c r="D12241"/>
    </row>
    <row r="12242" spans="4:4" x14ac:dyDescent="0.25">
      <c r="D12242"/>
    </row>
    <row r="12243" spans="4:4" x14ac:dyDescent="0.25">
      <c r="D12243"/>
    </row>
    <row r="12244" spans="4:4" x14ac:dyDescent="0.25">
      <c r="D12244"/>
    </row>
    <row r="12245" spans="4:4" x14ac:dyDescent="0.25">
      <c r="D12245"/>
    </row>
    <row r="12246" spans="4:4" x14ac:dyDescent="0.25">
      <c r="D12246"/>
    </row>
    <row r="12247" spans="4:4" x14ac:dyDescent="0.25">
      <c r="D12247"/>
    </row>
    <row r="12248" spans="4:4" x14ac:dyDescent="0.25">
      <c r="D12248"/>
    </row>
    <row r="12249" spans="4:4" x14ac:dyDescent="0.25">
      <c r="D12249"/>
    </row>
    <row r="12250" spans="4:4" x14ac:dyDescent="0.25">
      <c r="D12250"/>
    </row>
    <row r="12251" spans="4:4" x14ac:dyDescent="0.25">
      <c r="D12251"/>
    </row>
    <row r="12252" spans="4:4" x14ac:dyDescent="0.25">
      <c r="D12252"/>
    </row>
    <row r="12253" spans="4:4" x14ac:dyDescent="0.25">
      <c r="D12253"/>
    </row>
    <row r="12254" spans="4:4" x14ac:dyDescent="0.25">
      <c r="D12254"/>
    </row>
    <row r="12255" spans="4:4" x14ac:dyDescent="0.25">
      <c r="D12255"/>
    </row>
    <row r="12256" spans="4:4" x14ac:dyDescent="0.25">
      <c r="D12256"/>
    </row>
    <row r="12257" spans="4:4" x14ac:dyDescent="0.25">
      <c r="D12257"/>
    </row>
    <row r="12258" spans="4:4" x14ac:dyDescent="0.25">
      <c r="D12258"/>
    </row>
    <row r="12259" spans="4:4" x14ac:dyDescent="0.25">
      <c r="D12259"/>
    </row>
    <row r="12260" spans="4:4" x14ac:dyDescent="0.25">
      <c r="D12260"/>
    </row>
    <row r="12261" spans="4:4" x14ac:dyDescent="0.25">
      <c r="D12261"/>
    </row>
    <row r="12262" spans="4:4" x14ac:dyDescent="0.25">
      <c r="D12262"/>
    </row>
    <row r="12263" spans="4:4" x14ac:dyDescent="0.25">
      <c r="D12263"/>
    </row>
    <row r="12264" spans="4:4" x14ac:dyDescent="0.25">
      <c r="D12264"/>
    </row>
    <row r="12265" spans="4:4" x14ac:dyDescent="0.25">
      <c r="D12265"/>
    </row>
    <row r="12266" spans="4:4" x14ac:dyDescent="0.25">
      <c r="D12266"/>
    </row>
    <row r="12267" spans="4:4" x14ac:dyDescent="0.25">
      <c r="D12267"/>
    </row>
    <row r="12268" spans="4:4" x14ac:dyDescent="0.25">
      <c r="D12268"/>
    </row>
    <row r="12269" spans="4:4" x14ac:dyDescent="0.25">
      <c r="D12269"/>
    </row>
    <row r="12270" spans="4:4" x14ac:dyDescent="0.25">
      <c r="D12270"/>
    </row>
    <row r="12271" spans="4:4" x14ac:dyDescent="0.25">
      <c r="D12271"/>
    </row>
    <row r="12272" spans="4:4" x14ac:dyDescent="0.25">
      <c r="D12272"/>
    </row>
    <row r="12273" spans="4:4" x14ac:dyDescent="0.25">
      <c r="D12273"/>
    </row>
    <row r="12274" spans="4:4" x14ac:dyDescent="0.25">
      <c r="D12274"/>
    </row>
    <row r="12275" spans="4:4" x14ac:dyDescent="0.25">
      <c r="D12275"/>
    </row>
    <row r="12276" spans="4:4" x14ac:dyDescent="0.25">
      <c r="D12276"/>
    </row>
    <row r="12277" spans="4:4" x14ac:dyDescent="0.25">
      <c r="D12277"/>
    </row>
    <row r="12278" spans="4:4" x14ac:dyDescent="0.25">
      <c r="D12278"/>
    </row>
    <row r="12279" spans="4:4" x14ac:dyDescent="0.25">
      <c r="D12279"/>
    </row>
    <row r="12280" spans="4:4" x14ac:dyDescent="0.25">
      <c r="D12280"/>
    </row>
    <row r="12281" spans="4:4" x14ac:dyDescent="0.25">
      <c r="D12281"/>
    </row>
    <row r="12282" spans="4:4" x14ac:dyDescent="0.25">
      <c r="D12282"/>
    </row>
    <row r="12283" spans="4:4" x14ac:dyDescent="0.25">
      <c r="D12283"/>
    </row>
    <row r="12284" spans="4:4" x14ac:dyDescent="0.25">
      <c r="D12284"/>
    </row>
    <row r="12285" spans="4:4" x14ac:dyDescent="0.25">
      <c r="D12285"/>
    </row>
    <row r="12286" spans="4:4" x14ac:dyDescent="0.25">
      <c r="D12286"/>
    </row>
    <row r="12287" spans="4:4" x14ac:dyDescent="0.25">
      <c r="D12287"/>
    </row>
    <row r="12288" spans="4:4" x14ac:dyDescent="0.25">
      <c r="D12288"/>
    </row>
    <row r="12289" spans="4:4" x14ac:dyDescent="0.25">
      <c r="D12289"/>
    </row>
    <row r="12290" spans="4:4" x14ac:dyDescent="0.25">
      <c r="D12290"/>
    </row>
    <row r="12291" spans="4:4" x14ac:dyDescent="0.25">
      <c r="D12291"/>
    </row>
    <row r="12292" spans="4:4" x14ac:dyDescent="0.25">
      <c r="D12292"/>
    </row>
    <row r="12293" spans="4:4" x14ac:dyDescent="0.25">
      <c r="D12293"/>
    </row>
    <row r="12294" spans="4:4" x14ac:dyDescent="0.25">
      <c r="D12294"/>
    </row>
    <row r="12295" spans="4:4" x14ac:dyDescent="0.25">
      <c r="D12295"/>
    </row>
    <row r="12296" spans="4:4" x14ac:dyDescent="0.25">
      <c r="D12296"/>
    </row>
    <row r="12297" spans="4:4" x14ac:dyDescent="0.25">
      <c r="D12297"/>
    </row>
    <row r="12298" spans="4:4" x14ac:dyDescent="0.25">
      <c r="D12298"/>
    </row>
    <row r="12299" spans="4:4" x14ac:dyDescent="0.25">
      <c r="D12299"/>
    </row>
    <row r="12300" spans="4:4" x14ac:dyDescent="0.25">
      <c r="D12300"/>
    </row>
    <row r="12301" spans="4:4" x14ac:dyDescent="0.25">
      <c r="D12301"/>
    </row>
    <row r="12302" spans="4:4" x14ac:dyDescent="0.25">
      <c r="D12302"/>
    </row>
    <row r="12303" spans="4:4" x14ac:dyDescent="0.25">
      <c r="D12303"/>
    </row>
    <row r="12304" spans="4:4" x14ac:dyDescent="0.25">
      <c r="D12304"/>
    </row>
    <row r="12305" spans="4:4" x14ac:dyDescent="0.25">
      <c r="D12305"/>
    </row>
    <row r="12306" spans="4:4" x14ac:dyDescent="0.25">
      <c r="D12306"/>
    </row>
    <row r="12307" spans="4:4" x14ac:dyDescent="0.25">
      <c r="D12307"/>
    </row>
    <row r="12308" spans="4:4" x14ac:dyDescent="0.25">
      <c r="D12308"/>
    </row>
    <row r="12309" spans="4:4" x14ac:dyDescent="0.25">
      <c r="D12309"/>
    </row>
    <row r="12310" spans="4:4" x14ac:dyDescent="0.25">
      <c r="D12310"/>
    </row>
    <row r="12311" spans="4:4" x14ac:dyDescent="0.25">
      <c r="D12311"/>
    </row>
    <row r="12312" spans="4:4" x14ac:dyDescent="0.25">
      <c r="D12312"/>
    </row>
    <row r="12313" spans="4:4" x14ac:dyDescent="0.25">
      <c r="D12313"/>
    </row>
    <row r="12314" spans="4:4" x14ac:dyDescent="0.25">
      <c r="D12314"/>
    </row>
    <row r="12315" spans="4:4" x14ac:dyDescent="0.25">
      <c r="D12315"/>
    </row>
    <row r="12316" spans="4:4" x14ac:dyDescent="0.25">
      <c r="D12316"/>
    </row>
    <row r="12317" spans="4:4" x14ac:dyDescent="0.25">
      <c r="D12317"/>
    </row>
    <row r="12318" spans="4:4" x14ac:dyDescent="0.25">
      <c r="D12318"/>
    </row>
    <row r="12319" spans="4:4" x14ac:dyDescent="0.25">
      <c r="D12319"/>
    </row>
    <row r="12320" spans="4:4" x14ac:dyDescent="0.25">
      <c r="D12320"/>
    </row>
    <row r="12321" spans="4:4" x14ac:dyDescent="0.25">
      <c r="D12321"/>
    </row>
    <row r="12322" spans="4:4" x14ac:dyDescent="0.25">
      <c r="D12322"/>
    </row>
    <row r="12323" spans="4:4" x14ac:dyDescent="0.25">
      <c r="D12323"/>
    </row>
    <row r="12324" spans="4:4" x14ac:dyDescent="0.25">
      <c r="D12324"/>
    </row>
    <row r="12325" spans="4:4" x14ac:dyDescent="0.25">
      <c r="D12325"/>
    </row>
    <row r="12326" spans="4:4" x14ac:dyDescent="0.25">
      <c r="D12326"/>
    </row>
    <row r="12327" spans="4:4" x14ac:dyDescent="0.25">
      <c r="D12327"/>
    </row>
    <row r="12328" spans="4:4" x14ac:dyDescent="0.25">
      <c r="D12328"/>
    </row>
    <row r="12329" spans="4:4" x14ac:dyDescent="0.25">
      <c r="D12329"/>
    </row>
    <row r="12330" spans="4:4" x14ac:dyDescent="0.25">
      <c r="D12330"/>
    </row>
    <row r="12331" spans="4:4" x14ac:dyDescent="0.25">
      <c r="D12331"/>
    </row>
    <row r="12332" spans="4:4" x14ac:dyDescent="0.25">
      <c r="D12332"/>
    </row>
    <row r="12333" spans="4:4" x14ac:dyDescent="0.25">
      <c r="D12333"/>
    </row>
    <row r="12334" spans="4:4" x14ac:dyDescent="0.25">
      <c r="D12334"/>
    </row>
    <row r="12335" spans="4:4" x14ac:dyDescent="0.25">
      <c r="D12335"/>
    </row>
    <row r="12336" spans="4:4" x14ac:dyDescent="0.25">
      <c r="D12336"/>
    </row>
    <row r="12337" spans="4:4" x14ac:dyDescent="0.25">
      <c r="D12337"/>
    </row>
    <row r="12338" spans="4:4" x14ac:dyDescent="0.25">
      <c r="D12338"/>
    </row>
    <row r="12339" spans="4:4" x14ac:dyDescent="0.25">
      <c r="D12339"/>
    </row>
    <row r="12340" spans="4:4" x14ac:dyDescent="0.25">
      <c r="D12340"/>
    </row>
    <row r="12341" spans="4:4" x14ac:dyDescent="0.25">
      <c r="D12341"/>
    </row>
    <row r="12342" spans="4:4" x14ac:dyDescent="0.25">
      <c r="D12342"/>
    </row>
    <row r="12343" spans="4:4" x14ac:dyDescent="0.25">
      <c r="D12343"/>
    </row>
    <row r="12344" spans="4:4" x14ac:dyDescent="0.25">
      <c r="D12344"/>
    </row>
    <row r="12345" spans="4:4" x14ac:dyDescent="0.25">
      <c r="D12345"/>
    </row>
    <row r="12346" spans="4:4" x14ac:dyDescent="0.25">
      <c r="D12346"/>
    </row>
    <row r="12347" spans="4:4" x14ac:dyDescent="0.25">
      <c r="D12347"/>
    </row>
    <row r="12348" spans="4:4" x14ac:dyDescent="0.25">
      <c r="D12348"/>
    </row>
    <row r="12349" spans="4:4" x14ac:dyDescent="0.25">
      <c r="D12349"/>
    </row>
    <row r="12350" spans="4:4" x14ac:dyDescent="0.25">
      <c r="D12350"/>
    </row>
    <row r="12351" spans="4:4" x14ac:dyDescent="0.25">
      <c r="D12351"/>
    </row>
    <row r="12352" spans="4:4" x14ac:dyDescent="0.25">
      <c r="D12352"/>
    </row>
    <row r="12353" spans="4:4" x14ac:dyDescent="0.25">
      <c r="D12353"/>
    </row>
    <row r="12354" spans="4:4" x14ac:dyDescent="0.25">
      <c r="D12354"/>
    </row>
    <row r="12355" spans="4:4" x14ac:dyDescent="0.25">
      <c r="D12355"/>
    </row>
    <row r="12356" spans="4:4" x14ac:dyDescent="0.25">
      <c r="D12356"/>
    </row>
    <row r="12357" spans="4:4" x14ac:dyDescent="0.25">
      <c r="D12357"/>
    </row>
    <row r="12358" spans="4:4" x14ac:dyDescent="0.25">
      <c r="D12358"/>
    </row>
    <row r="12359" spans="4:4" x14ac:dyDescent="0.25">
      <c r="D12359"/>
    </row>
    <row r="12360" spans="4:4" x14ac:dyDescent="0.25">
      <c r="D12360"/>
    </row>
    <row r="12361" spans="4:4" x14ac:dyDescent="0.25">
      <c r="D12361"/>
    </row>
    <row r="12362" spans="4:4" x14ac:dyDescent="0.25">
      <c r="D12362"/>
    </row>
    <row r="12363" spans="4:4" x14ac:dyDescent="0.25">
      <c r="D12363"/>
    </row>
    <row r="12364" spans="4:4" x14ac:dyDescent="0.25">
      <c r="D12364"/>
    </row>
    <row r="12365" spans="4:4" x14ac:dyDescent="0.25">
      <c r="D12365"/>
    </row>
    <row r="12366" spans="4:4" x14ac:dyDescent="0.25">
      <c r="D12366"/>
    </row>
    <row r="12367" spans="4:4" x14ac:dyDescent="0.25">
      <c r="D12367"/>
    </row>
    <row r="12368" spans="4:4" x14ac:dyDescent="0.25">
      <c r="D12368"/>
    </row>
    <row r="12369" spans="4:4" x14ac:dyDescent="0.25">
      <c r="D12369"/>
    </row>
    <row r="12370" spans="4:4" x14ac:dyDescent="0.25">
      <c r="D12370"/>
    </row>
    <row r="12371" spans="4:4" x14ac:dyDescent="0.25">
      <c r="D12371"/>
    </row>
    <row r="12372" spans="4:4" x14ac:dyDescent="0.25">
      <c r="D12372"/>
    </row>
    <row r="12373" spans="4:4" x14ac:dyDescent="0.25">
      <c r="D12373"/>
    </row>
    <row r="12374" spans="4:4" x14ac:dyDescent="0.25">
      <c r="D12374"/>
    </row>
    <row r="12375" spans="4:4" x14ac:dyDescent="0.25">
      <c r="D12375"/>
    </row>
    <row r="12376" spans="4:4" x14ac:dyDescent="0.25">
      <c r="D12376"/>
    </row>
    <row r="12377" spans="4:4" x14ac:dyDescent="0.25">
      <c r="D12377"/>
    </row>
    <row r="12378" spans="4:4" x14ac:dyDescent="0.25">
      <c r="D12378"/>
    </row>
    <row r="12379" spans="4:4" x14ac:dyDescent="0.25">
      <c r="D12379"/>
    </row>
    <row r="12380" spans="4:4" x14ac:dyDescent="0.25">
      <c r="D12380"/>
    </row>
    <row r="12381" spans="4:4" x14ac:dyDescent="0.25">
      <c r="D12381"/>
    </row>
    <row r="12382" spans="4:4" x14ac:dyDescent="0.25">
      <c r="D12382"/>
    </row>
    <row r="12383" spans="4:4" x14ac:dyDescent="0.25">
      <c r="D12383"/>
    </row>
    <row r="12384" spans="4:4" x14ac:dyDescent="0.25">
      <c r="D12384"/>
    </row>
    <row r="12385" spans="4:4" x14ac:dyDescent="0.25">
      <c r="D12385"/>
    </row>
    <row r="12386" spans="4:4" x14ac:dyDescent="0.25">
      <c r="D12386"/>
    </row>
    <row r="12387" spans="4:4" x14ac:dyDescent="0.25">
      <c r="D12387"/>
    </row>
    <row r="12388" spans="4:4" x14ac:dyDescent="0.25">
      <c r="D12388"/>
    </row>
    <row r="12389" spans="4:4" x14ac:dyDescent="0.25">
      <c r="D12389"/>
    </row>
    <row r="12390" spans="4:4" x14ac:dyDescent="0.25">
      <c r="D12390"/>
    </row>
    <row r="12391" spans="4:4" x14ac:dyDescent="0.25">
      <c r="D12391"/>
    </row>
    <row r="12392" spans="4:4" x14ac:dyDescent="0.25">
      <c r="D12392"/>
    </row>
    <row r="12393" spans="4:4" x14ac:dyDescent="0.25">
      <c r="D12393"/>
    </row>
    <row r="12394" spans="4:4" x14ac:dyDescent="0.25">
      <c r="D12394"/>
    </row>
    <row r="12395" spans="4:4" x14ac:dyDescent="0.25">
      <c r="D12395"/>
    </row>
    <row r="12396" spans="4:4" x14ac:dyDescent="0.25">
      <c r="D12396"/>
    </row>
    <row r="12397" spans="4:4" x14ac:dyDescent="0.25">
      <c r="D12397"/>
    </row>
    <row r="12398" spans="4:4" x14ac:dyDescent="0.25">
      <c r="D12398"/>
    </row>
    <row r="12399" spans="4:4" x14ac:dyDescent="0.25">
      <c r="D12399"/>
    </row>
    <row r="12400" spans="4:4" x14ac:dyDescent="0.25">
      <c r="D12400"/>
    </row>
    <row r="12401" spans="4:4" x14ac:dyDescent="0.25">
      <c r="D12401"/>
    </row>
    <row r="12402" spans="4:4" x14ac:dyDescent="0.25">
      <c r="D12402"/>
    </row>
    <row r="12403" spans="4:4" x14ac:dyDescent="0.25">
      <c r="D12403"/>
    </row>
    <row r="12404" spans="4:4" x14ac:dyDescent="0.25">
      <c r="D12404"/>
    </row>
    <row r="12405" spans="4:4" x14ac:dyDescent="0.25">
      <c r="D12405"/>
    </row>
    <row r="12406" spans="4:4" x14ac:dyDescent="0.25">
      <c r="D12406"/>
    </row>
    <row r="12407" spans="4:4" x14ac:dyDescent="0.25">
      <c r="D12407"/>
    </row>
    <row r="12408" spans="4:4" x14ac:dyDescent="0.25">
      <c r="D12408"/>
    </row>
    <row r="12409" spans="4:4" x14ac:dyDescent="0.25">
      <c r="D12409"/>
    </row>
    <row r="12410" spans="4:4" x14ac:dyDescent="0.25">
      <c r="D12410"/>
    </row>
    <row r="12411" spans="4:4" x14ac:dyDescent="0.25">
      <c r="D12411"/>
    </row>
    <row r="12412" spans="4:4" x14ac:dyDescent="0.25">
      <c r="D12412"/>
    </row>
    <row r="12413" spans="4:4" x14ac:dyDescent="0.25">
      <c r="D12413"/>
    </row>
    <row r="12414" spans="4:4" x14ac:dyDescent="0.25">
      <c r="D12414"/>
    </row>
    <row r="12415" spans="4:4" x14ac:dyDescent="0.25">
      <c r="D12415"/>
    </row>
    <row r="12416" spans="4:4" x14ac:dyDescent="0.25">
      <c r="D12416"/>
    </row>
    <row r="12417" spans="4:4" x14ac:dyDescent="0.25">
      <c r="D12417"/>
    </row>
    <row r="12418" spans="4:4" x14ac:dyDescent="0.25">
      <c r="D12418"/>
    </row>
    <row r="12419" spans="4:4" x14ac:dyDescent="0.25">
      <c r="D12419"/>
    </row>
    <row r="12420" spans="4:4" x14ac:dyDescent="0.25">
      <c r="D12420"/>
    </row>
    <row r="12421" spans="4:4" x14ac:dyDescent="0.25">
      <c r="D12421"/>
    </row>
    <row r="12422" spans="4:4" x14ac:dyDescent="0.25">
      <c r="D12422"/>
    </row>
    <row r="12423" spans="4:4" x14ac:dyDescent="0.25">
      <c r="D12423"/>
    </row>
    <row r="12424" spans="4:4" x14ac:dyDescent="0.25">
      <c r="D12424"/>
    </row>
    <row r="12425" spans="4:4" x14ac:dyDescent="0.25">
      <c r="D12425"/>
    </row>
    <row r="12426" spans="4:4" x14ac:dyDescent="0.25">
      <c r="D12426"/>
    </row>
    <row r="12427" spans="4:4" x14ac:dyDescent="0.25">
      <c r="D12427"/>
    </row>
    <row r="12428" spans="4:4" x14ac:dyDescent="0.25">
      <c r="D12428"/>
    </row>
    <row r="12429" spans="4:4" x14ac:dyDescent="0.25">
      <c r="D12429"/>
    </row>
    <row r="12430" spans="4:4" x14ac:dyDescent="0.25">
      <c r="D12430"/>
    </row>
    <row r="12431" spans="4:4" x14ac:dyDescent="0.25">
      <c r="D12431"/>
    </row>
    <row r="12432" spans="4:4" x14ac:dyDescent="0.25">
      <c r="D12432"/>
    </row>
    <row r="12433" spans="4:4" x14ac:dyDescent="0.25">
      <c r="D12433"/>
    </row>
    <row r="12434" spans="4:4" x14ac:dyDescent="0.25">
      <c r="D12434"/>
    </row>
    <row r="12435" spans="4:4" x14ac:dyDescent="0.25">
      <c r="D12435"/>
    </row>
    <row r="12436" spans="4:4" x14ac:dyDescent="0.25">
      <c r="D12436"/>
    </row>
    <row r="12437" spans="4:4" x14ac:dyDescent="0.25">
      <c r="D12437"/>
    </row>
    <row r="12438" spans="4:4" x14ac:dyDescent="0.25">
      <c r="D12438"/>
    </row>
    <row r="12439" spans="4:4" x14ac:dyDescent="0.25">
      <c r="D12439"/>
    </row>
    <row r="12440" spans="4:4" x14ac:dyDescent="0.25">
      <c r="D12440"/>
    </row>
    <row r="12441" spans="4:4" x14ac:dyDescent="0.25">
      <c r="D12441"/>
    </row>
    <row r="12442" spans="4:4" x14ac:dyDescent="0.25">
      <c r="D12442"/>
    </row>
    <row r="12443" spans="4:4" x14ac:dyDescent="0.25">
      <c r="D12443"/>
    </row>
    <row r="12444" spans="4:4" x14ac:dyDescent="0.25">
      <c r="D12444"/>
    </row>
    <row r="12445" spans="4:4" x14ac:dyDescent="0.25">
      <c r="D12445"/>
    </row>
    <row r="12446" spans="4:4" x14ac:dyDescent="0.25">
      <c r="D12446"/>
    </row>
    <row r="12447" spans="4:4" x14ac:dyDescent="0.25">
      <c r="D12447"/>
    </row>
    <row r="12448" spans="4:4" x14ac:dyDescent="0.25">
      <c r="D12448"/>
    </row>
    <row r="12449" spans="4:4" x14ac:dyDescent="0.25">
      <c r="D12449"/>
    </row>
    <row r="12450" spans="4:4" x14ac:dyDescent="0.25">
      <c r="D12450"/>
    </row>
    <row r="12451" spans="4:4" x14ac:dyDescent="0.25">
      <c r="D12451"/>
    </row>
    <row r="12452" spans="4:4" x14ac:dyDescent="0.25">
      <c r="D12452"/>
    </row>
    <row r="12453" spans="4:4" x14ac:dyDescent="0.25">
      <c r="D12453"/>
    </row>
    <row r="12454" spans="4:4" x14ac:dyDescent="0.25">
      <c r="D12454"/>
    </row>
    <row r="12455" spans="4:4" x14ac:dyDescent="0.25">
      <c r="D12455"/>
    </row>
    <row r="12456" spans="4:4" x14ac:dyDescent="0.25">
      <c r="D12456"/>
    </row>
    <row r="12457" spans="4:4" x14ac:dyDescent="0.25">
      <c r="D12457"/>
    </row>
    <row r="12458" spans="4:4" x14ac:dyDescent="0.25">
      <c r="D12458"/>
    </row>
    <row r="12459" spans="4:4" x14ac:dyDescent="0.25">
      <c r="D12459"/>
    </row>
    <row r="12460" spans="4:4" x14ac:dyDescent="0.25">
      <c r="D12460"/>
    </row>
    <row r="12461" spans="4:4" x14ac:dyDescent="0.25">
      <c r="D12461"/>
    </row>
    <row r="12462" spans="4:4" x14ac:dyDescent="0.25">
      <c r="D12462"/>
    </row>
    <row r="12463" spans="4:4" x14ac:dyDescent="0.25">
      <c r="D12463"/>
    </row>
    <row r="12464" spans="4:4" x14ac:dyDescent="0.25">
      <c r="D12464"/>
    </row>
    <row r="12465" spans="4:4" x14ac:dyDescent="0.25">
      <c r="D12465"/>
    </row>
    <row r="12466" spans="4:4" x14ac:dyDescent="0.25">
      <c r="D12466"/>
    </row>
    <row r="12467" spans="4:4" x14ac:dyDescent="0.25">
      <c r="D12467"/>
    </row>
    <row r="12468" spans="4:4" x14ac:dyDescent="0.25">
      <c r="D12468"/>
    </row>
    <row r="12469" spans="4:4" x14ac:dyDescent="0.25">
      <c r="D12469"/>
    </row>
    <row r="12470" spans="4:4" x14ac:dyDescent="0.25">
      <c r="D12470"/>
    </row>
    <row r="12471" spans="4:4" x14ac:dyDescent="0.25">
      <c r="D12471"/>
    </row>
    <row r="12472" spans="4:4" x14ac:dyDescent="0.25">
      <c r="D12472"/>
    </row>
    <row r="12473" spans="4:4" x14ac:dyDescent="0.25">
      <c r="D12473"/>
    </row>
    <row r="12474" spans="4:4" x14ac:dyDescent="0.25">
      <c r="D12474"/>
    </row>
    <row r="12475" spans="4:4" x14ac:dyDescent="0.25">
      <c r="D12475"/>
    </row>
    <row r="12476" spans="4:4" x14ac:dyDescent="0.25">
      <c r="D12476"/>
    </row>
    <row r="12477" spans="4:4" x14ac:dyDescent="0.25">
      <c r="D12477"/>
    </row>
    <row r="12478" spans="4:4" x14ac:dyDescent="0.25">
      <c r="D12478"/>
    </row>
    <row r="12479" spans="4:4" x14ac:dyDescent="0.25">
      <c r="D12479"/>
    </row>
    <row r="12480" spans="4:4" x14ac:dyDescent="0.25">
      <c r="D12480"/>
    </row>
    <row r="12481" spans="4:4" x14ac:dyDescent="0.25">
      <c r="D12481"/>
    </row>
    <row r="12482" spans="4:4" x14ac:dyDescent="0.25">
      <c r="D12482"/>
    </row>
    <row r="12483" spans="4:4" x14ac:dyDescent="0.25">
      <c r="D12483"/>
    </row>
    <row r="12484" spans="4:4" x14ac:dyDescent="0.25">
      <c r="D12484"/>
    </row>
    <row r="12485" spans="4:4" x14ac:dyDescent="0.25">
      <c r="D12485"/>
    </row>
    <row r="12486" spans="4:4" x14ac:dyDescent="0.25">
      <c r="D12486"/>
    </row>
    <row r="12487" spans="4:4" x14ac:dyDescent="0.25">
      <c r="D12487"/>
    </row>
    <row r="12488" spans="4:4" x14ac:dyDescent="0.25">
      <c r="D12488"/>
    </row>
    <row r="12489" spans="4:4" x14ac:dyDescent="0.25">
      <c r="D12489"/>
    </row>
    <row r="12490" spans="4:4" x14ac:dyDescent="0.25">
      <c r="D12490"/>
    </row>
    <row r="12491" spans="4:4" x14ac:dyDescent="0.25">
      <c r="D12491"/>
    </row>
    <row r="12492" spans="4:4" x14ac:dyDescent="0.25">
      <c r="D12492"/>
    </row>
    <row r="12493" spans="4:4" x14ac:dyDescent="0.25">
      <c r="D12493"/>
    </row>
    <row r="12494" spans="4:4" x14ac:dyDescent="0.25">
      <c r="D12494"/>
    </row>
    <row r="12495" spans="4:4" x14ac:dyDescent="0.25">
      <c r="D12495"/>
    </row>
    <row r="12496" spans="4:4" x14ac:dyDescent="0.25">
      <c r="D12496"/>
    </row>
    <row r="12497" spans="4:4" x14ac:dyDescent="0.25">
      <c r="D12497"/>
    </row>
    <row r="12498" spans="4:4" x14ac:dyDescent="0.25">
      <c r="D12498"/>
    </row>
    <row r="12499" spans="4:4" x14ac:dyDescent="0.25">
      <c r="D12499"/>
    </row>
    <row r="12500" spans="4:4" x14ac:dyDescent="0.25">
      <c r="D12500"/>
    </row>
    <row r="12501" spans="4:4" x14ac:dyDescent="0.25">
      <c r="D12501"/>
    </row>
    <row r="12502" spans="4:4" x14ac:dyDescent="0.25">
      <c r="D12502"/>
    </row>
    <row r="12503" spans="4:4" x14ac:dyDescent="0.25">
      <c r="D12503"/>
    </row>
    <row r="12504" spans="4:4" x14ac:dyDescent="0.25">
      <c r="D12504"/>
    </row>
    <row r="12505" spans="4:4" x14ac:dyDescent="0.25">
      <c r="D12505"/>
    </row>
    <row r="12506" spans="4:4" x14ac:dyDescent="0.25">
      <c r="D12506"/>
    </row>
    <row r="12507" spans="4:4" x14ac:dyDescent="0.25">
      <c r="D12507"/>
    </row>
    <row r="12508" spans="4:4" x14ac:dyDescent="0.25">
      <c r="D12508"/>
    </row>
    <row r="12509" spans="4:4" x14ac:dyDescent="0.25">
      <c r="D12509"/>
    </row>
    <row r="12510" spans="4:4" x14ac:dyDescent="0.25">
      <c r="D12510"/>
    </row>
    <row r="12511" spans="4:4" x14ac:dyDescent="0.25">
      <c r="D12511"/>
    </row>
    <row r="12512" spans="4:4" x14ac:dyDescent="0.25">
      <c r="D12512"/>
    </row>
    <row r="12513" spans="4:4" x14ac:dyDescent="0.25">
      <c r="D12513"/>
    </row>
    <row r="12514" spans="4:4" x14ac:dyDescent="0.25">
      <c r="D12514"/>
    </row>
    <row r="12515" spans="4:4" x14ac:dyDescent="0.25">
      <c r="D12515"/>
    </row>
    <row r="12516" spans="4:4" x14ac:dyDescent="0.25">
      <c r="D12516"/>
    </row>
    <row r="12517" spans="4:4" x14ac:dyDescent="0.25">
      <c r="D12517"/>
    </row>
    <row r="12518" spans="4:4" x14ac:dyDescent="0.25">
      <c r="D12518"/>
    </row>
    <row r="12519" spans="4:4" x14ac:dyDescent="0.25">
      <c r="D12519"/>
    </row>
    <row r="12520" spans="4:4" x14ac:dyDescent="0.25">
      <c r="D12520"/>
    </row>
    <row r="12521" spans="4:4" x14ac:dyDescent="0.25">
      <c r="D12521"/>
    </row>
    <row r="12522" spans="4:4" x14ac:dyDescent="0.25">
      <c r="D12522"/>
    </row>
    <row r="12523" spans="4:4" x14ac:dyDescent="0.25">
      <c r="D12523"/>
    </row>
    <row r="12524" spans="4:4" x14ac:dyDescent="0.25">
      <c r="D12524"/>
    </row>
    <row r="12525" spans="4:4" x14ac:dyDescent="0.25">
      <c r="D12525"/>
    </row>
    <row r="12526" spans="4:4" x14ac:dyDescent="0.25">
      <c r="D12526"/>
    </row>
    <row r="12527" spans="4:4" x14ac:dyDescent="0.25">
      <c r="D12527"/>
    </row>
    <row r="12528" spans="4:4" x14ac:dyDescent="0.25">
      <c r="D12528"/>
    </row>
    <row r="12529" spans="4:4" x14ac:dyDescent="0.25">
      <c r="D12529"/>
    </row>
    <row r="12530" spans="4:4" x14ac:dyDescent="0.25">
      <c r="D12530"/>
    </row>
    <row r="12531" spans="4:4" x14ac:dyDescent="0.25">
      <c r="D12531"/>
    </row>
    <row r="12532" spans="4:4" x14ac:dyDescent="0.25">
      <c r="D12532"/>
    </row>
    <row r="12533" spans="4:4" x14ac:dyDescent="0.25">
      <c r="D12533"/>
    </row>
    <row r="12534" spans="4:4" x14ac:dyDescent="0.25">
      <c r="D12534"/>
    </row>
    <row r="12535" spans="4:4" x14ac:dyDescent="0.25">
      <c r="D12535"/>
    </row>
    <row r="12536" spans="4:4" x14ac:dyDescent="0.25">
      <c r="D12536"/>
    </row>
    <row r="12537" spans="4:4" x14ac:dyDescent="0.25">
      <c r="D12537"/>
    </row>
    <row r="12538" spans="4:4" x14ac:dyDescent="0.25">
      <c r="D12538"/>
    </row>
    <row r="12539" spans="4:4" x14ac:dyDescent="0.25">
      <c r="D12539"/>
    </row>
    <row r="12540" spans="4:4" x14ac:dyDescent="0.25">
      <c r="D12540"/>
    </row>
    <row r="12541" spans="4:4" x14ac:dyDescent="0.25">
      <c r="D12541"/>
    </row>
    <row r="12542" spans="4:4" x14ac:dyDescent="0.25">
      <c r="D12542"/>
    </row>
    <row r="12543" spans="4:4" x14ac:dyDescent="0.25">
      <c r="D12543"/>
    </row>
    <row r="12544" spans="4:4" x14ac:dyDescent="0.25">
      <c r="D12544"/>
    </row>
    <row r="12545" spans="4:4" x14ac:dyDescent="0.25">
      <c r="D12545"/>
    </row>
    <row r="12546" spans="4:4" x14ac:dyDescent="0.25">
      <c r="D12546"/>
    </row>
    <row r="12547" spans="4:4" x14ac:dyDescent="0.25">
      <c r="D12547"/>
    </row>
    <row r="12548" spans="4:4" x14ac:dyDescent="0.25">
      <c r="D12548"/>
    </row>
    <row r="12549" spans="4:4" x14ac:dyDescent="0.25">
      <c r="D12549"/>
    </row>
    <row r="12550" spans="4:4" x14ac:dyDescent="0.25">
      <c r="D12550"/>
    </row>
    <row r="12551" spans="4:4" x14ac:dyDescent="0.25">
      <c r="D12551"/>
    </row>
    <row r="12552" spans="4:4" x14ac:dyDescent="0.25">
      <c r="D12552"/>
    </row>
    <row r="12553" spans="4:4" x14ac:dyDescent="0.25">
      <c r="D12553"/>
    </row>
    <row r="12554" spans="4:4" x14ac:dyDescent="0.25">
      <c r="D12554"/>
    </row>
    <row r="12555" spans="4:4" x14ac:dyDescent="0.25">
      <c r="D12555"/>
    </row>
    <row r="12556" spans="4:4" x14ac:dyDescent="0.25">
      <c r="D12556"/>
    </row>
    <row r="12557" spans="4:4" x14ac:dyDescent="0.25">
      <c r="D12557"/>
    </row>
    <row r="12558" spans="4:4" x14ac:dyDescent="0.25">
      <c r="D12558"/>
    </row>
    <row r="12559" spans="4:4" x14ac:dyDescent="0.25">
      <c r="D12559"/>
    </row>
    <row r="12560" spans="4:4" x14ac:dyDescent="0.25">
      <c r="D12560"/>
    </row>
    <row r="12561" spans="4:4" x14ac:dyDescent="0.25">
      <c r="D12561"/>
    </row>
    <row r="12562" spans="4:4" x14ac:dyDescent="0.25">
      <c r="D12562"/>
    </row>
    <row r="12563" spans="4:4" x14ac:dyDescent="0.25">
      <c r="D12563"/>
    </row>
    <row r="12564" spans="4:4" x14ac:dyDescent="0.25">
      <c r="D12564"/>
    </row>
    <row r="12565" spans="4:4" x14ac:dyDescent="0.25">
      <c r="D12565"/>
    </row>
    <row r="12566" spans="4:4" x14ac:dyDescent="0.25">
      <c r="D12566"/>
    </row>
    <row r="12567" spans="4:4" x14ac:dyDescent="0.25">
      <c r="D12567"/>
    </row>
    <row r="12568" spans="4:4" x14ac:dyDescent="0.25">
      <c r="D12568"/>
    </row>
    <row r="12569" spans="4:4" x14ac:dyDescent="0.25">
      <c r="D12569"/>
    </row>
    <row r="12570" spans="4:4" x14ac:dyDescent="0.25">
      <c r="D12570"/>
    </row>
    <row r="12571" spans="4:4" x14ac:dyDescent="0.25">
      <c r="D12571"/>
    </row>
    <row r="12572" spans="4:4" x14ac:dyDescent="0.25">
      <c r="D12572"/>
    </row>
    <row r="12573" spans="4:4" x14ac:dyDescent="0.25">
      <c r="D12573"/>
    </row>
    <row r="12574" spans="4:4" x14ac:dyDescent="0.25">
      <c r="D12574"/>
    </row>
    <row r="12575" spans="4:4" x14ac:dyDescent="0.25">
      <c r="D12575"/>
    </row>
    <row r="12576" spans="4:4" x14ac:dyDescent="0.25">
      <c r="D12576"/>
    </row>
    <row r="12577" spans="4:4" x14ac:dyDescent="0.25">
      <c r="D12577"/>
    </row>
    <row r="12578" spans="4:4" x14ac:dyDescent="0.25">
      <c r="D12578"/>
    </row>
    <row r="12579" spans="4:4" x14ac:dyDescent="0.25">
      <c r="D12579"/>
    </row>
    <row r="12580" spans="4:4" x14ac:dyDescent="0.25">
      <c r="D12580"/>
    </row>
    <row r="12581" spans="4:4" x14ac:dyDescent="0.25">
      <c r="D12581"/>
    </row>
    <row r="12582" spans="4:4" x14ac:dyDescent="0.25">
      <c r="D12582"/>
    </row>
    <row r="12583" spans="4:4" x14ac:dyDescent="0.25">
      <c r="D12583"/>
    </row>
    <row r="12584" spans="4:4" x14ac:dyDescent="0.25">
      <c r="D12584"/>
    </row>
    <row r="12585" spans="4:4" x14ac:dyDescent="0.25">
      <c r="D12585"/>
    </row>
    <row r="12586" spans="4:4" x14ac:dyDescent="0.25">
      <c r="D12586"/>
    </row>
    <row r="12587" spans="4:4" x14ac:dyDescent="0.25">
      <c r="D12587"/>
    </row>
    <row r="12588" spans="4:4" x14ac:dyDescent="0.25">
      <c r="D12588"/>
    </row>
    <row r="12589" spans="4:4" x14ac:dyDescent="0.25">
      <c r="D12589"/>
    </row>
    <row r="12590" spans="4:4" x14ac:dyDescent="0.25">
      <c r="D12590"/>
    </row>
    <row r="12591" spans="4:4" x14ac:dyDescent="0.25">
      <c r="D12591"/>
    </row>
    <row r="12592" spans="4:4" x14ac:dyDescent="0.25">
      <c r="D12592"/>
    </row>
    <row r="12593" spans="4:4" x14ac:dyDescent="0.25">
      <c r="D12593"/>
    </row>
    <row r="12594" spans="4:4" x14ac:dyDescent="0.25">
      <c r="D12594"/>
    </row>
    <row r="12595" spans="4:4" x14ac:dyDescent="0.25">
      <c r="D12595"/>
    </row>
    <row r="12596" spans="4:4" x14ac:dyDescent="0.25">
      <c r="D12596"/>
    </row>
    <row r="12597" spans="4:4" x14ac:dyDescent="0.25">
      <c r="D12597"/>
    </row>
    <row r="12598" spans="4:4" x14ac:dyDescent="0.25">
      <c r="D12598"/>
    </row>
    <row r="12599" spans="4:4" x14ac:dyDescent="0.25">
      <c r="D12599"/>
    </row>
    <row r="12600" spans="4:4" x14ac:dyDescent="0.25">
      <c r="D12600"/>
    </row>
    <row r="12601" spans="4:4" x14ac:dyDescent="0.25">
      <c r="D12601"/>
    </row>
    <row r="12602" spans="4:4" x14ac:dyDescent="0.25">
      <c r="D12602"/>
    </row>
    <row r="12603" spans="4:4" x14ac:dyDescent="0.25">
      <c r="D12603"/>
    </row>
    <row r="12604" spans="4:4" x14ac:dyDescent="0.25">
      <c r="D12604"/>
    </row>
    <row r="12605" spans="4:4" x14ac:dyDescent="0.25">
      <c r="D12605"/>
    </row>
    <row r="12606" spans="4:4" x14ac:dyDescent="0.25">
      <c r="D12606"/>
    </row>
    <row r="12607" spans="4:4" x14ac:dyDescent="0.25">
      <c r="D12607"/>
    </row>
    <row r="12608" spans="4:4" x14ac:dyDescent="0.25">
      <c r="D12608"/>
    </row>
    <row r="12609" spans="4:4" x14ac:dyDescent="0.25">
      <c r="D12609"/>
    </row>
    <row r="12610" spans="4:4" x14ac:dyDescent="0.25">
      <c r="D12610"/>
    </row>
    <row r="12611" spans="4:4" x14ac:dyDescent="0.25">
      <c r="D12611"/>
    </row>
    <row r="12612" spans="4:4" x14ac:dyDescent="0.25">
      <c r="D12612"/>
    </row>
    <row r="12613" spans="4:4" x14ac:dyDescent="0.25">
      <c r="D12613"/>
    </row>
    <row r="12614" spans="4:4" x14ac:dyDescent="0.25">
      <c r="D12614"/>
    </row>
    <row r="12615" spans="4:4" x14ac:dyDescent="0.25">
      <c r="D12615"/>
    </row>
    <row r="12616" spans="4:4" x14ac:dyDescent="0.25">
      <c r="D12616"/>
    </row>
    <row r="12617" spans="4:4" x14ac:dyDescent="0.25">
      <c r="D12617"/>
    </row>
    <row r="12618" spans="4:4" x14ac:dyDescent="0.25">
      <c r="D12618"/>
    </row>
    <row r="12619" spans="4:4" x14ac:dyDescent="0.25">
      <c r="D12619"/>
    </row>
    <row r="12620" spans="4:4" x14ac:dyDescent="0.25">
      <c r="D12620"/>
    </row>
    <row r="12621" spans="4:4" x14ac:dyDescent="0.25">
      <c r="D12621"/>
    </row>
    <row r="12622" spans="4:4" x14ac:dyDescent="0.25">
      <c r="D12622"/>
    </row>
    <row r="12623" spans="4:4" x14ac:dyDescent="0.25">
      <c r="D12623"/>
    </row>
    <row r="12624" spans="4:4" x14ac:dyDescent="0.25">
      <c r="D12624"/>
    </row>
    <row r="12625" spans="4:4" x14ac:dyDescent="0.25">
      <c r="D12625"/>
    </row>
    <row r="12626" spans="4:4" x14ac:dyDescent="0.25">
      <c r="D12626"/>
    </row>
    <row r="12627" spans="4:4" x14ac:dyDescent="0.25">
      <c r="D12627"/>
    </row>
    <row r="12628" spans="4:4" x14ac:dyDescent="0.25">
      <c r="D12628"/>
    </row>
    <row r="12629" spans="4:4" x14ac:dyDescent="0.25">
      <c r="D12629"/>
    </row>
    <row r="12630" spans="4:4" x14ac:dyDescent="0.25">
      <c r="D12630"/>
    </row>
    <row r="12631" spans="4:4" x14ac:dyDescent="0.25">
      <c r="D12631"/>
    </row>
    <row r="12632" spans="4:4" x14ac:dyDescent="0.25">
      <c r="D12632"/>
    </row>
    <row r="12633" spans="4:4" x14ac:dyDescent="0.25">
      <c r="D12633"/>
    </row>
    <row r="12634" spans="4:4" x14ac:dyDescent="0.25">
      <c r="D12634"/>
    </row>
    <row r="12635" spans="4:4" x14ac:dyDescent="0.25">
      <c r="D12635"/>
    </row>
    <row r="12636" spans="4:4" x14ac:dyDescent="0.25">
      <c r="D12636"/>
    </row>
    <row r="12637" spans="4:4" x14ac:dyDescent="0.25">
      <c r="D12637"/>
    </row>
    <row r="12638" spans="4:4" x14ac:dyDescent="0.25">
      <c r="D12638"/>
    </row>
    <row r="12639" spans="4:4" x14ac:dyDescent="0.25">
      <c r="D12639"/>
    </row>
    <row r="12640" spans="4:4" x14ac:dyDescent="0.25">
      <c r="D12640"/>
    </row>
    <row r="12641" spans="4:4" x14ac:dyDescent="0.25">
      <c r="D12641"/>
    </row>
    <row r="12642" spans="4:4" x14ac:dyDescent="0.25">
      <c r="D12642"/>
    </row>
    <row r="12643" spans="4:4" x14ac:dyDescent="0.25">
      <c r="D12643"/>
    </row>
    <row r="12644" spans="4:4" x14ac:dyDescent="0.25">
      <c r="D12644"/>
    </row>
    <row r="12645" spans="4:4" x14ac:dyDescent="0.25">
      <c r="D12645"/>
    </row>
    <row r="12646" spans="4:4" x14ac:dyDescent="0.25">
      <c r="D12646"/>
    </row>
    <row r="12647" spans="4:4" x14ac:dyDescent="0.25">
      <c r="D12647"/>
    </row>
    <row r="12648" spans="4:4" x14ac:dyDescent="0.25">
      <c r="D12648"/>
    </row>
    <row r="12649" spans="4:4" x14ac:dyDescent="0.25">
      <c r="D12649"/>
    </row>
    <row r="12650" spans="4:4" x14ac:dyDescent="0.25">
      <c r="D12650"/>
    </row>
    <row r="12651" spans="4:4" x14ac:dyDescent="0.25">
      <c r="D12651"/>
    </row>
    <row r="12652" spans="4:4" x14ac:dyDescent="0.25">
      <c r="D12652"/>
    </row>
    <row r="12653" spans="4:4" x14ac:dyDescent="0.25">
      <c r="D12653"/>
    </row>
    <row r="12654" spans="4:4" x14ac:dyDescent="0.25">
      <c r="D12654"/>
    </row>
    <row r="12655" spans="4:4" x14ac:dyDescent="0.25">
      <c r="D12655"/>
    </row>
    <row r="12656" spans="4:4" x14ac:dyDescent="0.25">
      <c r="D12656"/>
    </row>
    <row r="12657" spans="4:4" x14ac:dyDescent="0.25">
      <c r="D12657"/>
    </row>
    <row r="12658" spans="4:4" x14ac:dyDescent="0.25">
      <c r="D12658"/>
    </row>
    <row r="12659" spans="4:4" x14ac:dyDescent="0.25">
      <c r="D12659"/>
    </row>
    <row r="12660" spans="4:4" x14ac:dyDescent="0.25">
      <c r="D12660"/>
    </row>
    <row r="12661" spans="4:4" x14ac:dyDescent="0.25">
      <c r="D12661"/>
    </row>
    <row r="12662" spans="4:4" x14ac:dyDescent="0.25">
      <c r="D12662"/>
    </row>
    <row r="12663" spans="4:4" x14ac:dyDescent="0.25">
      <c r="D12663"/>
    </row>
    <row r="12664" spans="4:4" x14ac:dyDescent="0.25">
      <c r="D12664"/>
    </row>
    <row r="12665" spans="4:4" x14ac:dyDescent="0.25">
      <c r="D12665"/>
    </row>
    <row r="12666" spans="4:4" x14ac:dyDescent="0.25">
      <c r="D12666"/>
    </row>
    <row r="12667" spans="4:4" x14ac:dyDescent="0.25">
      <c r="D12667"/>
    </row>
    <row r="12668" spans="4:4" x14ac:dyDescent="0.25">
      <c r="D12668"/>
    </row>
    <row r="12669" spans="4:4" x14ac:dyDescent="0.25">
      <c r="D12669"/>
    </row>
    <row r="12670" spans="4:4" x14ac:dyDescent="0.25">
      <c r="D12670"/>
    </row>
    <row r="12671" spans="4:4" x14ac:dyDescent="0.25">
      <c r="D12671"/>
    </row>
    <row r="12672" spans="4:4" x14ac:dyDescent="0.25">
      <c r="D12672"/>
    </row>
    <row r="12673" spans="4:4" x14ac:dyDescent="0.25">
      <c r="D12673"/>
    </row>
    <row r="12674" spans="4:4" x14ac:dyDescent="0.25">
      <c r="D12674"/>
    </row>
    <row r="12675" spans="4:4" x14ac:dyDescent="0.25">
      <c r="D12675"/>
    </row>
    <row r="12676" spans="4:4" x14ac:dyDescent="0.25">
      <c r="D12676"/>
    </row>
    <row r="12677" spans="4:4" x14ac:dyDescent="0.25">
      <c r="D12677"/>
    </row>
    <row r="12678" spans="4:4" x14ac:dyDescent="0.25">
      <c r="D12678"/>
    </row>
    <row r="12679" spans="4:4" x14ac:dyDescent="0.25">
      <c r="D12679"/>
    </row>
    <row r="12680" spans="4:4" x14ac:dyDescent="0.25">
      <c r="D12680"/>
    </row>
    <row r="12681" spans="4:4" x14ac:dyDescent="0.25">
      <c r="D12681"/>
    </row>
    <row r="12682" spans="4:4" x14ac:dyDescent="0.25">
      <c r="D12682"/>
    </row>
    <row r="12683" spans="4:4" x14ac:dyDescent="0.25">
      <c r="D12683"/>
    </row>
    <row r="12684" spans="4:4" x14ac:dyDescent="0.25">
      <c r="D12684"/>
    </row>
    <row r="12685" spans="4:4" x14ac:dyDescent="0.25">
      <c r="D12685"/>
    </row>
    <row r="12686" spans="4:4" x14ac:dyDescent="0.25">
      <c r="D12686"/>
    </row>
    <row r="12687" spans="4:4" x14ac:dyDescent="0.25">
      <c r="D12687"/>
    </row>
    <row r="12688" spans="4:4" x14ac:dyDescent="0.25">
      <c r="D12688"/>
    </row>
    <row r="12689" spans="4:4" x14ac:dyDescent="0.25">
      <c r="D12689"/>
    </row>
    <row r="12690" spans="4:4" x14ac:dyDescent="0.25">
      <c r="D12690"/>
    </row>
    <row r="12691" spans="4:4" x14ac:dyDescent="0.25">
      <c r="D12691"/>
    </row>
    <row r="12692" spans="4:4" x14ac:dyDescent="0.25">
      <c r="D12692"/>
    </row>
    <row r="12693" spans="4:4" x14ac:dyDescent="0.25">
      <c r="D12693"/>
    </row>
    <row r="12694" spans="4:4" x14ac:dyDescent="0.25">
      <c r="D12694"/>
    </row>
    <row r="12695" spans="4:4" x14ac:dyDescent="0.25">
      <c r="D12695"/>
    </row>
    <row r="12696" spans="4:4" x14ac:dyDescent="0.25">
      <c r="D12696"/>
    </row>
    <row r="12697" spans="4:4" x14ac:dyDescent="0.25">
      <c r="D12697"/>
    </row>
    <row r="12698" spans="4:4" x14ac:dyDescent="0.25">
      <c r="D12698"/>
    </row>
    <row r="12699" spans="4:4" x14ac:dyDescent="0.25">
      <c r="D12699"/>
    </row>
    <row r="12700" spans="4:4" x14ac:dyDescent="0.25">
      <c r="D12700"/>
    </row>
    <row r="12701" spans="4:4" x14ac:dyDescent="0.25">
      <c r="D12701"/>
    </row>
    <row r="12702" spans="4:4" x14ac:dyDescent="0.25">
      <c r="D12702"/>
    </row>
    <row r="12703" spans="4:4" x14ac:dyDescent="0.25">
      <c r="D12703"/>
    </row>
    <row r="12704" spans="4:4" x14ac:dyDescent="0.25">
      <c r="D12704"/>
    </row>
    <row r="12705" spans="4:4" x14ac:dyDescent="0.25">
      <c r="D12705"/>
    </row>
    <row r="12706" spans="4:4" x14ac:dyDescent="0.25">
      <c r="D12706"/>
    </row>
    <row r="12707" spans="4:4" x14ac:dyDescent="0.25">
      <c r="D12707"/>
    </row>
    <row r="12708" spans="4:4" x14ac:dyDescent="0.25">
      <c r="D12708"/>
    </row>
    <row r="12709" spans="4:4" x14ac:dyDescent="0.25">
      <c r="D12709"/>
    </row>
    <row r="12710" spans="4:4" x14ac:dyDescent="0.25">
      <c r="D12710"/>
    </row>
    <row r="12711" spans="4:4" x14ac:dyDescent="0.25">
      <c r="D12711"/>
    </row>
    <row r="12712" spans="4:4" x14ac:dyDescent="0.25">
      <c r="D12712"/>
    </row>
    <row r="12713" spans="4:4" x14ac:dyDescent="0.25">
      <c r="D12713"/>
    </row>
    <row r="12714" spans="4:4" x14ac:dyDescent="0.25">
      <c r="D12714"/>
    </row>
    <row r="12715" spans="4:4" x14ac:dyDescent="0.25">
      <c r="D12715"/>
    </row>
    <row r="12716" spans="4:4" x14ac:dyDescent="0.25">
      <c r="D12716"/>
    </row>
    <row r="12717" spans="4:4" x14ac:dyDescent="0.25">
      <c r="D12717"/>
    </row>
    <row r="12718" spans="4:4" x14ac:dyDescent="0.25">
      <c r="D12718"/>
    </row>
    <row r="12719" spans="4:4" x14ac:dyDescent="0.25">
      <c r="D12719"/>
    </row>
    <row r="12720" spans="4:4" x14ac:dyDescent="0.25">
      <c r="D12720"/>
    </row>
    <row r="12721" spans="4:4" x14ac:dyDescent="0.25">
      <c r="D12721"/>
    </row>
    <row r="12722" spans="4:4" x14ac:dyDescent="0.25">
      <c r="D12722"/>
    </row>
    <row r="12723" spans="4:4" x14ac:dyDescent="0.25">
      <c r="D12723"/>
    </row>
    <row r="12724" spans="4:4" x14ac:dyDescent="0.25">
      <c r="D12724"/>
    </row>
    <row r="12725" spans="4:4" x14ac:dyDescent="0.25">
      <c r="D12725"/>
    </row>
    <row r="12726" spans="4:4" x14ac:dyDescent="0.25">
      <c r="D12726"/>
    </row>
    <row r="12727" spans="4:4" x14ac:dyDescent="0.25">
      <c r="D12727"/>
    </row>
    <row r="12728" spans="4:4" x14ac:dyDescent="0.25">
      <c r="D12728"/>
    </row>
    <row r="12729" spans="4:4" x14ac:dyDescent="0.25">
      <c r="D12729"/>
    </row>
    <row r="12730" spans="4:4" x14ac:dyDescent="0.25">
      <c r="D12730"/>
    </row>
    <row r="12731" spans="4:4" x14ac:dyDescent="0.25">
      <c r="D12731"/>
    </row>
    <row r="12732" spans="4:4" x14ac:dyDescent="0.25">
      <c r="D12732"/>
    </row>
    <row r="12733" spans="4:4" x14ac:dyDescent="0.25">
      <c r="D12733"/>
    </row>
    <row r="12734" spans="4:4" x14ac:dyDescent="0.25">
      <c r="D12734"/>
    </row>
    <row r="12735" spans="4:4" x14ac:dyDescent="0.25">
      <c r="D12735"/>
    </row>
    <row r="12736" spans="4:4" x14ac:dyDescent="0.25">
      <c r="D12736"/>
    </row>
    <row r="12737" spans="4:4" x14ac:dyDescent="0.25">
      <c r="D12737"/>
    </row>
    <row r="12738" spans="4:4" x14ac:dyDescent="0.25">
      <c r="D12738"/>
    </row>
    <row r="12739" spans="4:4" x14ac:dyDescent="0.25">
      <c r="D12739"/>
    </row>
    <row r="12740" spans="4:4" x14ac:dyDescent="0.25">
      <c r="D12740"/>
    </row>
    <row r="12741" spans="4:4" x14ac:dyDescent="0.25">
      <c r="D12741"/>
    </row>
    <row r="12742" spans="4:4" x14ac:dyDescent="0.25">
      <c r="D12742"/>
    </row>
    <row r="12743" spans="4:4" x14ac:dyDescent="0.25">
      <c r="D12743"/>
    </row>
    <row r="12744" spans="4:4" x14ac:dyDescent="0.25">
      <c r="D12744"/>
    </row>
    <row r="12745" spans="4:4" x14ac:dyDescent="0.25">
      <c r="D12745"/>
    </row>
    <row r="12746" spans="4:4" x14ac:dyDescent="0.25">
      <c r="D12746"/>
    </row>
    <row r="12747" spans="4:4" x14ac:dyDescent="0.25">
      <c r="D12747"/>
    </row>
    <row r="12748" spans="4:4" x14ac:dyDescent="0.25">
      <c r="D12748"/>
    </row>
    <row r="12749" spans="4:4" x14ac:dyDescent="0.25">
      <c r="D12749"/>
    </row>
    <row r="12750" spans="4:4" x14ac:dyDescent="0.25">
      <c r="D12750"/>
    </row>
    <row r="12751" spans="4:4" x14ac:dyDescent="0.25">
      <c r="D12751"/>
    </row>
    <row r="12752" spans="4:4" x14ac:dyDescent="0.25">
      <c r="D12752"/>
    </row>
    <row r="12753" spans="4:4" x14ac:dyDescent="0.25">
      <c r="D12753"/>
    </row>
    <row r="12754" spans="4:4" x14ac:dyDescent="0.25">
      <c r="D12754"/>
    </row>
    <row r="12755" spans="4:4" x14ac:dyDescent="0.25">
      <c r="D12755"/>
    </row>
    <row r="12756" spans="4:4" x14ac:dyDescent="0.25">
      <c r="D12756"/>
    </row>
    <row r="12757" spans="4:4" x14ac:dyDescent="0.25">
      <c r="D12757"/>
    </row>
    <row r="12758" spans="4:4" x14ac:dyDescent="0.25">
      <c r="D12758"/>
    </row>
    <row r="12759" spans="4:4" x14ac:dyDescent="0.25">
      <c r="D12759"/>
    </row>
    <row r="12760" spans="4:4" x14ac:dyDescent="0.25">
      <c r="D12760"/>
    </row>
    <row r="12761" spans="4:4" x14ac:dyDescent="0.25">
      <c r="D12761"/>
    </row>
    <row r="12762" spans="4:4" x14ac:dyDescent="0.25">
      <c r="D12762"/>
    </row>
    <row r="12763" spans="4:4" x14ac:dyDescent="0.25">
      <c r="D12763"/>
    </row>
    <row r="12764" spans="4:4" x14ac:dyDescent="0.25">
      <c r="D12764"/>
    </row>
    <row r="12765" spans="4:4" x14ac:dyDescent="0.25">
      <c r="D12765"/>
    </row>
    <row r="12766" spans="4:4" x14ac:dyDescent="0.25">
      <c r="D12766"/>
    </row>
    <row r="12767" spans="4:4" x14ac:dyDescent="0.25">
      <c r="D12767"/>
    </row>
    <row r="12768" spans="4:4" x14ac:dyDescent="0.25">
      <c r="D12768"/>
    </row>
    <row r="12769" spans="4:4" x14ac:dyDescent="0.25">
      <c r="D12769"/>
    </row>
    <row r="12770" spans="4:4" x14ac:dyDescent="0.25">
      <c r="D12770"/>
    </row>
    <row r="12771" spans="4:4" x14ac:dyDescent="0.25">
      <c r="D12771"/>
    </row>
    <row r="12772" spans="4:4" x14ac:dyDescent="0.25">
      <c r="D12772"/>
    </row>
    <row r="12773" spans="4:4" x14ac:dyDescent="0.25">
      <c r="D12773"/>
    </row>
    <row r="12774" spans="4:4" x14ac:dyDescent="0.25">
      <c r="D12774"/>
    </row>
    <row r="12775" spans="4:4" x14ac:dyDescent="0.25">
      <c r="D12775"/>
    </row>
    <row r="12776" spans="4:4" x14ac:dyDescent="0.25">
      <c r="D12776"/>
    </row>
    <row r="12777" spans="4:4" x14ac:dyDescent="0.25">
      <c r="D12777"/>
    </row>
    <row r="12778" spans="4:4" x14ac:dyDescent="0.25">
      <c r="D12778"/>
    </row>
    <row r="12779" spans="4:4" x14ac:dyDescent="0.25">
      <c r="D12779"/>
    </row>
    <row r="12780" spans="4:4" x14ac:dyDescent="0.25">
      <c r="D12780"/>
    </row>
    <row r="12781" spans="4:4" x14ac:dyDescent="0.25">
      <c r="D12781"/>
    </row>
    <row r="12782" spans="4:4" x14ac:dyDescent="0.25">
      <c r="D12782"/>
    </row>
    <row r="12783" spans="4:4" x14ac:dyDescent="0.25">
      <c r="D12783"/>
    </row>
    <row r="12784" spans="4:4" x14ac:dyDescent="0.25">
      <c r="D12784"/>
    </row>
    <row r="12785" spans="4:4" x14ac:dyDescent="0.25">
      <c r="D12785"/>
    </row>
    <row r="12786" spans="4:4" x14ac:dyDescent="0.25">
      <c r="D12786"/>
    </row>
    <row r="12787" spans="4:4" x14ac:dyDescent="0.25">
      <c r="D12787"/>
    </row>
    <row r="12788" spans="4:4" x14ac:dyDescent="0.25">
      <c r="D12788"/>
    </row>
    <row r="12789" spans="4:4" x14ac:dyDescent="0.25">
      <c r="D12789"/>
    </row>
    <row r="12790" spans="4:4" x14ac:dyDescent="0.25">
      <c r="D12790"/>
    </row>
    <row r="12791" spans="4:4" x14ac:dyDescent="0.25">
      <c r="D12791"/>
    </row>
    <row r="12792" spans="4:4" x14ac:dyDescent="0.25">
      <c r="D12792"/>
    </row>
    <row r="12793" spans="4:4" x14ac:dyDescent="0.25">
      <c r="D12793"/>
    </row>
    <row r="12794" spans="4:4" x14ac:dyDescent="0.25">
      <c r="D12794"/>
    </row>
    <row r="12795" spans="4:4" x14ac:dyDescent="0.25">
      <c r="D12795"/>
    </row>
    <row r="12796" spans="4:4" x14ac:dyDescent="0.25">
      <c r="D12796"/>
    </row>
    <row r="12797" spans="4:4" x14ac:dyDescent="0.25">
      <c r="D12797"/>
    </row>
    <row r="12798" spans="4:4" x14ac:dyDescent="0.25">
      <c r="D12798"/>
    </row>
    <row r="12799" spans="4:4" x14ac:dyDescent="0.25">
      <c r="D12799"/>
    </row>
    <row r="12800" spans="4:4" x14ac:dyDescent="0.25">
      <c r="D12800"/>
    </row>
    <row r="12801" spans="4:4" x14ac:dyDescent="0.25">
      <c r="D12801"/>
    </row>
    <row r="12802" spans="4:4" x14ac:dyDescent="0.25">
      <c r="D12802"/>
    </row>
    <row r="12803" spans="4:4" x14ac:dyDescent="0.25">
      <c r="D12803"/>
    </row>
    <row r="12804" spans="4:4" x14ac:dyDescent="0.25">
      <c r="D12804"/>
    </row>
    <row r="12805" spans="4:4" x14ac:dyDescent="0.25">
      <c r="D12805"/>
    </row>
    <row r="12806" spans="4:4" x14ac:dyDescent="0.25">
      <c r="D12806"/>
    </row>
    <row r="12807" spans="4:4" x14ac:dyDescent="0.25">
      <c r="D12807"/>
    </row>
    <row r="12808" spans="4:4" x14ac:dyDescent="0.25">
      <c r="D12808"/>
    </row>
    <row r="12809" spans="4:4" x14ac:dyDescent="0.25">
      <c r="D12809"/>
    </row>
    <row r="12810" spans="4:4" x14ac:dyDescent="0.25">
      <c r="D12810"/>
    </row>
    <row r="12811" spans="4:4" x14ac:dyDescent="0.25">
      <c r="D12811"/>
    </row>
    <row r="12812" spans="4:4" x14ac:dyDescent="0.25">
      <c r="D12812"/>
    </row>
    <row r="12813" spans="4:4" x14ac:dyDescent="0.25">
      <c r="D12813"/>
    </row>
    <row r="12814" spans="4:4" x14ac:dyDescent="0.25">
      <c r="D12814"/>
    </row>
    <row r="12815" spans="4:4" x14ac:dyDescent="0.25">
      <c r="D12815"/>
    </row>
    <row r="12816" spans="4:4" x14ac:dyDescent="0.25">
      <c r="D12816"/>
    </row>
    <row r="12817" spans="4:4" x14ac:dyDescent="0.25">
      <c r="D12817"/>
    </row>
    <row r="12818" spans="4:4" x14ac:dyDescent="0.25">
      <c r="D12818"/>
    </row>
    <row r="12819" spans="4:4" x14ac:dyDescent="0.25">
      <c r="D12819"/>
    </row>
    <row r="12820" spans="4:4" x14ac:dyDescent="0.25">
      <c r="D12820"/>
    </row>
    <row r="12821" spans="4:4" x14ac:dyDescent="0.25">
      <c r="D12821"/>
    </row>
    <row r="12822" spans="4:4" x14ac:dyDescent="0.25">
      <c r="D12822"/>
    </row>
    <row r="12823" spans="4:4" x14ac:dyDescent="0.25">
      <c r="D12823"/>
    </row>
    <row r="12824" spans="4:4" x14ac:dyDescent="0.25">
      <c r="D12824"/>
    </row>
    <row r="12825" spans="4:4" x14ac:dyDescent="0.25">
      <c r="D12825"/>
    </row>
    <row r="12826" spans="4:4" x14ac:dyDescent="0.25">
      <c r="D12826"/>
    </row>
    <row r="12827" spans="4:4" x14ac:dyDescent="0.25">
      <c r="D12827"/>
    </row>
    <row r="12828" spans="4:4" x14ac:dyDescent="0.25">
      <c r="D12828"/>
    </row>
    <row r="12829" spans="4:4" x14ac:dyDescent="0.25">
      <c r="D12829"/>
    </row>
    <row r="12830" spans="4:4" x14ac:dyDescent="0.25">
      <c r="D12830"/>
    </row>
    <row r="12831" spans="4:4" x14ac:dyDescent="0.25">
      <c r="D12831"/>
    </row>
    <row r="12832" spans="4:4" x14ac:dyDescent="0.25">
      <c r="D12832"/>
    </row>
    <row r="12833" spans="4:4" x14ac:dyDescent="0.25">
      <c r="D12833"/>
    </row>
    <row r="12834" spans="4:4" x14ac:dyDescent="0.25">
      <c r="D12834"/>
    </row>
    <row r="12835" spans="4:4" x14ac:dyDescent="0.25">
      <c r="D12835"/>
    </row>
    <row r="12836" spans="4:4" x14ac:dyDescent="0.25">
      <c r="D12836"/>
    </row>
    <row r="12837" spans="4:4" x14ac:dyDescent="0.25">
      <c r="D12837"/>
    </row>
    <row r="12838" spans="4:4" x14ac:dyDescent="0.25">
      <c r="D12838"/>
    </row>
    <row r="12839" spans="4:4" x14ac:dyDescent="0.25">
      <c r="D12839"/>
    </row>
    <row r="12840" spans="4:4" x14ac:dyDescent="0.25">
      <c r="D12840"/>
    </row>
    <row r="12841" spans="4:4" x14ac:dyDescent="0.25">
      <c r="D12841"/>
    </row>
    <row r="12842" spans="4:4" x14ac:dyDescent="0.25">
      <c r="D12842"/>
    </row>
    <row r="12843" spans="4:4" x14ac:dyDescent="0.25">
      <c r="D12843"/>
    </row>
    <row r="12844" spans="4:4" x14ac:dyDescent="0.25">
      <c r="D12844"/>
    </row>
    <row r="12845" spans="4:4" x14ac:dyDescent="0.25">
      <c r="D12845"/>
    </row>
    <row r="12846" spans="4:4" x14ac:dyDescent="0.25">
      <c r="D12846"/>
    </row>
    <row r="12847" spans="4:4" x14ac:dyDescent="0.25">
      <c r="D12847"/>
    </row>
    <row r="12848" spans="4:4" x14ac:dyDescent="0.25">
      <c r="D12848"/>
    </row>
    <row r="12849" spans="4:4" x14ac:dyDescent="0.25">
      <c r="D12849"/>
    </row>
    <row r="12850" spans="4:4" x14ac:dyDescent="0.25">
      <c r="D12850"/>
    </row>
    <row r="12851" spans="4:4" x14ac:dyDescent="0.25">
      <c r="D12851"/>
    </row>
    <row r="12852" spans="4:4" x14ac:dyDescent="0.25">
      <c r="D12852"/>
    </row>
    <row r="12853" spans="4:4" x14ac:dyDescent="0.25">
      <c r="D12853"/>
    </row>
    <row r="12854" spans="4:4" x14ac:dyDescent="0.25">
      <c r="D12854"/>
    </row>
    <row r="12855" spans="4:4" x14ac:dyDescent="0.25">
      <c r="D12855"/>
    </row>
    <row r="12856" spans="4:4" x14ac:dyDescent="0.25">
      <c r="D12856"/>
    </row>
    <row r="12857" spans="4:4" x14ac:dyDescent="0.25">
      <c r="D12857"/>
    </row>
    <row r="12858" spans="4:4" x14ac:dyDescent="0.25">
      <c r="D12858"/>
    </row>
    <row r="12859" spans="4:4" x14ac:dyDescent="0.25">
      <c r="D12859"/>
    </row>
    <row r="12860" spans="4:4" x14ac:dyDescent="0.25">
      <c r="D12860"/>
    </row>
    <row r="12861" spans="4:4" x14ac:dyDescent="0.25">
      <c r="D12861"/>
    </row>
    <row r="12862" spans="4:4" x14ac:dyDescent="0.25">
      <c r="D12862"/>
    </row>
    <row r="12863" spans="4:4" x14ac:dyDescent="0.25">
      <c r="D12863"/>
    </row>
    <row r="12864" spans="4:4" x14ac:dyDescent="0.25">
      <c r="D12864"/>
    </row>
    <row r="12865" spans="4:4" x14ac:dyDescent="0.25">
      <c r="D12865"/>
    </row>
    <row r="12866" spans="4:4" x14ac:dyDescent="0.25">
      <c r="D12866"/>
    </row>
    <row r="12867" spans="4:4" x14ac:dyDescent="0.25">
      <c r="D12867"/>
    </row>
    <row r="12868" spans="4:4" x14ac:dyDescent="0.25">
      <c r="D12868"/>
    </row>
    <row r="12869" spans="4:4" x14ac:dyDescent="0.25">
      <c r="D12869"/>
    </row>
    <row r="12870" spans="4:4" x14ac:dyDescent="0.25">
      <c r="D12870"/>
    </row>
    <row r="12871" spans="4:4" x14ac:dyDescent="0.25">
      <c r="D12871"/>
    </row>
    <row r="12872" spans="4:4" x14ac:dyDescent="0.25">
      <c r="D12872"/>
    </row>
    <row r="12873" spans="4:4" x14ac:dyDescent="0.25">
      <c r="D12873"/>
    </row>
    <row r="12874" spans="4:4" x14ac:dyDescent="0.25">
      <c r="D12874"/>
    </row>
    <row r="12875" spans="4:4" x14ac:dyDescent="0.25">
      <c r="D12875"/>
    </row>
    <row r="12876" spans="4:4" x14ac:dyDescent="0.25">
      <c r="D12876"/>
    </row>
    <row r="12877" spans="4:4" x14ac:dyDescent="0.25">
      <c r="D12877"/>
    </row>
    <row r="12878" spans="4:4" x14ac:dyDescent="0.25">
      <c r="D12878"/>
    </row>
    <row r="12879" spans="4:4" x14ac:dyDescent="0.25">
      <c r="D12879"/>
    </row>
    <row r="12880" spans="4:4" x14ac:dyDescent="0.25">
      <c r="D12880"/>
    </row>
    <row r="12881" spans="4:4" x14ac:dyDescent="0.25">
      <c r="D12881"/>
    </row>
    <row r="12882" spans="4:4" x14ac:dyDescent="0.25">
      <c r="D12882"/>
    </row>
    <row r="12883" spans="4:4" x14ac:dyDescent="0.25">
      <c r="D12883"/>
    </row>
    <row r="12884" spans="4:4" x14ac:dyDescent="0.25">
      <c r="D12884"/>
    </row>
    <row r="12885" spans="4:4" x14ac:dyDescent="0.25">
      <c r="D12885"/>
    </row>
    <row r="12886" spans="4:4" x14ac:dyDescent="0.25">
      <c r="D12886"/>
    </row>
    <row r="12887" spans="4:4" x14ac:dyDescent="0.25">
      <c r="D12887"/>
    </row>
    <row r="12888" spans="4:4" x14ac:dyDescent="0.25">
      <c r="D12888"/>
    </row>
    <row r="12889" spans="4:4" x14ac:dyDescent="0.25">
      <c r="D12889"/>
    </row>
    <row r="12890" spans="4:4" x14ac:dyDescent="0.25">
      <c r="D12890"/>
    </row>
    <row r="12891" spans="4:4" x14ac:dyDescent="0.25">
      <c r="D12891"/>
    </row>
    <row r="12892" spans="4:4" x14ac:dyDescent="0.25">
      <c r="D12892"/>
    </row>
    <row r="12893" spans="4:4" x14ac:dyDescent="0.25">
      <c r="D12893"/>
    </row>
    <row r="12894" spans="4:4" x14ac:dyDescent="0.25">
      <c r="D12894"/>
    </row>
    <row r="12895" spans="4:4" x14ac:dyDescent="0.25">
      <c r="D12895"/>
    </row>
    <row r="12896" spans="4:4" x14ac:dyDescent="0.25">
      <c r="D12896"/>
    </row>
    <row r="12897" spans="4:4" x14ac:dyDescent="0.25">
      <c r="D12897"/>
    </row>
    <row r="12898" spans="4:4" x14ac:dyDescent="0.25">
      <c r="D12898"/>
    </row>
    <row r="12899" spans="4:4" x14ac:dyDescent="0.25">
      <c r="D12899"/>
    </row>
    <row r="12900" spans="4:4" x14ac:dyDescent="0.25">
      <c r="D12900"/>
    </row>
    <row r="12901" spans="4:4" x14ac:dyDescent="0.25">
      <c r="D12901"/>
    </row>
    <row r="12902" spans="4:4" x14ac:dyDescent="0.25">
      <c r="D12902"/>
    </row>
    <row r="12903" spans="4:4" x14ac:dyDescent="0.25">
      <c r="D12903"/>
    </row>
    <row r="12904" spans="4:4" x14ac:dyDescent="0.25">
      <c r="D12904"/>
    </row>
    <row r="12905" spans="4:4" x14ac:dyDescent="0.25">
      <c r="D12905"/>
    </row>
    <row r="12906" spans="4:4" x14ac:dyDescent="0.25">
      <c r="D12906"/>
    </row>
    <row r="12907" spans="4:4" x14ac:dyDescent="0.25">
      <c r="D12907"/>
    </row>
    <row r="12908" spans="4:4" x14ac:dyDescent="0.25">
      <c r="D12908"/>
    </row>
    <row r="12909" spans="4:4" x14ac:dyDescent="0.25">
      <c r="D12909"/>
    </row>
    <row r="12910" spans="4:4" x14ac:dyDescent="0.25">
      <c r="D12910"/>
    </row>
    <row r="12911" spans="4:4" x14ac:dyDescent="0.25">
      <c r="D12911"/>
    </row>
    <row r="12912" spans="4:4" x14ac:dyDescent="0.25">
      <c r="D12912"/>
    </row>
    <row r="12913" spans="4:4" x14ac:dyDescent="0.25">
      <c r="D12913"/>
    </row>
    <row r="12914" spans="4:4" x14ac:dyDescent="0.25">
      <c r="D12914"/>
    </row>
    <row r="12915" spans="4:4" x14ac:dyDescent="0.25">
      <c r="D12915"/>
    </row>
    <row r="12916" spans="4:4" x14ac:dyDescent="0.25">
      <c r="D12916"/>
    </row>
    <row r="12917" spans="4:4" x14ac:dyDescent="0.25">
      <c r="D12917"/>
    </row>
    <row r="12918" spans="4:4" x14ac:dyDescent="0.25">
      <c r="D12918"/>
    </row>
    <row r="12919" spans="4:4" x14ac:dyDescent="0.25">
      <c r="D12919"/>
    </row>
    <row r="12920" spans="4:4" x14ac:dyDescent="0.25">
      <c r="D12920"/>
    </row>
    <row r="12921" spans="4:4" x14ac:dyDescent="0.25">
      <c r="D12921"/>
    </row>
    <row r="12922" spans="4:4" x14ac:dyDescent="0.25">
      <c r="D12922"/>
    </row>
    <row r="12923" spans="4:4" x14ac:dyDescent="0.25">
      <c r="D12923"/>
    </row>
    <row r="12924" spans="4:4" x14ac:dyDescent="0.25">
      <c r="D12924"/>
    </row>
    <row r="12925" spans="4:4" x14ac:dyDescent="0.25">
      <c r="D12925"/>
    </row>
    <row r="12926" spans="4:4" x14ac:dyDescent="0.25">
      <c r="D12926"/>
    </row>
    <row r="12927" spans="4:4" x14ac:dyDescent="0.25">
      <c r="D12927"/>
    </row>
    <row r="12928" spans="4:4" x14ac:dyDescent="0.25">
      <c r="D12928"/>
    </row>
    <row r="12929" spans="4:4" x14ac:dyDescent="0.25">
      <c r="D12929"/>
    </row>
    <row r="12930" spans="4:4" x14ac:dyDescent="0.25">
      <c r="D12930"/>
    </row>
    <row r="12931" spans="4:4" x14ac:dyDescent="0.25">
      <c r="D12931"/>
    </row>
    <row r="12932" spans="4:4" x14ac:dyDescent="0.25">
      <c r="D12932"/>
    </row>
    <row r="12933" spans="4:4" x14ac:dyDescent="0.25">
      <c r="D12933"/>
    </row>
    <row r="12934" spans="4:4" x14ac:dyDescent="0.25">
      <c r="D12934"/>
    </row>
    <row r="12935" spans="4:4" x14ac:dyDescent="0.25">
      <c r="D12935"/>
    </row>
    <row r="12936" spans="4:4" x14ac:dyDescent="0.25">
      <c r="D12936"/>
    </row>
    <row r="12937" spans="4:4" x14ac:dyDescent="0.25">
      <c r="D12937"/>
    </row>
    <row r="12938" spans="4:4" x14ac:dyDescent="0.25">
      <c r="D12938"/>
    </row>
    <row r="12939" spans="4:4" x14ac:dyDescent="0.25">
      <c r="D12939"/>
    </row>
    <row r="12940" spans="4:4" x14ac:dyDescent="0.25">
      <c r="D12940"/>
    </row>
    <row r="12941" spans="4:4" x14ac:dyDescent="0.25">
      <c r="D12941"/>
    </row>
    <row r="12942" spans="4:4" x14ac:dyDescent="0.25">
      <c r="D12942"/>
    </row>
    <row r="12943" spans="4:4" x14ac:dyDescent="0.25">
      <c r="D12943"/>
    </row>
    <row r="12944" spans="4:4" x14ac:dyDescent="0.25">
      <c r="D12944"/>
    </row>
    <row r="12945" spans="4:4" x14ac:dyDescent="0.25">
      <c r="D12945"/>
    </row>
    <row r="12946" spans="4:4" x14ac:dyDescent="0.25">
      <c r="D12946"/>
    </row>
    <row r="12947" spans="4:4" x14ac:dyDescent="0.25">
      <c r="D12947"/>
    </row>
    <row r="12948" spans="4:4" x14ac:dyDescent="0.25">
      <c r="D12948"/>
    </row>
    <row r="12949" spans="4:4" x14ac:dyDescent="0.25">
      <c r="D12949"/>
    </row>
    <row r="12950" spans="4:4" x14ac:dyDescent="0.25">
      <c r="D12950"/>
    </row>
    <row r="12951" spans="4:4" x14ac:dyDescent="0.25">
      <c r="D12951"/>
    </row>
    <row r="12952" spans="4:4" x14ac:dyDescent="0.25">
      <c r="D12952"/>
    </row>
    <row r="12953" spans="4:4" x14ac:dyDescent="0.25">
      <c r="D12953"/>
    </row>
    <row r="12954" spans="4:4" x14ac:dyDescent="0.25">
      <c r="D12954"/>
    </row>
    <row r="12955" spans="4:4" x14ac:dyDescent="0.25">
      <c r="D12955"/>
    </row>
    <row r="12956" spans="4:4" x14ac:dyDescent="0.25">
      <c r="D12956"/>
    </row>
    <row r="12957" spans="4:4" x14ac:dyDescent="0.25">
      <c r="D12957"/>
    </row>
    <row r="12958" spans="4:4" x14ac:dyDescent="0.25">
      <c r="D12958"/>
    </row>
    <row r="12959" spans="4:4" x14ac:dyDescent="0.25">
      <c r="D12959"/>
    </row>
    <row r="12960" spans="4:4" x14ac:dyDescent="0.25">
      <c r="D12960"/>
    </row>
    <row r="12961" spans="4:4" x14ac:dyDescent="0.25">
      <c r="D12961"/>
    </row>
    <row r="12962" spans="4:4" x14ac:dyDescent="0.25">
      <c r="D12962"/>
    </row>
    <row r="12963" spans="4:4" x14ac:dyDescent="0.25">
      <c r="D12963"/>
    </row>
    <row r="12964" spans="4:4" x14ac:dyDescent="0.25">
      <c r="D12964"/>
    </row>
    <row r="12965" spans="4:4" x14ac:dyDescent="0.25">
      <c r="D12965"/>
    </row>
    <row r="12966" spans="4:4" x14ac:dyDescent="0.25">
      <c r="D12966"/>
    </row>
    <row r="12967" spans="4:4" x14ac:dyDescent="0.25">
      <c r="D12967"/>
    </row>
    <row r="12968" spans="4:4" x14ac:dyDescent="0.25">
      <c r="D12968"/>
    </row>
    <row r="12969" spans="4:4" x14ac:dyDescent="0.25">
      <c r="D12969"/>
    </row>
    <row r="12970" spans="4:4" x14ac:dyDescent="0.25">
      <c r="D12970"/>
    </row>
    <row r="12971" spans="4:4" x14ac:dyDescent="0.25">
      <c r="D12971"/>
    </row>
    <row r="12972" spans="4:4" x14ac:dyDescent="0.25">
      <c r="D12972"/>
    </row>
    <row r="12973" spans="4:4" x14ac:dyDescent="0.25">
      <c r="D12973"/>
    </row>
    <row r="12974" spans="4:4" x14ac:dyDescent="0.25">
      <c r="D12974"/>
    </row>
    <row r="12975" spans="4:4" x14ac:dyDescent="0.25">
      <c r="D12975"/>
    </row>
    <row r="12976" spans="4:4" x14ac:dyDescent="0.25">
      <c r="D12976"/>
    </row>
    <row r="12977" spans="4:4" x14ac:dyDescent="0.25">
      <c r="D12977"/>
    </row>
    <row r="12978" spans="4:4" x14ac:dyDescent="0.25">
      <c r="D12978"/>
    </row>
    <row r="12979" spans="4:4" x14ac:dyDescent="0.25">
      <c r="D12979"/>
    </row>
    <row r="12980" spans="4:4" x14ac:dyDescent="0.25">
      <c r="D12980"/>
    </row>
    <row r="12981" spans="4:4" x14ac:dyDescent="0.25">
      <c r="D12981"/>
    </row>
    <row r="12982" spans="4:4" x14ac:dyDescent="0.25">
      <c r="D12982"/>
    </row>
    <row r="12983" spans="4:4" x14ac:dyDescent="0.25">
      <c r="D12983"/>
    </row>
    <row r="12984" spans="4:4" x14ac:dyDescent="0.25">
      <c r="D12984"/>
    </row>
    <row r="12985" spans="4:4" x14ac:dyDescent="0.25">
      <c r="D12985"/>
    </row>
    <row r="12986" spans="4:4" x14ac:dyDescent="0.25">
      <c r="D12986"/>
    </row>
    <row r="12987" spans="4:4" x14ac:dyDescent="0.25">
      <c r="D12987"/>
    </row>
    <row r="12988" spans="4:4" x14ac:dyDescent="0.25">
      <c r="D12988"/>
    </row>
    <row r="12989" spans="4:4" x14ac:dyDescent="0.25">
      <c r="D12989"/>
    </row>
    <row r="12990" spans="4:4" x14ac:dyDescent="0.25">
      <c r="D12990"/>
    </row>
    <row r="12991" spans="4:4" x14ac:dyDescent="0.25">
      <c r="D12991"/>
    </row>
    <row r="12992" spans="4:4" x14ac:dyDescent="0.25">
      <c r="D12992"/>
    </row>
    <row r="12993" spans="4:4" x14ac:dyDescent="0.25">
      <c r="D12993"/>
    </row>
    <row r="12994" spans="4:4" x14ac:dyDescent="0.25">
      <c r="D12994"/>
    </row>
    <row r="12995" spans="4:4" x14ac:dyDescent="0.25">
      <c r="D12995"/>
    </row>
    <row r="12996" spans="4:4" x14ac:dyDescent="0.25">
      <c r="D12996"/>
    </row>
    <row r="12997" spans="4:4" x14ac:dyDescent="0.25">
      <c r="D12997"/>
    </row>
    <row r="12998" spans="4:4" x14ac:dyDescent="0.25">
      <c r="D12998"/>
    </row>
    <row r="12999" spans="4:4" x14ac:dyDescent="0.25">
      <c r="D12999"/>
    </row>
    <row r="13000" spans="4:4" x14ac:dyDescent="0.25">
      <c r="D13000"/>
    </row>
    <row r="13001" spans="4:4" x14ac:dyDescent="0.25">
      <c r="D13001"/>
    </row>
    <row r="13002" spans="4:4" x14ac:dyDescent="0.25">
      <c r="D13002"/>
    </row>
    <row r="13003" spans="4:4" x14ac:dyDescent="0.25">
      <c r="D13003"/>
    </row>
    <row r="13004" spans="4:4" x14ac:dyDescent="0.25">
      <c r="D13004"/>
    </row>
    <row r="13005" spans="4:4" x14ac:dyDescent="0.25">
      <c r="D13005"/>
    </row>
    <row r="13006" spans="4:4" x14ac:dyDescent="0.25">
      <c r="D13006"/>
    </row>
    <row r="13007" spans="4:4" x14ac:dyDescent="0.25">
      <c r="D13007"/>
    </row>
    <row r="13008" spans="4:4" x14ac:dyDescent="0.25">
      <c r="D13008"/>
    </row>
    <row r="13009" spans="4:4" x14ac:dyDescent="0.25">
      <c r="D13009"/>
    </row>
    <row r="13010" spans="4:4" x14ac:dyDescent="0.25">
      <c r="D13010"/>
    </row>
    <row r="13011" spans="4:4" x14ac:dyDescent="0.25">
      <c r="D13011"/>
    </row>
    <row r="13012" spans="4:4" x14ac:dyDescent="0.25">
      <c r="D13012"/>
    </row>
    <row r="13013" spans="4:4" x14ac:dyDescent="0.25">
      <c r="D13013"/>
    </row>
    <row r="13014" spans="4:4" x14ac:dyDescent="0.25">
      <c r="D13014"/>
    </row>
    <row r="13015" spans="4:4" x14ac:dyDescent="0.25">
      <c r="D13015"/>
    </row>
    <row r="13016" spans="4:4" x14ac:dyDescent="0.25">
      <c r="D13016"/>
    </row>
    <row r="13017" spans="4:4" x14ac:dyDescent="0.25">
      <c r="D13017"/>
    </row>
    <row r="13018" spans="4:4" x14ac:dyDescent="0.25">
      <c r="D13018"/>
    </row>
    <row r="13019" spans="4:4" x14ac:dyDescent="0.25">
      <c r="D13019"/>
    </row>
    <row r="13020" spans="4:4" x14ac:dyDescent="0.25">
      <c r="D13020"/>
    </row>
    <row r="13021" spans="4:4" x14ac:dyDescent="0.25">
      <c r="D13021"/>
    </row>
    <row r="13022" spans="4:4" x14ac:dyDescent="0.25">
      <c r="D13022"/>
    </row>
    <row r="13023" spans="4:4" x14ac:dyDescent="0.25">
      <c r="D13023"/>
    </row>
    <row r="13024" spans="4:4" x14ac:dyDescent="0.25">
      <c r="D13024"/>
    </row>
    <row r="13025" spans="4:4" x14ac:dyDescent="0.25">
      <c r="D13025"/>
    </row>
    <row r="13026" spans="4:4" x14ac:dyDescent="0.25">
      <c r="D13026"/>
    </row>
    <row r="13027" spans="4:4" x14ac:dyDescent="0.25">
      <c r="D13027"/>
    </row>
    <row r="13028" spans="4:4" x14ac:dyDescent="0.25">
      <c r="D13028"/>
    </row>
    <row r="13029" spans="4:4" x14ac:dyDescent="0.25">
      <c r="D13029"/>
    </row>
    <row r="13030" spans="4:4" x14ac:dyDescent="0.25">
      <c r="D13030"/>
    </row>
    <row r="13031" spans="4:4" x14ac:dyDescent="0.25">
      <c r="D13031"/>
    </row>
    <row r="13032" spans="4:4" x14ac:dyDescent="0.25">
      <c r="D13032"/>
    </row>
    <row r="13033" spans="4:4" x14ac:dyDescent="0.25">
      <c r="D13033"/>
    </row>
    <row r="13034" spans="4:4" x14ac:dyDescent="0.25">
      <c r="D13034"/>
    </row>
    <row r="13035" spans="4:4" x14ac:dyDescent="0.25">
      <c r="D13035"/>
    </row>
    <row r="13036" spans="4:4" x14ac:dyDescent="0.25">
      <c r="D13036"/>
    </row>
    <row r="13037" spans="4:4" x14ac:dyDescent="0.25">
      <c r="D13037"/>
    </row>
    <row r="13038" spans="4:4" x14ac:dyDescent="0.25">
      <c r="D13038"/>
    </row>
    <row r="13039" spans="4:4" x14ac:dyDescent="0.25">
      <c r="D13039"/>
    </row>
    <row r="13040" spans="4:4" x14ac:dyDescent="0.25">
      <c r="D13040"/>
    </row>
    <row r="13041" spans="4:4" x14ac:dyDescent="0.25">
      <c r="D13041"/>
    </row>
    <row r="13042" spans="4:4" x14ac:dyDescent="0.25">
      <c r="D13042"/>
    </row>
    <row r="13043" spans="4:4" x14ac:dyDescent="0.25">
      <c r="D13043"/>
    </row>
    <row r="13044" spans="4:4" x14ac:dyDescent="0.25">
      <c r="D13044"/>
    </row>
    <row r="13045" spans="4:4" x14ac:dyDescent="0.25">
      <c r="D13045"/>
    </row>
    <row r="13046" spans="4:4" x14ac:dyDescent="0.25">
      <c r="D13046"/>
    </row>
    <row r="13047" spans="4:4" x14ac:dyDescent="0.25">
      <c r="D13047"/>
    </row>
    <row r="13048" spans="4:4" x14ac:dyDescent="0.25">
      <c r="D13048"/>
    </row>
    <row r="13049" spans="4:4" x14ac:dyDescent="0.25">
      <c r="D13049"/>
    </row>
    <row r="13050" spans="4:4" x14ac:dyDescent="0.25">
      <c r="D13050"/>
    </row>
    <row r="13051" spans="4:4" x14ac:dyDescent="0.25">
      <c r="D13051"/>
    </row>
    <row r="13052" spans="4:4" x14ac:dyDescent="0.25">
      <c r="D13052"/>
    </row>
    <row r="13053" spans="4:4" x14ac:dyDescent="0.25">
      <c r="D13053"/>
    </row>
    <row r="13054" spans="4:4" x14ac:dyDescent="0.25">
      <c r="D13054"/>
    </row>
    <row r="13055" spans="4:4" x14ac:dyDescent="0.25">
      <c r="D13055"/>
    </row>
    <row r="13056" spans="4:4" x14ac:dyDescent="0.25">
      <c r="D13056"/>
    </row>
    <row r="13057" spans="4:4" x14ac:dyDescent="0.25">
      <c r="D13057"/>
    </row>
    <row r="13058" spans="4:4" x14ac:dyDescent="0.25">
      <c r="D13058"/>
    </row>
    <row r="13059" spans="4:4" x14ac:dyDescent="0.25">
      <c r="D13059"/>
    </row>
    <row r="13060" spans="4:4" x14ac:dyDescent="0.25">
      <c r="D13060"/>
    </row>
    <row r="13061" spans="4:4" x14ac:dyDescent="0.25">
      <c r="D13061"/>
    </row>
    <row r="13062" spans="4:4" x14ac:dyDescent="0.25">
      <c r="D13062"/>
    </row>
    <row r="13063" spans="4:4" x14ac:dyDescent="0.25">
      <c r="D13063"/>
    </row>
    <row r="13064" spans="4:4" x14ac:dyDescent="0.25">
      <c r="D13064"/>
    </row>
    <row r="13065" spans="4:4" x14ac:dyDescent="0.25">
      <c r="D13065"/>
    </row>
    <row r="13066" spans="4:4" x14ac:dyDescent="0.25">
      <c r="D13066"/>
    </row>
    <row r="13067" spans="4:4" x14ac:dyDescent="0.25">
      <c r="D13067"/>
    </row>
    <row r="13068" spans="4:4" x14ac:dyDescent="0.25">
      <c r="D13068"/>
    </row>
    <row r="13069" spans="4:4" x14ac:dyDescent="0.25">
      <c r="D13069"/>
    </row>
    <row r="13070" spans="4:4" x14ac:dyDescent="0.25">
      <c r="D13070"/>
    </row>
    <row r="13071" spans="4:4" x14ac:dyDescent="0.25">
      <c r="D13071"/>
    </row>
    <row r="13072" spans="4:4" x14ac:dyDescent="0.25">
      <c r="D13072"/>
    </row>
    <row r="13073" spans="4:4" x14ac:dyDescent="0.25">
      <c r="D13073"/>
    </row>
    <row r="13074" spans="4:4" x14ac:dyDescent="0.25">
      <c r="D13074"/>
    </row>
    <row r="13075" spans="4:4" x14ac:dyDescent="0.25">
      <c r="D13075"/>
    </row>
    <row r="13076" spans="4:4" x14ac:dyDescent="0.25">
      <c r="D13076"/>
    </row>
    <row r="13077" spans="4:4" x14ac:dyDescent="0.25">
      <c r="D13077"/>
    </row>
    <row r="13078" spans="4:4" x14ac:dyDescent="0.25">
      <c r="D13078"/>
    </row>
    <row r="13079" spans="4:4" x14ac:dyDescent="0.25">
      <c r="D13079"/>
    </row>
    <row r="13080" spans="4:4" x14ac:dyDescent="0.25">
      <c r="D13080"/>
    </row>
    <row r="13081" spans="4:4" x14ac:dyDescent="0.25">
      <c r="D13081"/>
    </row>
    <row r="13082" spans="4:4" x14ac:dyDescent="0.25">
      <c r="D13082"/>
    </row>
    <row r="13083" spans="4:4" x14ac:dyDescent="0.25">
      <c r="D13083"/>
    </row>
    <row r="13084" spans="4:4" x14ac:dyDescent="0.25">
      <c r="D13084"/>
    </row>
    <row r="13085" spans="4:4" x14ac:dyDescent="0.25">
      <c r="D13085"/>
    </row>
    <row r="13086" spans="4:4" x14ac:dyDescent="0.25">
      <c r="D13086"/>
    </row>
    <row r="13087" spans="4:4" x14ac:dyDescent="0.25">
      <c r="D13087"/>
    </row>
    <row r="13088" spans="4:4" x14ac:dyDescent="0.25">
      <c r="D13088"/>
    </row>
    <row r="13089" spans="4:4" x14ac:dyDescent="0.25">
      <c r="D13089"/>
    </row>
    <row r="13090" spans="4:4" x14ac:dyDescent="0.25">
      <c r="D13090"/>
    </row>
    <row r="13091" spans="4:4" x14ac:dyDescent="0.25">
      <c r="D13091"/>
    </row>
    <row r="13092" spans="4:4" x14ac:dyDescent="0.25">
      <c r="D13092"/>
    </row>
    <row r="13093" spans="4:4" x14ac:dyDescent="0.25">
      <c r="D13093"/>
    </row>
    <row r="13094" spans="4:4" x14ac:dyDescent="0.25">
      <c r="D13094"/>
    </row>
    <row r="13095" spans="4:4" x14ac:dyDescent="0.25">
      <c r="D13095"/>
    </row>
    <row r="13096" spans="4:4" x14ac:dyDescent="0.25">
      <c r="D13096"/>
    </row>
    <row r="13097" spans="4:4" x14ac:dyDescent="0.25">
      <c r="D13097"/>
    </row>
    <row r="13098" spans="4:4" x14ac:dyDescent="0.25">
      <c r="D13098"/>
    </row>
    <row r="13099" spans="4:4" x14ac:dyDescent="0.25">
      <c r="D13099"/>
    </row>
    <row r="13100" spans="4:4" x14ac:dyDescent="0.25">
      <c r="D13100"/>
    </row>
    <row r="13101" spans="4:4" x14ac:dyDescent="0.25">
      <c r="D13101"/>
    </row>
    <row r="13102" spans="4:4" x14ac:dyDescent="0.25">
      <c r="D13102"/>
    </row>
    <row r="13103" spans="4:4" x14ac:dyDescent="0.25">
      <c r="D13103"/>
    </row>
    <row r="13104" spans="4:4" x14ac:dyDescent="0.25">
      <c r="D13104"/>
    </row>
    <row r="13105" spans="4:4" x14ac:dyDescent="0.25">
      <c r="D13105"/>
    </row>
    <row r="13106" spans="4:4" x14ac:dyDescent="0.25">
      <c r="D13106"/>
    </row>
    <row r="13107" spans="4:4" x14ac:dyDescent="0.25">
      <c r="D13107"/>
    </row>
    <row r="13108" spans="4:4" x14ac:dyDescent="0.25">
      <c r="D13108"/>
    </row>
    <row r="13109" spans="4:4" x14ac:dyDescent="0.25">
      <c r="D13109"/>
    </row>
    <row r="13110" spans="4:4" x14ac:dyDescent="0.25">
      <c r="D13110"/>
    </row>
    <row r="13111" spans="4:4" x14ac:dyDescent="0.25">
      <c r="D13111"/>
    </row>
    <row r="13112" spans="4:4" x14ac:dyDescent="0.25">
      <c r="D13112"/>
    </row>
    <row r="13113" spans="4:4" x14ac:dyDescent="0.25">
      <c r="D13113"/>
    </row>
    <row r="13114" spans="4:4" x14ac:dyDescent="0.25">
      <c r="D13114"/>
    </row>
    <row r="13115" spans="4:4" x14ac:dyDescent="0.25">
      <c r="D13115"/>
    </row>
    <row r="13116" spans="4:4" x14ac:dyDescent="0.25">
      <c r="D13116"/>
    </row>
    <row r="13117" spans="4:4" x14ac:dyDescent="0.25">
      <c r="D13117"/>
    </row>
    <row r="13118" spans="4:4" x14ac:dyDescent="0.25">
      <c r="D13118"/>
    </row>
    <row r="13119" spans="4:4" x14ac:dyDescent="0.25">
      <c r="D13119"/>
    </row>
    <row r="13120" spans="4:4" x14ac:dyDescent="0.25">
      <c r="D13120"/>
    </row>
    <row r="13121" spans="4:4" x14ac:dyDescent="0.25">
      <c r="D13121"/>
    </row>
    <row r="13122" spans="4:4" x14ac:dyDescent="0.25">
      <c r="D13122"/>
    </row>
    <row r="13123" spans="4:4" x14ac:dyDescent="0.25">
      <c r="D13123"/>
    </row>
    <row r="13124" spans="4:4" x14ac:dyDescent="0.25">
      <c r="D13124"/>
    </row>
    <row r="13125" spans="4:4" x14ac:dyDescent="0.25">
      <c r="D13125"/>
    </row>
    <row r="13126" spans="4:4" x14ac:dyDescent="0.25">
      <c r="D13126"/>
    </row>
    <row r="13127" spans="4:4" x14ac:dyDescent="0.25">
      <c r="D13127"/>
    </row>
    <row r="13128" spans="4:4" x14ac:dyDescent="0.25">
      <c r="D13128"/>
    </row>
    <row r="13129" spans="4:4" x14ac:dyDescent="0.25">
      <c r="D13129"/>
    </row>
    <row r="13130" spans="4:4" x14ac:dyDescent="0.25">
      <c r="D13130"/>
    </row>
    <row r="13131" spans="4:4" x14ac:dyDescent="0.25">
      <c r="D13131"/>
    </row>
    <row r="13132" spans="4:4" x14ac:dyDescent="0.25">
      <c r="D13132"/>
    </row>
    <row r="13133" spans="4:4" x14ac:dyDescent="0.25">
      <c r="D13133"/>
    </row>
    <row r="13134" spans="4:4" x14ac:dyDescent="0.25">
      <c r="D13134"/>
    </row>
    <row r="13135" spans="4:4" x14ac:dyDescent="0.25">
      <c r="D13135"/>
    </row>
    <row r="13136" spans="4:4" x14ac:dyDescent="0.25">
      <c r="D13136"/>
    </row>
    <row r="13137" spans="4:4" x14ac:dyDescent="0.25">
      <c r="D13137"/>
    </row>
    <row r="13138" spans="4:4" x14ac:dyDescent="0.25">
      <c r="D13138"/>
    </row>
    <row r="13139" spans="4:4" x14ac:dyDescent="0.25">
      <c r="D13139"/>
    </row>
    <row r="13140" spans="4:4" x14ac:dyDescent="0.25">
      <c r="D13140"/>
    </row>
    <row r="13141" spans="4:4" x14ac:dyDescent="0.25">
      <c r="D13141"/>
    </row>
    <row r="13142" spans="4:4" x14ac:dyDescent="0.25">
      <c r="D13142"/>
    </row>
    <row r="13143" spans="4:4" x14ac:dyDescent="0.25">
      <c r="D13143"/>
    </row>
    <row r="13144" spans="4:4" x14ac:dyDescent="0.25">
      <c r="D13144"/>
    </row>
    <row r="13145" spans="4:4" x14ac:dyDescent="0.25">
      <c r="D13145"/>
    </row>
    <row r="13146" spans="4:4" x14ac:dyDescent="0.25">
      <c r="D13146"/>
    </row>
    <row r="13147" spans="4:4" x14ac:dyDescent="0.25">
      <c r="D13147"/>
    </row>
    <row r="13148" spans="4:4" x14ac:dyDescent="0.25">
      <c r="D13148"/>
    </row>
    <row r="13149" spans="4:4" x14ac:dyDescent="0.25">
      <c r="D13149"/>
    </row>
    <row r="13150" spans="4:4" x14ac:dyDescent="0.25">
      <c r="D13150"/>
    </row>
    <row r="13151" spans="4:4" x14ac:dyDescent="0.25">
      <c r="D13151"/>
    </row>
    <row r="13152" spans="4:4" x14ac:dyDescent="0.25">
      <c r="D13152"/>
    </row>
    <row r="13153" spans="4:4" x14ac:dyDescent="0.25">
      <c r="D13153"/>
    </row>
    <row r="13154" spans="4:4" x14ac:dyDescent="0.25">
      <c r="D13154"/>
    </row>
    <row r="13155" spans="4:4" x14ac:dyDescent="0.25">
      <c r="D13155"/>
    </row>
    <row r="13156" spans="4:4" x14ac:dyDescent="0.25">
      <c r="D13156"/>
    </row>
    <row r="13157" spans="4:4" x14ac:dyDescent="0.25">
      <c r="D13157"/>
    </row>
    <row r="13158" spans="4:4" x14ac:dyDescent="0.25">
      <c r="D13158"/>
    </row>
    <row r="13159" spans="4:4" x14ac:dyDescent="0.25">
      <c r="D13159"/>
    </row>
    <row r="13160" spans="4:4" x14ac:dyDescent="0.25">
      <c r="D13160"/>
    </row>
    <row r="13161" spans="4:4" x14ac:dyDescent="0.25">
      <c r="D13161"/>
    </row>
    <row r="13162" spans="4:4" x14ac:dyDescent="0.25">
      <c r="D13162"/>
    </row>
    <row r="13163" spans="4:4" x14ac:dyDescent="0.25">
      <c r="D13163"/>
    </row>
    <row r="13164" spans="4:4" x14ac:dyDescent="0.25">
      <c r="D13164"/>
    </row>
    <row r="13165" spans="4:4" x14ac:dyDescent="0.25">
      <c r="D13165"/>
    </row>
    <row r="13166" spans="4:4" x14ac:dyDescent="0.25">
      <c r="D13166"/>
    </row>
    <row r="13167" spans="4:4" x14ac:dyDescent="0.25">
      <c r="D13167"/>
    </row>
    <row r="13168" spans="4:4" x14ac:dyDescent="0.25">
      <c r="D13168"/>
    </row>
    <row r="13169" spans="4:4" x14ac:dyDescent="0.25">
      <c r="D13169"/>
    </row>
    <row r="13170" spans="4:4" x14ac:dyDescent="0.25">
      <c r="D13170"/>
    </row>
    <row r="13171" spans="4:4" x14ac:dyDescent="0.25">
      <c r="D13171"/>
    </row>
    <row r="13172" spans="4:4" x14ac:dyDescent="0.25">
      <c r="D13172"/>
    </row>
    <row r="13173" spans="4:4" x14ac:dyDescent="0.25">
      <c r="D13173"/>
    </row>
    <row r="13174" spans="4:4" x14ac:dyDescent="0.25">
      <c r="D13174"/>
    </row>
    <row r="13175" spans="4:4" x14ac:dyDescent="0.25">
      <c r="D13175"/>
    </row>
    <row r="13176" spans="4:4" x14ac:dyDescent="0.25">
      <c r="D13176"/>
    </row>
    <row r="13177" spans="4:4" x14ac:dyDescent="0.25">
      <c r="D13177"/>
    </row>
    <row r="13178" spans="4:4" x14ac:dyDescent="0.25">
      <c r="D13178"/>
    </row>
    <row r="13179" spans="4:4" x14ac:dyDescent="0.25">
      <c r="D13179"/>
    </row>
    <row r="13180" spans="4:4" x14ac:dyDescent="0.25">
      <c r="D13180"/>
    </row>
    <row r="13181" spans="4:4" x14ac:dyDescent="0.25">
      <c r="D13181"/>
    </row>
    <row r="13182" spans="4:4" x14ac:dyDescent="0.25">
      <c r="D13182"/>
    </row>
    <row r="13183" spans="4:4" x14ac:dyDescent="0.25">
      <c r="D13183"/>
    </row>
    <row r="13184" spans="4:4" x14ac:dyDescent="0.25">
      <c r="D13184"/>
    </row>
    <row r="13185" spans="4:4" x14ac:dyDescent="0.25">
      <c r="D13185"/>
    </row>
    <row r="13186" spans="4:4" x14ac:dyDescent="0.25">
      <c r="D13186"/>
    </row>
    <row r="13187" spans="4:4" x14ac:dyDescent="0.25">
      <c r="D13187"/>
    </row>
    <row r="13188" spans="4:4" x14ac:dyDescent="0.25">
      <c r="D13188"/>
    </row>
    <row r="13189" spans="4:4" x14ac:dyDescent="0.25">
      <c r="D13189"/>
    </row>
    <row r="13190" spans="4:4" x14ac:dyDescent="0.25">
      <c r="D13190"/>
    </row>
    <row r="13191" spans="4:4" x14ac:dyDescent="0.25">
      <c r="D13191"/>
    </row>
    <row r="13192" spans="4:4" x14ac:dyDescent="0.25">
      <c r="D13192"/>
    </row>
    <row r="13193" spans="4:4" x14ac:dyDescent="0.25">
      <c r="D13193"/>
    </row>
    <row r="13194" spans="4:4" x14ac:dyDescent="0.25">
      <c r="D13194"/>
    </row>
    <row r="13195" spans="4:4" x14ac:dyDescent="0.25">
      <c r="D13195"/>
    </row>
    <row r="13196" spans="4:4" x14ac:dyDescent="0.25">
      <c r="D13196"/>
    </row>
    <row r="13197" spans="4:4" x14ac:dyDescent="0.25">
      <c r="D13197"/>
    </row>
    <row r="13198" spans="4:4" x14ac:dyDescent="0.25">
      <c r="D13198"/>
    </row>
    <row r="13199" spans="4:4" x14ac:dyDescent="0.25">
      <c r="D13199"/>
    </row>
    <row r="13200" spans="4:4" x14ac:dyDescent="0.25">
      <c r="D13200"/>
    </row>
    <row r="13201" spans="4:4" x14ac:dyDescent="0.25">
      <c r="D13201"/>
    </row>
    <row r="13202" spans="4:4" x14ac:dyDescent="0.25">
      <c r="D13202"/>
    </row>
    <row r="13203" spans="4:4" x14ac:dyDescent="0.25">
      <c r="D13203"/>
    </row>
    <row r="13204" spans="4:4" x14ac:dyDescent="0.25">
      <c r="D13204"/>
    </row>
    <row r="13205" spans="4:4" x14ac:dyDescent="0.25">
      <c r="D13205"/>
    </row>
    <row r="13206" spans="4:4" x14ac:dyDescent="0.25">
      <c r="D13206"/>
    </row>
    <row r="13207" spans="4:4" x14ac:dyDescent="0.25">
      <c r="D13207"/>
    </row>
    <row r="13208" spans="4:4" x14ac:dyDescent="0.25">
      <c r="D13208"/>
    </row>
    <row r="13209" spans="4:4" x14ac:dyDescent="0.25">
      <c r="D13209"/>
    </row>
    <row r="13210" spans="4:4" x14ac:dyDescent="0.25">
      <c r="D13210"/>
    </row>
    <row r="13211" spans="4:4" x14ac:dyDescent="0.25">
      <c r="D13211"/>
    </row>
    <row r="13212" spans="4:4" x14ac:dyDescent="0.25">
      <c r="D13212"/>
    </row>
    <row r="13213" spans="4:4" x14ac:dyDescent="0.25">
      <c r="D13213"/>
    </row>
    <row r="13214" spans="4:4" x14ac:dyDescent="0.25">
      <c r="D13214"/>
    </row>
    <row r="13215" spans="4:4" x14ac:dyDescent="0.25">
      <c r="D13215"/>
    </row>
    <row r="13216" spans="4:4" x14ac:dyDescent="0.25">
      <c r="D13216"/>
    </row>
    <row r="13217" spans="4:4" x14ac:dyDescent="0.25">
      <c r="D13217"/>
    </row>
    <row r="13218" spans="4:4" x14ac:dyDescent="0.25">
      <c r="D13218"/>
    </row>
    <row r="13219" spans="4:4" x14ac:dyDescent="0.25">
      <c r="D13219"/>
    </row>
    <row r="13220" spans="4:4" x14ac:dyDescent="0.25">
      <c r="D13220"/>
    </row>
    <row r="13221" spans="4:4" x14ac:dyDescent="0.25">
      <c r="D13221"/>
    </row>
    <row r="13222" spans="4:4" x14ac:dyDescent="0.25">
      <c r="D13222"/>
    </row>
    <row r="13223" spans="4:4" x14ac:dyDescent="0.25">
      <c r="D13223"/>
    </row>
    <row r="13224" spans="4:4" x14ac:dyDescent="0.25">
      <c r="D13224"/>
    </row>
    <row r="13225" spans="4:4" x14ac:dyDescent="0.25">
      <c r="D13225"/>
    </row>
    <row r="13226" spans="4:4" x14ac:dyDescent="0.25">
      <c r="D13226"/>
    </row>
    <row r="13227" spans="4:4" x14ac:dyDescent="0.25">
      <c r="D13227"/>
    </row>
    <row r="13228" spans="4:4" x14ac:dyDescent="0.25">
      <c r="D13228"/>
    </row>
    <row r="13229" spans="4:4" x14ac:dyDescent="0.25">
      <c r="D13229"/>
    </row>
    <row r="13230" spans="4:4" x14ac:dyDescent="0.25">
      <c r="D13230"/>
    </row>
    <row r="13231" spans="4:4" x14ac:dyDescent="0.25">
      <c r="D13231"/>
    </row>
    <row r="13232" spans="4:4" x14ac:dyDescent="0.25">
      <c r="D13232"/>
    </row>
    <row r="13233" spans="4:4" x14ac:dyDescent="0.25">
      <c r="D13233"/>
    </row>
    <row r="13234" spans="4:4" x14ac:dyDescent="0.25">
      <c r="D13234"/>
    </row>
    <row r="13235" spans="4:4" x14ac:dyDescent="0.25">
      <c r="D13235"/>
    </row>
    <row r="13236" spans="4:4" x14ac:dyDescent="0.25">
      <c r="D13236"/>
    </row>
    <row r="13237" spans="4:4" x14ac:dyDescent="0.25">
      <c r="D13237"/>
    </row>
    <row r="13238" spans="4:4" x14ac:dyDescent="0.25">
      <c r="D13238"/>
    </row>
    <row r="13239" spans="4:4" x14ac:dyDescent="0.25">
      <c r="D13239"/>
    </row>
    <row r="13240" spans="4:4" x14ac:dyDescent="0.25">
      <c r="D13240"/>
    </row>
    <row r="13241" spans="4:4" x14ac:dyDescent="0.25">
      <c r="D13241"/>
    </row>
    <row r="13242" spans="4:4" x14ac:dyDescent="0.25">
      <c r="D13242"/>
    </row>
    <row r="13243" spans="4:4" x14ac:dyDescent="0.25">
      <c r="D13243"/>
    </row>
    <row r="13244" spans="4:4" x14ac:dyDescent="0.25">
      <c r="D13244"/>
    </row>
    <row r="13245" spans="4:4" x14ac:dyDescent="0.25">
      <c r="D13245"/>
    </row>
    <row r="13246" spans="4:4" x14ac:dyDescent="0.25">
      <c r="D13246"/>
    </row>
    <row r="13247" spans="4:4" x14ac:dyDescent="0.25">
      <c r="D13247"/>
    </row>
    <row r="13248" spans="4:4" x14ac:dyDescent="0.25">
      <c r="D13248"/>
    </row>
    <row r="13249" spans="4:4" x14ac:dyDescent="0.25">
      <c r="D13249"/>
    </row>
    <row r="13250" spans="4:4" x14ac:dyDescent="0.25">
      <c r="D13250"/>
    </row>
    <row r="13251" spans="4:4" x14ac:dyDescent="0.25">
      <c r="D13251"/>
    </row>
    <row r="13252" spans="4:4" x14ac:dyDescent="0.25">
      <c r="D13252"/>
    </row>
    <row r="13253" spans="4:4" x14ac:dyDescent="0.25">
      <c r="D13253"/>
    </row>
    <row r="13254" spans="4:4" x14ac:dyDescent="0.25">
      <c r="D13254"/>
    </row>
    <row r="13255" spans="4:4" x14ac:dyDescent="0.25">
      <c r="D13255"/>
    </row>
    <row r="13256" spans="4:4" x14ac:dyDescent="0.25">
      <c r="D13256"/>
    </row>
    <row r="13257" spans="4:4" x14ac:dyDescent="0.25">
      <c r="D13257"/>
    </row>
    <row r="13258" spans="4:4" x14ac:dyDescent="0.25">
      <c r="D13258"/>
    </row>
    <row r="13259" spans="4:4" x14ac:dyDescent="0.25">
      <c r="D13259"/>
    </row>
    <row r="13260" spans="4:4" x14ac:dyDescent="0.25">
      <c r="D13260"/>
    </row>
    <row r="13261" spans="4:4" x14ac:dyDescent="0.25">
      <c r="D13261"/>
    </row>
    <row r="13262" spans="4:4" x14ac:dyDescent="0.25">
      <c r="D13262"/>
    </row>
    <row r="13263" spans="4:4" x14ac:dyDescent="0.25">
      <c r="D13263"/>
    </row>
    <row r="13264" spans="4:4" x14ac:dyDescent="0.25">
      <c r="D13264"/>
    </row>
    <row r="13265" spans="4:4" x14ac:dyDescent="0.25">
      <c r="D13265"/>
    </row>
    <row r="13266" spans="4:4" x14ac:dyDescent="0.25">
      <c r="D13266"/>
    </row>
    <row r="13267" spans="4:4" x14ac:dyDescent="0.25">
      <c r="D13267"/>
    </row>
    <row r="13268" spans="4:4" x14ac:dyDescent="0.25">
      <c r="D13268"/>
    </row>
    <row r="13269" spans="4:4" x14ac:dyDescent="0.25">
      <c r="D13269"/>
    </row>
    <row r="13270" spans="4:4" x14ac:dyDescent="0.25">
      <c r="D13270"/>
    </row>
    <row r="13271" spans="4:4" x14ac:dyDescent="0.25">
      <c r="D13271"/>
    </row>
    <row r="13272" spans="4:4" x14ac:dyDescent="0.25">
      <c r="D13272"/>
    </row>
    <row r="13273" spans="4:4" x14ac:dyDescent="0.25">
      <c r="D13273"/>
    </row>
    <row r="13274" spans="4:4" x14ac:dyDescent="0.25">
      <c r="D13274"/>
    </row>
    <row r="13275" spans="4:4" x14ac:dyDescent="0.25">
      <c r="D13275"/>
    </row>
    <row r="13276" spans="4:4" x14ac:dyDescent="0.25">
      <c r="D13276"/>
    </row>
    <row r="13277" spans="4:4" x14ac:dyDescent="0.25">
      <c r="D13277"/>
    </row>
    <row r="13278" spans="4:4" x14ac:dyDescent="0.25">
      <c r="D13278"/>
    </row>
    <row r="13279" spans="4:4" x14ac:dyDescent="0.25">
      <c r="D13279"/>
    </row>
    <row r="13280" spans="4:4" x14ac:dyDescent="0.25">
      <c r="D13280"/>
    </row>
    <row r="13281" spans="4:4" x14ac:dyDescent="0.25">
      <c r="D13281"/>
    </row>
    <row r="13282" spans="4:4" x14ac:dyDescent="0.25">
      <c r="D13282"/>
    </row>
    <row r="13283" spans="4:4" x14ac:dyDescent="0.25">
      <c r="D13283"/>
    </row>
    <row r="13284" spans="4:4" x14ac:dyDescent="0.25">
      <c r="D13284"/>
    </row>
    <row r="13285" spans="4:4" x14ac:dyDescent="0.25">
      <c r="D13285"/>
    </row>
    <row r="13286" spans="4:4" x14ac:dyDescent="0.25">
      <c r="D13286"/>
    </row>
    <row r="13287" spans="4:4" x14ac:dyDescent="0.25">
      <c r="D13287"/>
    </row>
    <row r="13288" spans="4:4" x14ac:dyDescent="0.25">
      <c r="D13288"/>
    </row>
    <row r="13289" spans="4:4" x14ac:dyDescent="0.25">
      <c r="D13289"/>
    </row>
    <row r="13290" spans="4:4" x14ac:dyDescent="0.25">
      <c r="D13290"/>
    </row>
    <row r="13291" spans="4:4" x14ac:dyDescent="0.25">
      <c r="D13291"/>
    </row>
    <row r="13292" spans="4:4" x14ac:dyDescent="0.25">
      <c r="D13292"/>
    </row>
    <row r="13293" spans="4:4" x14ac:dyDescent="0.25">
      <c r="D13293"/>
    </row>
    <row r="13294" spans="4:4" x14ac:dyDescent="0.25">
      <c r="D13294"/>
    </row>
    <row r="13295" spans="4:4" x14ac:dyDescent="0.25">
      <c r="D13295"/>
    </row>
    <row r="13296" spans="4:4" x14ac:dyDescent="0.25">
      <c r="D13296"/>
    </row>
    <row r="13297" spans="4:4" x14ac:dyDescent="0.25">
      <c r="D13297"/>
    </row>
    <row r="13298" spans="4:4" x14ac:dyDescent="0.25">
      <c r="D13298"/>
    </row>
    <row r="13299" spans="4:4" x14ac:dyDescent="0.25">
      <c r="D13299"/>
    </row>
    <row r="13300" spans="4:4" x14ac:dyDescent="0.25">
      <c r="D13300"/>
    </row>
    <row r="13301" spans="4:4" x14ac:dyDescent="0.25">
      <c r="D13301"/>
    </row>
    <row r="13302" spans="4:4" x14ac:dyDescent="0.25">
      <c r="D13302"/>
    </row>
    <row r="13303" spans="4:4" x14ac:dyDescent="0.25">
      <c r="D13303"/>
    </row>
    <row r="13304" spans="4:4" x14ac:dyDescent="0.25">
      <c r="D13304"/>
    </row>
    <row r="13305" spans="4:4" x14ac:dyDescent="0.25">
      <c r="D13305"/>
    </row>
    <row r="13306" spans="4:4" x14ac:dyDescent="0.25">
      <c r="D13306"/>
    </row>
    <row r="13307" spans="4:4" x14ac:dyDescent="0.25">
      <c r="D13307"/>
    </row>
    <row r="13308" spans="4:4" x14ac:dyDescent="0.25">
      <c r="D13308"/>
    </row>
    <row r="13309" spans="4:4" x14ac:dyDescent="0.25">
      <c r="D13309"/>
    </row>
    <row r="13310" spans="4:4" x14ac:dyDescent="0.25">
      <c r="D13310"/>
    </row>
    <row r="13311" spans="4:4" x14ac:dyDescent="0.25">
      <c r="D13311"/>
    </row>
    <row r="13312" spans="4:4" x14ac:dyDescent="0.25">
      <c r="D13312"/>
    </row>
    <row r="13313" spans="4:4" x14ac:dyDescent="0.25">
      <c r="D13313"/>
    </row>
    <row r="13314" spans="4:4" x14ac:dyDescent="0.25">
      <c r="D13314"/>
    </row>
    <row r="13315" spans="4:4" x14ac:dyDescent="0.25">
      <c r="D13315"/>
    </row>
    <row r="13316" spans="4:4" x14ac:dyDescent="0.25">
      <c r="D13316"/>
    </row>
    <row r="13317" spans="4:4" x14ac:dyDescent="0.25">
      <c r="D13317"/>
    </row>
    <row r="13318" spans="4:4" x14ac:dyDescent="0.25">
      <c r="D13318"/>
    </row>
    <row r="13319" spans="4:4" x14ac:dyDescent="0.25">
      <c r="D13319"/>
    </row>
    <row r="13320" spans="4:4" x14ac:dyDescent="0.25">
      <c r="D13320"/>
    </row>
    <row r="13321" spans="4:4" x14ac:dyDescent="0.25">
      <c r="D13321"/>
    </row>
    <row r="13322" spans="4:4" x14ac:dyDescent="0.25">
      <c r="D13322"/>
    </row>
    <row r="13323" spans="4:4" x14ac:dyDescent="0.25">
      <c r="D13323"/>
    </row>
    <row r="13324" spans="4:4" x14ac:dyDescent="0.25">
      <c r="D13324"/>
    </row>
    <row r="13325" spans="4:4" x14ac:dyDescent="0.25">
      <c r="D13325"/>
    </row>
    <row r="13326" spans="4:4" x14ac:dyDescent="0.25">
      <c r="D13326"/>
    </row>
    <row r="13327" spans="4:4" x14ac:dyDescent="0.25">
      <c r="D13327"/>
    </row>
    <row r="13328" spans="4:4" x14ac:dyDescent="0.25">
      <c r="D13328"/>
    </row>
    <row r="13329" spans="4:4" x14ac:dyDescent="0.25">
      <c r="D13329"/>
    </row>
    <row r="13330" spans="4:4" x14ac:dyDescent="0.25">
      <c r="D13330"/>
    </row>
    <row r="13331" spans="4:4" x14ac:dyDescent="0.25">
      <c r="D13331"/>
    </row>
    <row r="13332" spans="4:4" x14ac:dyDescent="0.25">
      <c r="D13332"/>
    </row>
    <row r="13333" spans="4:4" x14ac:dyDescent="0.25">
      <c r="D13333"/>
    </row>
    <row r="13334" spans="4:4" x14ac:dyDescent="0.25">
      <c r="D13334"/>
    </row>
    <row r="13335" spans="4:4" x14ac:dyDescent="0.25">
      <c r="D13335"/>
    </row>
    <row r="13336" spans="4:4" x14ac:dyDescent="0.25">
      <c r="D13336"/>
    </row>
    <row r="13337" spans="4:4" x14ac:dyDescent="0.25">
      <c r="D13337"/>
    </row>
    <row r="13338" spans="4:4" x14ac:dyDescent="0.25">
      <c r="D13338"/>
    </row>
    <row r="13339" spans="4:4" x14ac:dyDescent="0.25">
      <c r="D13339"/>
    </row>
    <row r="13340" spans="4:4" x14ac:dyDescent="0.25">
      <c r="D13340"/>
    </row>
    <row r="13341" spans="4:4" x14ac:dyDescent="0.25">
      <c r="D13341"/>
    </row>
    <row r="13342" spans="4:4" x14ac:dyDescent="0.25">
      <c r="D13342"/>
    </row>
    <row r="13343" spans="4:4" x14ac:dyDescent="0.25">
      <c r="D13343"/>
    </row>
    <row r="13344" spans="4:4" x14ac:dyDescent="0.25">
      <c r="D13344"/>
    </row>
    <row r="13345" spans="4:4" x14ac:dyDescent="0.25">
      <c r="D13345"/>
    </row>
    <row r="13346" spans="4:4" x14ac:dyDescent="0.25">
      <c r="D13346"/>
    </row>
    <row r="13347" spans="4:4" x14ac:dyDescent="0.25">
      <c r="D13347"/>
    </row>
    <row r="13348" spans="4:4" x14ac:dyDescent="0.25">
      <c r="D13348"/>
    </row>
    <row r="13349" spans="4:4" x14ac:dyDescent="0.25">
      <c r="D13349"/>
    </row>
    <row r="13350" spans="4:4" x14ac:dyDescent="0.25">
      <c r="D13350"/>
    </row>
    <row r="13351" spans="4:4" x14ac:dyDescent="0.25">
      <c r="D13351"/>
    </row>
    <row r="13352" spans="4:4" x14ac:dyDescent="0.25">
      <c r="D13352"/>
    </row>
    <row r="13353" spans="4:4" x14ac:dyDescent="0.25">
      <c r="D13353"/>
    </row>
    <row r="13354" spans="4:4" x14ac:dyDescent="0.25">
      <c r="D13354"/>
    </row>
    <row r="13355" spans="4:4" x14ac:dyDescent="0.25">
      <c r="D13355"/>
    </row>
    <row r="13356" spans="4:4" x14ac:dyDescent="0.25">
      <c r="D13356"/>
    </row>
    <row r="13357" spans="4:4" x14ac:dyDescent="0.25">
      <c r="D13357"/>
    </row>
    <row r="13358" spans="4:4" x14ac:dyDescent="0.25">
      <c r="D13358"/>
    </row>
    <row r="13359" spans="4:4" x14ac:dyDescent="0.25">
      <c r="D13359"/>
    </row>
    <row r="13360" spans="4:4" x14ac:dyDescent="0.25">
      <c r="D13360"/>
    </row>
    <row r="13361" spans="4:4" x14ac:dyDescent="0.25">
      <c r="D13361"/>
    </row>
    <row r="13362" spans="4:4" x14ac:dyDescent="0.25">
      <c r="D13362"/>
    </row>
    <row r="13363" spans="4:4" x14ac:dyDescent="0.25">
      <c r="D13363"/>
    </row>
    <row r="13364" spans="4:4" x14ac:dyDescent="0.25">
      <c r="D13364"/>
    </row>
    <row r="13365" spans="4:4" x14ac:dyDescent="0.25">
      <c r="D13365"/>
    </row>
    <row r="13366" spans="4:4" x14ac:dyDescent="0.25">
      <c r="D13366"/>
    </row>
    <row r="13367" spans="4:4" x14ac:dyDescent="0.25">
      <c r="D13367"/>
    </row>
    <row r="13368" spans="4:4" x14ac:dyDescent="0.25">
      <c r="D13368"/>
    </row>
    <row r="13369" spans="4:4" x14ac:dyDescent="0.25">
      <c r="D13369"/>
    </row>
    <row r="13370" spans="4:4" x14ac:dyDescent="0.25">
      <c r="D13370"/>
    </row>
    <row r="13371" spans="4:4" x14ac:dyDescent="0.25">
      <c r="D13371"/>
    </row>
    <row r="13372" spans="4:4" x14ac:dyDescent="0.25">
      <c r="D13372"/>
    </row>
    <row r="13373" spans="4:4" x14ac:dyDescent="0.25">
      <c r="D13373"/>
    </row>
    <row r="13374" spans="4:4" x14ac:dyDescent="0.25">
      <c r="D13374"/>
    </row>
    <row r="13375" spans="4:4" x14ac:dyDescent="0.25">
      <c r="D13375"/>
    </row>
    <row r="13376" spans="4:4" x14ac:dyDescent="0.25">
      <c r="D13376"/>
    </row>
    <row r="13377" spans="4:4" x14ac:dyDescent="0.25">
      <c r="D13377"/>
    </row>
    <row r="13378" spans="4:4" x14ac:dyDescent="0.25">
      <c r="D13378"/>
    </row>
    <row r="13379" spans="4:4" x14ac:dyDescent="0.25">
      <c r="D13379"/>
    </row>
    <row r="13380" spans="4:4" x14ac:dyDescent="0.25">
      <c r="D13380"/>
    </row>
    <row r="13381" spans="4:4" x14ac:dyDescent="0.25">
      <c r="D13381"/>
    </row>
    <row r="13382" spans="4:4" x14ac:dyDescent="0.25">
      <c r="D13382"/>
    </row>
    <row r="13383" spans="4:4" x14ac:dyDescent="0.25">
      <c r="D13383"/>
    </row>
    <row r="13384" spans="4:4" x14ac:dyDescent="0.25">
      <c r="D13384"/>
    </row>
    <row r="13385" spans="4:4" x14ac:dyDescent="0.25">
      <c r="D13385"/>
    </row>
    <row r="13386" spans="4:4" x14ac:dyDescent="0.25">
      <c r="D13386"/>
    </row>
    <row r="13387" spans="4:4" x14ac:dyDescent="0.25">
      <c r="D13387"/>
    </row>
    <row r="13388" spans="4:4" x14ac:dyDescent="0.25">
      <c r="D13388"/>
    </row>
    <row r="13389" spans="4:4" x14ac:dyDescent="0.25">
      <c r="D13389"/>
    </row>
    <row r="13390" spans="4:4" x14ac:dyDescent="0.25">
      <c r="D13390"/>
    </row>
    <row r="13391" spans="4:4" x14ac:dyDescent="0.25">
      <c r="D13391"/>
    </row>
    <row r="13392" spans="4:4" x14ac:dyDescent="0.25">
      <c r="D13392"/>
    </row>
    <row r="13393" spans="4:4" x14ac:dyDescent="0.25">
      <c r="D13393"/>
    </row>
    <row r="13394" spans="4:4" x14ac:dyDescent="0.25">
      <c r="D13394"/>
    </row>
    <row r="13395" spans="4:4" x14ac:dyDescent="0.25">
      <c r="D13395"/>
    </row>
    <row r="13396" spans="4:4" x14ac:dyDescent="0.25">
      <c r="D13396"/>
    </row>
    <row r="13397" spans="4:4" x14ac:dyDescent="0.25">
      <c r="D13397"/>
    </row>
    <row r="13398" spans="4:4" x14ac:dyDescent="0.25">
      <c r="D13398"/>
    </row>
    <row r="13399" spans="4:4" x14ac:dyDescent="0.25">
      <c r="D13399"/>
    </row>
    <row r="13400" spans="4:4" x14ac:dyDescent="0.25">
      <c r="D13400"/>
    </row>
    <row r="13401" spans="4:4" x14ac:dyDescent="0.25">
      <c r="D13401"/>
    </row>
    <row r="13402" spans="4:4" x14ac:dyDescent="0.25">
      <c r="D13402"/>
    </row>
    <row r="13403" spans="4:4" x14ac:dyDescent="0.25">
      <c r="D13403"/>
    </row>
    <row r="13404" spans="4:4" x14ac:dyDescent="0.25">
      <c r="D13404"/>
    </row>
    <row r="13405" spans="4:4" x14ac:dyDescent="0.25">
      <c r="D13405"/>
    </row>
    <row r="13406" spans="4:4" x14ac:dyDescent="0.25">
      <c r="D13406"/>
    </row>
    <row r="13407" spans="4:4" x14ac:dyDescent="0.25">
      <c r="D13407"/>
    </row>
    <row r="13408" spans="4:4" x14ac:dyDescent="0.25">
      <c r="D13408"/>
    </row>
    <row r="13409" spans="4:4" x14ac:dyDescent="0.25">
      <c r="D13409"/>
    </row>
    <row r="13410" spans="4:4" x14ac:dyDescent="0.25">
      <c r="D13410"/>
    </row>
    <row r="13411" spans="4:4" x14ac:dyDescent="0.25">
      <c r="D13411"/>
    </row>
    <row r="13412" spans="4:4" x14ac:dyDescent="0.25">
      <c r="D13412"/>
    </row>
    <row r="13413" spans="4:4" x14ac:dyDescent="0.25">
      <c r="D13413"/>
    </row>
    <row r="13414" spans="4:4" x14ac:dyDescent="0.25">
      <c r="D13414"/>
    </row>
    <row r="13415" spans="4:4" x14ac:dyDescent="0.25">
      <c r="D13415"/>
    </row>
    <row r="13416" spans="4:4" x14ac:dyDescent="0.25">
      <c r="D13416"/>
    </row>
    <row r="13417" spans="4:4" x14ac:dyDescent="0.25">
      <c r="D13417"/>
    </row>
    <row r="13418" spans="4:4" x14ac:dyDescent="0.25">
      <c r="D13418"/>
    </row>
    <row r="13419" spans="4:4" x14ac:dyDescent="0.25">
      <c r="D13419"/>
    </row>
    <row r="13420" spans="4:4" x14ac:dyDescent="0.25">
      <c r="D13420"/>
    </row>
    <row r="13421" spans="4:4" x14ac:dyDescent="0.25">
      <c r="D13421"/>
    </row>
    <row r="13422" spans="4:4" x14ac:dyDescent="0.25">
      <c r="D13422"/>
    </row>
    <row r="13423" spans="4:4" x14ac:dyDescent="0.25">
      <c r="D13423"/>
    </row>
    <row r="13424" spans="4:4" x14ac:dyDescent="0.25">
      <c r="D13424"/>
    </row>
    <row r="13425" spans="4:4" x14ac:dyDescent="0.25">
      <c r="D13425"/>
    </row>
    <row r="13426" spans="4:4" x14ac:dyDescent="0.25">
      <c r="D13426"/>
    </row>
    <row r="13427" spans="4:4" x14ac:dyDescent="0.25">
      <c r="D13427"/>
    </row>
    <row r="13428" spans="4:4" x14ac:dyDescent="0.25">
      <c r="D13428"/>
    </row>
    <row r="13429" spans="4:4" x14ac:dyDescent="0.25">
      <c r="D13429"/>
    </row>
    <row r="13430" spans="4:4" x14ac:dyDescent="0.25">
      <c r="D13430"/>
    </row>
    <row r="13431" spans="4:4" x14ac:dyDescent="0.25">
      <c r="D13431"/>
    </row>
    <row r="13432" spans="4:4" x14ac:dyDescent="0.25">
      <c r="D13432"/>
    </row>
    <row r="13433" spans="4:4" x14ac:dyDescent="0.25">
      <c r="D13433"/>
    </row>
    <row r="13434" spans="4:4" x14ac:dyDescent="0.25">
      <c r="D13434"/>
    </row>
    <row r="13435" spans="4:4" x14ac:dyDescent="0.25">
      <c r="D13435"/>
    </row>
    <row r="13436" spans="4:4" x14ac:dyDescent="0.25">
      <c r="D13436"/>
    </row>
    <row r="13437" spans="4:4" x14ac:dyDescent="0.25">
      <c r="D13437"/>
    </row>
    <row r="13438" spans="4:4" x14ac:dyDescent="0.25">
      <c r="D13438"/>
    </row>
    <row r="13439" spans="4:4" x14ac:dyDescent="0.25">
      <c r="D13439"/>
    </row>
    <row r="13440" spans="4:4" x14ac:dyDescent="0.25">
      <c r="D13440"/>
    </row>
    <row r="13441" spans="4:4" x14ac:dyDescent="0.25">
      <c r="D13441"/>
    </row>
    <row r="13442" spans="4:4" x14ac:dyDescent="0.25">
      <c r="D13442"/>
    </row>
    <row r="13443" spans="4:4" x14ac:dyDescent="0.25">
      <c r="D13443"/>
    </row>
    <row r="13444" spans="4:4" x14ac:dyDescent="0.25">
      <c r="D13444"/>
    </row>
    <row r="13445" spans="4:4" x14ac:dyDescent="0.25">
      <c r="D13445"/>
    </row>
    <row r="13446" spans="4:4" x14ac:dyDescent="0.25">
      <c r="D13446"/>
    </row>
    <row r="13447" spans="4:4" x14ac:dyDescent="0.25">
      <c r="D13447"/>
    </row>
    <row r="13448" spans="4:4" x14ac:dyDescent="0.25">
      <c r="D13448"/>
    </row>
    <row r="13449" spans="4:4" x14ac:dyDescent="0.25">
      <c r="D13449"/>
    </row>
    <row r="13450" spans="4:4" x14ac:dyDescent="0.25">
      <c r="D13450"/>
    </row>
    <row r="13451" spans="4:4" x14ac:dyDescent="0.25">
      <c r="D13451"/>
    </row>
    <row r="13452" spans="4:4" x14ac:dyDescent="0.25">
      <c r="D13452"/>
    </row>
    <row r="13453" spans="4:4" x14ac:dyDescent="0.25">
      <c r="D13453"/>
    </row>
    <row r="13454" spans="4:4" x14ac:dyDescent="0.25">
      <c r="D13454"/>
    </row>
    <row r="13455" spans="4:4" x14ac:dyDescent="0.25">
      <c r="D13455"/>
    </row>
    <row r="13456" spans="4:4" x14ac:dyDescent="0.25">
      <c r="D13456"/>
    </row>
    <row r="13457" spans="4:4" x14ac:dyDescent="0.25">
      <c r="D13457"/>
    </row>
    <row r="13458" spans="4:4" x14ac:dyDescent="0.25">
      <c r="D13458"/>
    </row>
    <row r="13459" spans="4:4" x14ac:dyDescent="0.25">
      <c r="D13459"/>
    </row>
    <row r="13460" spans="4:4" x14ac:dyDescent="0.25">
      <c r="D13460"/>
    </row>
    <row r="13461" spans="4:4" x14ac:dyDescent="0.25">
      <c r="D13461"/>
    </row>
    <row r="13462" spans="4:4" x14ac:dyDescent="0.25">
      <c r="D13462"/>
    </row>
    <row r="13463" spans="4:4" x14ac:dyDescent="0.25">
      <c r="D13463"/>
    </row>
    <row r="13464" spans="4:4" x14ac:dyDescent="0.25">
      <c r="D13464"/>
    </row>
    <row r="13465" spans="4:4" x14ac:dyDescent="0.25">
      <c r="D13465"/>
    </row>
    <row r="13466" spans="4:4" x14ac:dyDescent="0.25">
      <c r="D13466"/>
    </row>
    <row r="13467" spans="4:4" x14ac:dyDescent="0.25">
      <c r="D13467"/>
    </row>
    <row r="13468" spans="4:4" x14ac:dyDescent="0.25">
      <c r="D13468"/>
    </row>
    <row r="13469" spans="4:4" x14ac:dyDescent="0.25">
      <c r="D13469"/>
    </row>
    <row r="13470" spans="4:4" x14ac:dyDescent="0.25">
      <c r="D13470"/>
    </row>
    <row r="13471" spans="4:4" x14ac:dyDescent="0.25">
      <c r="D13471"/>
    </row>
    <row r="13472" spans="4:4" x14ac:dyDescent="0.25">
      <c r="D13472"/>
    </row>
    <row r="13473" spans="4:4" x14ac:dyDescent="0.25">
      <c r="D13473"/>
    </row>
    <row r="13474" spans="4:4" x14ac:dyDescent="0.25">
      <c r="D13474"/>
    </row>
    <row r="13475" spans="4:4" x14ac:dyDescent="0.25">
      <c r="D13475"/>
    </row>
    <row r="13476" spans="4:4" x14ac:dyDescent="0.25">
      <c r="D13476"/>
    </row>
    <row r="13477" spans="4:4" x14ac:dyDescent="0.25">
      <c r="D13477"/>
    </row>
    <row r="13478" spans="4:4" x14ac:dyDescent="0.25">
      <c r="D13478"/>
    </row>
    <row r="13479" spans="4:4" x14ac:dyDescent="0.25">
      <c r="D13479"/>
    </row>
    <row r="13480" spans="4:4" x14ac:dyDescent="0.25">
      <c r="D13480"/>
    </row>
    <row r="13481" spans="4:4" x14ac:dyDescent="0.25">
      <c r="D13481"/>
    </row>
    <row r="13482" spans="4:4" x14ac:dyDescent="0.25">
      <c r="D13482"/>
    </row>
    <row r="13483" spans="4:4" x14ac:dyDescent="0.25">
      <c r="D13483"/>
    </row>
    <row r="13484" spans="4:4" x14ac:dyDescent="0.25">
      <c r="D13484"/>
    </row>
    <row r="13485" spans="4:4" x14ac:dyDescent="0.25">
      <c r="D13485"/>
    </row>
    <row r="13486" spans="4:4" x14ac:dyDescent="0.25">
      <c r="D13486"/>
    </row>
    <row r="13487" spans="4:4" x14ac:dyDescent="0.25">
      <c r="D13487"/>
    </row>
    <row r="13488" spans="4:4" x14ac:dyDescent="0.25">
      <c r="D13488"/>
    </row>
    <row r="13489" spans="4:4" x14ac:dyDescent="0.25">
      <c r="D13489"/>
    </row>
    <row r="13490" spans="4:4" x14ac:dyDescent="0.25">
      <c r="D13490"/>
    </row>
    <row r="13491" spans="4:4" x14ac:dyDescent="0.25">
      <c r="D13491"/>
    </row>
    <row r="13492" spans="4:4" x14ac:dyDescent="0.25">
      <c r="D13492"/>
    </row>
    <row r="13493" spans="4:4" x14ac:dyDescent="0.25">
      <c r="D13493"/>
    </row>
    <row r="13494" spans="4:4" x14ac:dyDescent="0.25">
      <c r="D13494"/>
    </row>
    <row r="13495" spans="4:4" x14ac:dyDescent="0.25">
      <c r="D13495"/>
    </row>
    <row r="13496" spans="4:4" x14ac:dyDescent="0.25">
      <c r="D13496"/>
    </row>
    <row r="13497" spans="4:4" x14ac:dyDescent="0.25">
      <c r="D13497"/>
    </row>
    <row r="13498" spans="4:4" x14ac:dyDescent="0.25">
      <c r="D13498"/>
    </row>
    <row r="13499" spans="4:4" x14ac:dyDescent="0.25">
      <c r="D13499"/>
    </row>
    <row r="13500" spans="4:4" x14ac:dyDescent="0.25">
      <c r="D13500"/>
    </row>
    <row r="13501" spans="4:4" x14ac:dyDescent="0.25">
      <c r="D13501"/>
    </row>
    <row r="13502" spans="4:4" x14ac:dyDescent="0.25">
      <c r="D13502"/>
    </row>
    <row r="13503" spans="4:4" x14ac:dyDescent="0.25">
      <c r="D13503"/>
    </row>
    <row r="13504" spans="4:4" x14ac:dyDescent="0.25">
      <c r="D13504"/>
    </row>
    <row r="13505" spans="4:4" x14ac:dyDescent="0.25">
      <c r="D13505"/>
    </row>
    <row r="13506" spans="4:4" x14ac:dyDescent="0.25">
      <c r="D13506"/>
    </row>
    <row r="13507" spans="4:4" x14ac:dyDescent="0.25">
      <c r="D13507"/>
    </row>
    <row r="13508" spans="4:4" x14ac:dyDescent="0.25">
      <c r="D13508"/>
    </row>
    <row r="13509" spans="4:4" x14ac:dyDescent="0.25">
      <c r="D13509"/>
    </row>
    <row r="13510" spans="4:4" x14ac:dyDescent="0.25">
      <c r="D13510"/>
    </row>
    <row r="13511" spans="4:4" x14ac:dyDescent="0.25">
      <c r="D13511"/>
    </row>
    <row r="13512" spans="4:4" x14ac:dyDescent="0.25">
      <c r="D13512"/>
    </row>
    <row r="13513" spans="4:4" x14ac:dyDescent="0.25">
      <c r="D13513"/>
    </row>
    <row r="13514" spans="4:4" x14ac:dyDescent="0.25">
      <c r="D13514"/>
    </row>
    <row r="13515" spans="4:4" x14ac:dyDescent="0.25">
      <c r="D13515"/>
    </row>
    <row r="13516" spans="4:4" x14ac:dyDescent="0.25">
      <c r="D13516"/>
    </row>
    <row r="13517" spans="4:4" x14ac:dyDescent="0.25">
      <c r="D13517"/>
    </row>
    <row r="13518" spans="4:4" x14ac:dyDescent="0.25">
      <c r="D13518"/>
    </row>
    <row r="13519" spans="4:4" x14ac:dyDescent="0.25">
      <c r="D13519"/>
    </row>
    <row r="13520" spans="4:4" x14ac:dyDescent="0.25">
      <c r="D13520"/>
    </row>
    <row r="13521" spans="4:4" x14ac:dyDescent="0.25">
      <c r="D13521"/>
    </row>
    <row r="13522" spans="4:4" x14ac:dyDescent="0.25">
      <c r="D13522"/>
    </row>
    <row r="13523" spans="4:4" x14ac:dyDescent="0.25">
      <c r="D13523"/>
    </row>
    <row r="13524" spans="4:4" x14ac:dyDescent="0.25">
      <c r="D13524"/>
    </row>
    <row r="13525" spans="4:4" x14ac:dyDescent="0.25">
      <c r="D13525"/>
    </row>
    <row r="13526" spans="4:4" x14ac:dyDescent="0.25">
      <c r="D13526"/>
    </row>
    <row r="13527" spans="4:4" x14ac:dyDescent="0.25">
      <c r="D13527"/>
    </row>
    <row r="13528" spans="4:4" x14ac:dyDescent="0.25">
      <c r="D13528"/>
    </row>
    <row r="13529" spans="4:4" x14ac:dyDescent="0.25">
      <c r="D13529"/>
    </row>
    <row r="13530" spans="4:4" x14ac:dyDescent="0.25">
      <c r="D13530"/>
    </row>
    <row r="13531" spans="4:4" x14ac:dyDescent="0.25">
      <c r="D13531"/>
    </row>
    <row r="13532" spans="4:4" x14ac:dyDescent="0.25">
      <c r="D13532"/>
    </row>
    <row r="13533" spans="4:4" x14ac:dyDescent="0.25">
      <c r="D13533"/>
    </row>
    <row r="13534" spans="4:4" x14ac:dyDescent="0.25">
      <c r="D13534"/>
    </row>
    <row r="13535" spans="4:4" x14ac:dyDescent="0.25">
      <c r="D13535"/>
    </row>
    <row r="13536" spans="4:4" x14ac:dyDescent="0.25">
      <c r="D13536"/>
    </row>
    <row r="13537" spans="4:4" x14ac:dyDescent="0.25">
      <c r="D13537"/>
    </row>
    <row r="13538" spans="4:4" x14ac:dyDescent="0.25">
      <c r="D13538"/>
    </row>
    <row r="13539" spans="4:4" x14ac:dyDescent="0.25">
      <c r="D13539"/>
    </row>
    <row r="13540" spans="4:4" x14ac:dyDescent="0.25">
      <c r="D13540"/>
    </row>
    <row r="13541" spans="4:4" x14ac:dyDescent="0.25">
      <c r="D13541"/>
    </row>
    <row r="13542" spans="4:4" x14ac:dyDescent="0.25">
      <c r="D13542"/>
    </row>
    <row r="13543" spans="4:4" x14ac:dyDescent="0.25">
      <c r="D13543"/>
    </row>
    <row r="13544" spans="4:4" x14ac:dyDescent="0.25">
      <c r="D13544"/>
    </row>
    <row r="13545" spans="4:4" x14ac:dyDescent="0.25">
      <c r="D13545"/>
    </row>
    <row r="13546" spans="4:4" x14ac:dyDescent="0.25">
      <c r="D13546"/>
    </row>
    <row r="13547" spans="4:4" x14ac:dyDescent="0.25">
      <c r="D13547"/>
    </row>
    <row r="13548" spans="4:4" x14ac:dyDescent="0.25">
      <c r="D13548"/>
    </row>
    <row r="13549" spans="4:4" x14ac:dyDescent="0.25">
      <c r="D13549"/>
    </row>
    <row r="13550" spans="4:4" x14ac:dyDescent="0.25">
      <c r="D13550"/>
    </row>
    <row r="13551" spans="4:4" x14ac:dyDescent="0.25">
      <c r="D13551"/>
    </row>
    <row r="13552" spans="4:4" x14ac:dyDescent="0.25">
      <c r="D13552"/>
    </row>
    <row r="13553" spans="4:4" x14ac:dyDescent="0.25">
      <c r="D13553"/>
    </row>
    <row r="13554" spans="4:4" x14ac:dyDescent="0.25">
      <c r="D13554"/>
    </row>
    <row r="13555" spans="4:4" x14ac:dyDescent="0.25">
      <c r="D13555"/>
    </row>
    <row r="13556" spans="4:4" x14ac:dyDescent="0.25">
      <c r="D13556"/>
    </row>
    <row r="13557" spans="4:4" x14ac:dyDescent="0.25">
      <c r="D13557"/>
    </row>
    <row r="13558" spans="4:4" x14ac:dyDescent="0.25">
      <c r="D13558"/>
    </row>
    <row r="13559" spans="4:4" x14ac:dyDescent="0.25">
      <c r="D13559"/>
    </row>
    <row r="13560" spans="4:4" x14ac:dyDescent="0.25">
      <c r="D13560"/>
    </row>
    <row r="13561" spans="4:4" x14ac:dyDescent="0.25">
      <c r="D13561"/>
    </row>
    <row r="13562" spans="4:4" x14ac:dyDescent="0.25">
      <c r="D13562"/>
    </row>
    <row r="13563" spans="4:4" x14ac:dyDescent="0.25">
      <c r="D13563"/>
    </row>
    <row r="13564" spans="4:4" x14ac:dyDescent="0.25">
      <c r="D13564"/>
    </row>
    <row r="13565" spans="4:4" x14ac:dyDescent="0.25">
      <c r="D13565"/>
    </row>
    <row r="13566" spans="4:4" x14ac:dyDescent="0.25">
      <c r="D13566"/>
    </row>
    <row r="13567" spans="4:4" x14ac:dyDescent="0.25">
      <c r="D13567"/>
    </row>
    <row r="13568" spans="4:4" x14ac:dyDescent="0.25">
      <c r="D13568"/>
    </row>
    <row r="13569" spans="4:4" x14ac:dyDescent="0.25">
      <c r="D13569"/>
    </row>
    <row r="13570" spans="4:4" x14ac:dyDescent="0.25">
      <c r="D13570"/>
    </row>
    <row r="13571" spans="4:4" x14ac:dyDescent="0.25">
      <c r="D13571"/>
    </row>
    <row r="13572" spans="4:4" x14ac:dyDescent="0.25">
      <c r="D13572"/>
    </row>
    <row r="13573" spans="4:4" x14ac:dyDescent="0.25">
      <c r="D13573"/>
    </row>
    <row r="13574" spans="4:4" x14ac:dyDescent="0.25">
      <c r="D13574"/>
    </row>
    <row r="13575" spans="4:4" x14ac:dyDescent="0.25">
      <c r="D13575"/>
    </row>
    <row r="13576" spans="4:4" x14ac:dyDescent="0.25">
      <c r="D13576"/>
    </row>
    <row r="13577" spans="4:4" x14ac:dyDescent="0.25">
      <c r="D13577"/>
    </row>
    <row r="13578" spans="4:4" x14ac:dyDescent="0.25">
      <c r="D13578"/>
    </row>
    <row r="13579" spans="4:4" x14ac:dyDescent="0.25">
      <c r="D13579"/>
    </row>
    <row r="13580" spans="4:4" x14ac:dyDescent="0.25">
      <c r="D13580"/>
    </row>
    <row r="13581" spans="4:4" x14ac:dyDescent="0.25">
      <c r="D13581"/>
    </row>
    <row r="13582" spans="4:4" x14ac:dyDescent="0.25">
      <c r="D13582"/>
    </row>
    <row r="13583" spans="4:4" x14ac:dyDescent="0.25">
      <c r="D13583"/>
    </row>
    <row r="13584" spans="4:4" x14ac:dyDescent="0.25">
      <c r="D13584"/>
    </row>
    <row r="13585" spans="4:4" x14ac:dyDescent="0.25">
      <c r="D13585"/>
    </row>
    <row r="13586" spans="4:4" x14ac:dyDescent="0.25">
      <c r="D13586"/>
    </row>
    <row r="13587" spans="4:4" x14ac:dyDescent="0.25">
      <c r="D13587"/>
    </row>
    <row r="13588" spans="4:4" x14ac:dyDescent="0.25">
      <c r="D13588"/>
    </row>
    <row r="13589" spans="4:4" x14ac:dyDescent="0.25">
      <c r="D13589"/>
    </row>
    <row r="13590" spans="4:4" x14ac:dyDescent="0.25">
      <c r="D13590"/>
    </row>
    <row r="13591" spans="4:4" x14ac:dyDescent="0.25">
      <c r="D13591"/>
    </row>
    <row r="13592" spans="4:4" x14ac:dyDescent="0.25">
      <c r="D13592"/>
    </row>
    <row r="13593" spans="4:4" x14ac:dyDescent="0.25">
      <c r="D13593"/>
    </row>
    <row r="13594" spans="4:4" x14ac:dyDescent="0.25">
      <c r="D13594"/>
    </row>
    <row r="13595" spans="4:4" x14ac:dyDescent="0.25">
      <c r="D13595"/>
    </row>
    <row r="13596" spans="4:4" x14ac:dyDescent="0.25">
      <c r="D13596"/>
    </row>
    <row r="13597" spans="4:4" x14ac:dyDescent="0.25">
      <c r="D13597"/>
    </row>
    <row r="13598" spans="4:4" x14ac:dyDescent="0.25">
      <c r="D13598"/>
    </row>
    <row r="13599" spans="4:4" x14ac:dyDescent="0.25">
      <c r="D13599"/>
    </row>
    <row r="13600" spans="4:4" x14ac:dyDescent="0.25">
      <c r="D13600"/>
    </row>
    <row r="13601" spans="4:4" x14ac:dyDescent="0.25">
      <c r="D13601"/>
    </row>
    <row r="13602" spans="4:4" x14ac:dyDescent="0.25">
      <c r="D13602"/>
    </row>
    <row r="13603" spans="4:4" x14ac:dyDescent="0.25">
      <c r="D13603"/>
    </row>
    <row r="13604" spans="4:4" x14ac:dyDescent="0.25">
      <c r="D13604"/>
    </row>
    <row r="13605" spans="4:4" x14ac:dyDescent="0.25">
      <c r="D13605"/>
    </row>
    <row r="13606" spans="4:4" x14ac:dyDescent="0.25">
      <c r="D13606"/>
    </row>
    <row r="13607" spans="4:4" x14ac:dyDescent="0.25">
      <c r="D13607"/>
    </row>
    <row r="13608" spans="4:4" x14ac:dyDescent="0.25">
      <c r="D13608"/>
    </row>
    <row r="13609" spans="4:4" x14ac:dyDescent="0.25">
      <c r="D13609"/>
    </row>
    <row r="13610" spans="4:4" x14ac:dyDescent="0.25">
      <c r="D13610"/>
    </row>
    <row r="13611" spans="4:4" x14ac:dyDescent="0.25">
      <c r="D13611"/>
    </row>
    <row r="13612" spans="4:4" x14ac:dyDescent="0.25">
      <c r="D13612"/>
    </row>
    <row r="13613" spans="4:4" x14ac:dyDescent="0.25">
      <c r="D13613"/>
    </row>
    <row r="13614" spans="4:4" x14ac:dyDescent="0.25">
      <c r="D13614"/>
    </row>
    <row r="13615" spans="4:4" x14ac:dyDescent="0.25">
      <c r="D13615"/>
    </row>
    <row r="13616" spans="4:4" x14ac:dyDescent="0.25">
      <c r="D13616"/>
    </row>
    <row r="13617" spans="4:4" x14ac:dyDescent="0.25">
      <c r="D13617"/>
    </row>
    <row r="13618" spans="4:4" x14ac:dyDescent="0.25">
      <c r="D13618"/>
    </row>
    <row r="13619" spans="4:4" x14ac:dyDescent="0.25">
      <c r="D13619"/>
    </row>
    <row r="13620" spans="4:4" x14ac:dyDescent="0.25">
      <c r="D13620"/>
    </row>
    <row r="13621" spans="4:4" x14ac:dyDescent="0.25">
      <c r="D13621"/>
    </row>
    <row r="13622" spans="4:4" x14ac:dyDescent="0.25">
      <c r="D13622"/>
    </row>
    <row r="13623" spans="4:4" x14ac:dyDescent="0.25">
      <c r="D13623"/>
    </row>
    <row r="13624" spans="4:4" x14ac:dyDescent="0.25">
      <c r="D13624"/>
    </row>
    <row r="13625" spans="4:4" x14ac:dyDescent="0.25">
      <c r="D13625"/>
    </row>
    <row r="13626" spans="4:4" x14ac:dyDescent="0.25">
      <c r="D13626"/>
    </row>
    <row r="13627" spans="4:4" x14ac:dyDescent="0.25">
      <c r="D13627"/>
    </row>
    <row r="13628" spans="4:4" x14ac:dyDescent="0.25">
      <c r="D13628"/>
    </row>
    <row r="13629" spans="4:4" x14ac:dyDescent="0.25">
      <c r="D13629"/>
    </row>
    <row r="13630" spans="4:4" x14ac:dyDescent="0.25">
      <c r="D13630"/>
    </row>
    <row r="13631" spans="4:4" x14ac:dyDescent="0.25">
      <c r="D13631"/>
    </row>
    <row r="13632" spans="4:4" x14ac:dyDescent="0.25">
      <c r="D13632"/>
    </row>
    <row r="13633" spans="4:4" x14ac:dyDescent="0.25">
      <c r="D13633"/>
    </row>
    <row r="13634" spans="4:4" x14ac:dyDescent="0.25">
      <c r="D13634"/>
    </row>
    <row r="13635" spans="4:4" x14ac:dyDescent="0.25">
      <c r="D13635"/>
    </row>
    <row r="13636" spans="4:4" x14ac:dyDescent="0.25">
      <c r="D13636"/>
    </row>
    <row r="13637" spans="4:4" x14ac:dyDescent="0.25">
      <c r="D13637"/>
    </row>
    <row r="13638" spans="4:4" x14ac:dyDescent="0.25">
      <c r="D13638"/>
    </row>
    <row r="13639" spans="4:4" x14ac:dyDescent="0.25">
      <c r="D13639"/>
    </row>
    <row r="13640" spans="4:4" x14ac:dyDescent="0.25">
      <c r="D13640"/>
    </row>
    <row r="13641" spans="4:4" x14ac:dyDescent="0.25">
      <c r="D13641"/>
    </row>
    <row r="13642" spans="4:4" x14ac:dyDescent="0.25">
      <c r="D13642"/>
    </row>
    <row r="13643" spans="4:4" x14ac:dyDescent="0.25">
      <c r="D13643"/>
    </row>
    <row r="13644" spans="4:4" x14ac:dyDescent="0.25">
      <c r="D13644"/>
    </row>
    <row r="13645" spans="4:4" x14ac:dyDescent="0.25">
      <c r="D13645"/>
    </row>
    <row r="13646" spans="4:4" x14ac:dyDescent="0.25">
      <c r="D13646"/>
    </row>
    <row r="13647" spans="4:4" x14ac:dyDescent="0.25">
      <c r="D13647"/>
    </row>
    <row r="13648" spans="4:4" x14ac:dyDescent="0.25">
      <c r="D13648"/>
    </row>
    <row r="13649" spans="4:4" x14ac:dyDescent="0.25">
      <c r="D13649"/>
    </row>
    <row r="13650" spans="4:4" x14ac:dyDescent="0.25">
      <c r="D13650"/>
    </row>
    <row r="13651" spans="4:4" x14ac:dyDescent="0.25">
      <c r="D13651"/>
    </row>
    <row r="13652" spans="4:4" x14ac:dyDescent="0.25">
      <c r="D13652"/>
    </row>
    <row r="13653" spans="4:4" x14ac:dyDescent="0.25">
      <c r="D13653"/>
    </row>
    <row r="13654" spans="4:4" x14ac:dyDescent="0.25">
      <c r="D13654"/>
    </row>
    <row r="13655" spans="4:4" x14ac:dyDescent="0.25">
      <c r="D13655"/>
    </row>
    <row r="13656" spans="4:4" x14ac:dyDescent="0.25">
      <c r="D13656"/>
    </row>
    <row r="13657" spans="4:4" x14ac:dyDescent="0.25">
      <c r="D13657"/>
    </row>
    <row r="13658" spans="4:4" x14ac:dyDescent="0.25">
      <c r="D13658"/>
    </row>
    <row r="13659" spans="4:4" x14ac:dyDescent="0.25">
      <c r="D13659"/>
    </row>
    <row r="13660" spans="4:4" x14ac:dyDescent="0.25">
      <c r="D13660"/>
    </row>
    <row r="13661" spans="4:4" x14ac:dyDescent="0.25">
      <c r="D13661"/>
    </row>
    <row r="13662" spans="4:4" x14ac:dyDescent="0.25">
      <c r="D13662"/>
    </row>
    <row r="13663" spans="4:4" x14ac:dyDescent="0.25">
      <c r="D13663"/>
    </row>
    <row r="13664" spans="4:4" x14ac:dyDescent="0.25">
      <c r="D13664"/>
    </row>
    <row r="13665" spans="4:4" x14ac:dyDescent="0.25">
      <c r="D13665"/>
    </row>
    <row r="13666" spans="4:4" x14ac:dyDescent="0.25">
      <c r="D13666"/>
    </row>
    <row r="13667" spans="4:4" x14ac:dyDescent="0.25">
      <c r="D13667"/>
    </row>
    <row r="13668" spans="4:4" x14ac:dyDescent="0.25">
      <c r="D13668"/>
    </row>
    <row r="13669" spans="4:4" x14ac:dyDescent="0.25">
      <c r="D13669"/>
    </row>
    <row r="13670" spans="4:4" x14ac:dyDescent="0.25">
      <c r="D13670"/>
    </row>
    <row r="13671" spans="4:4" x14ac:dyDescent="0.25">
      <c r="D13671"/>
    </row>
    <row r="13672" spans="4:4" x14ac:dyDescent="0.25">
      <c r="D13672"/>
    </row>
    <row r="13673" spans="4:4" x14ac:dyDescent="0.25">
      <c r="D13673"/>
    </row>
    <row r="13674" spans="4:4" x14ac:dyDescent="0.25">
      <c r="D13674"/>
    </row>
    <row r="13675" spans="4:4" x14ac:dyDescent="0.25">
      <c r="D13675"/>
    </row>
    <row r="13676" spans="4:4" x14ac:dyDescent="0.25">
      <c r="D13676"/>
    </row>
    <row r="13677" spans="4:4" x14ac:dyDescent="0.25">
      <c r="D13677"/>
    </row>
    <row r="13678" spans="4:4" x14ac:dyDescent="0.25">
      <c r="D13678"/>
    </row>
    <row r="13679" spans="4:4" x14ac:dyDescent="0.25">
      <c r="D13679"/>
    </row>
    <row r="13680" spans="4:4" x14ac:dyDescent="0.25">
      <c r="D13680"/>
    </row>
    <row r="13681" spans="4:4" x14ac:dyDescent="0.25">
      <c r="D13681"/>
    </row>
    <row r="13682" spans="4:4" x14ac:dyDescent="0.25">
      <c r="D13682"/>
    </row>
    <row r="13683" spans="4:4" x14ac:dyDescent="0.25">
      <c r="D13683"/>
    </row>
    <row r="13684" spans="4:4" x14ac:dyDescent="0.25">
      <c r="D13684"/>
    </row>
    <row r="13685" spans="4:4" x14ac:dyDescent="0.25">
      <c r="D13685"/>
    </row>
    <row r="13686" spans="4:4" x14ac:dyDescent="0.25">
      <c r="D13686"/>
    </row>
    <row r="13687" spans="4:4" x14ac:dyDescent="0.25">
      <c r="D13687"/>
    </row>
    <row r="13688" spans="4:4" x14ac:dyDescent="0.25">
      <c r="D13688"/>
    </row>
    <row r="13689" spans="4:4" x14ac:dyDescent="0.25">
      <c r="D13689"/>
    </row>
    <row r="13690" spans="4:4" x14ac:dyDescent="0.25">
      <c r="D13690"/>
    </row>
    <row r="13691" spans="4:4" x14ac:dyDescent="0.25">
      <c r="D13691"/>
    </row>
    <row r="13692" spans="4:4" x14ac:dyDescent="0.25">
      <c r="D13692"/>
    </row>
    <row r="13693" spans="4:4" x14ac:dyDescent="0.25">
      <c r="D13693"/>
    </row>
    <row r="13694" spans="4:4" x14ac:dyDescent="0.25">
      <c r="D13694"/>
    </row>
    <row r="13695" spans="4:4" x14ac:dyDescent="0.25">
      <c r="D13695"/>
    </row>
    <row r="13696" spans="4:4" x14ac:dyDescent="0.25">
      <c r="D13696"/>
    </row>
    <row r="13697" spans="4:4" x14ac:dyDescent="0.25">
      <c r="D13697"/>
    </row>
    <row r="13698" spans="4:4" x14ac:dyDescent="0.25">
      <c r="D13698"/>
    </row>
    <row r="13699" spans="4:4" x14ac:dyDescent="0.25">
      <c r="D13699"/>
    </row>
    <row r="13700" spans="4:4" x14ac:dyDescent="0.25">
      <c r="D13700"/>
    </row>
    <row r="13701" spans="4:4" x14ac:dyDescent="0.25">
      <c r="D13701"/>
    </row>
    <row r="13702" spans="4:4" x14ac:dyDescent="0.25">
      <c r="D13702"/>
    </row>
    <row r="13703" spans="4:4" x14ac:dyDescent="0.25">
      <c r="D13703"/>
    </row>
    <row r="13704" spans="4:4" x14ac:dyDescent="0.25">
      <c r="D13704"/>
    </row>
    <row r="13705" spans="4:4" x14ac:dyDescent="0.25">
      <c r="D13705"/>
    </row>
    <row r="13706" spans="4:4" x14ac:dyDescent="0.25">
      <c r="D13706"/>
    </row>
    <row r="13707" spans="4:4" x14ac:dyDescent="0.25">
      <c r="D13707"/>
    </row>
    <row r="13708" spans="4:4" x14ac:dyDescent="0.25">
      <c r="D13708"/>
    </row>
    <row r="13709" spans="4:4" x14ac:dyDescent="0.25">
      <c r="D13709"/>
    </row>
    <row r="13710" spans="4:4" x14ac:dyDescent="0.25">
      <c r="D13710"/>
    </row>
    <row r="13711" spans="4:4" x14ac:dyDescent="0.25">
      <c r="D13711"/>
    </row>
    <row r="13712" spans="4:4" x14ac:dyDescent="0.25">
      <c r="D13712"/>
    </row>
    <row r="13713" spans="4:4" x14ac:dyDescent="0.25">
      <c r="D13713"/>
    </row>
    <row r="13714" spans="4:4" x14ac:dyDescent="0.25">
      <c r="D13714"/>
    </row>
    <row r="13715" spans="4:4" x14ac:dyDescent="0.25">
      <c r="D13715"/>
    </row>
    <row r="13716" spans="4:4" x14ac:dyDescent="0.25">
      <c r="D13716"/>
    </row>
    <row r="13717" spans="4:4" x14ac:dyDescent="0.25">
      <c r="D13717"/>
    </row>
    <row r="13718" spans="4:4" x14ac:dyDescent="0.25">
      <c r="D13718"/>
    </row>
    <row r="13719" spans="4:4" x14ac:dyDescent="0.25">
      <c r="D13719"/>
    </row>
    <row r="13720" spans="4:4" x14ac:dyDescent="0.25">
      <c r="D13720"/>
    </row>
    <row r="13721" spans="4:4" x14ac:dyDescent="0.25">
      <c r="D13721"/>
    </row>
    <row r="13722" spans="4:4" x14ac:dyDescent="0.25">
      <c r="D13722"/>
    </row>
    <row r="13723" spans="4:4" x14ac:dyDescent="0.25">
      <c r="D13723"/>
    </row>
    <row r="13724" spans="4:4" x14ac:dyDescent="0.25">
      <c r="D13724"/>
    </row>
    <row r="13725" spans="4:4" x14ac:dyDescent="0.25">
      <c r="D13725"/>
    </row>
    <row r="13726" spans="4:4" x14ac:dyDescent="0.25">
      <c r="D13726"/>
    </row>
    <row r="13727" spans="4:4" x14ac:dyDescent="0.25">
      <c r="D13727"/>
    </row>
    <row r="13728" spans="4:4" x14ac:dyDescent="0.25">
      <c r="D13728"/>
    </row>
    <row r="13729" spans="4:4" x14ac:dyDescent="0.25">
      <c r="D13729"/>
    </row>
    <row r="13730" spans="4:4" x14ac:dyDescent="0.25">
      <c r="D13730"/>
    </row>
    <row r="13731" spans="4:4" x14ac:dyDescent="0.25">
      <c r="D13731"/>
    </row>
    <row r="13732" spans="4:4" x14ac:dyDescent="0.25">
      <c r="D13732"/>
    </row>
    <row r="13733" spans="4:4" x14ac:dyDescent="0.25">
      <c r="D13733"/>
    </row>
    <row r="13734" spans="4:4" x14ac:dyDescent="0.25">
      <c r="D13734"/>
    </row>
    <row r="13735" spans="4:4" x14ac:dyDescent="0.25">
      <c r="D13735"/>
    </row>
    <row r="13736" spans="4:4" x14ac:dyDescent="0.25">
      <c r="D13736"/>
    </row>
    <row r="13737" spans="4:4" x14ac:dyDescent="0.25">
      <c r="D13737"/>
    </row>
    <row r="13738" spans="4:4" x14ac:dyDescent="0.25">
      <c r="D13738"/>
    </row>
    <row r="13739" spans="4:4" x14ac:dyDescent="0.25">
      <c r="D13739"/>
    </row>
    <row r="13740" spans="4:4" x14ac:dyDescent="0.25">
      <c r="D13740"/>
    </row>
    <row r="13741" spans="4:4" x14ac:dyDescent="0.25">
      <c r="D13741"/>
    </row>
    <row r="13742" spans="4:4" x14ac:dyDescent="0.25">
      <c r="D13742"/>
    </row>
    <row r="13743" spans="4:4" x14ac:dyDescent="0.25">
      <c r="D13743"/>
    </row>
    <row r="13744" spans="4:4" x14ac:dyDescent="0.25">
      <c r="D13744"/>
    </row>
    <row r="13745" spans="4:4" x14ac:dyDescent="0.25">
      <c r="D13745"/>
    </row>
    <row r="13746" spans="4:4" x14ac:dyDescent="0.25">
      <c r="D13746"/>
    </row>
    <row r="13747" spans="4:4" x14ac:dyDescent="0.25">
      <c r="D13747"/>
    </row>
    <row r="13748" spans="4:4" x14ac:dyDescent="0.25">
      <c r="D13748"/>
    </row>
    <row r="13749" spans="4:4" x14ac:dyDescent="0.25">
      <c r="D13749"/>
    </row>
    <row r="13750" spans="4:4" x14ac:dyDescent="0.25">
      <c r="D13750"/>
    </row>
    <row r="13751" spans="4:4" x14ac:dyDescent="0.25">
      <c r="D13751"/>
    </row>
    <row r="13752" spans="4:4" x14ac:dyDescent="0.25">
      <c r="D13752"/>
    </row>
    <row r="13753" spans="4:4" x14ac:dyDescent="0.25">
      <c r="D13753"/>
    </row>
    <row r="13754" spans="4:4" x14ac:dyDescent="0.25">
      <c r="D13754"/>
    </row>
    <row r="13755" spans="4:4" x14ac:dyDescent="0.25">
      <c r="D13755"/>
    </row>
    <row r="13756" spans="4:4" x14ac:dyDescent="0.25">
      <c r="D13756"/>
    </row>
    <row r="13757" spans="4:4" x14ac:dyDescent="0.25">
      <c r="D13757"/>
    </row>
    <row r="13758" spans="4:4" x14ac:dyDescent="0.25">
      <c r="D13758"/>
    </row>
    <row r="13759" spans="4:4" x14ac:dyDescent="0.25">
      <c r="D13759"/>
    </row>
    <row r="13760" spans="4:4" x14ac:dyDescent="0.25">
      <c r="D13760"/>
    </row>
    <row r="13761" spans="4:4" x14ac:dyDescent="0.25">
      <c r="D13761"/>
    </row>
    <row r="13762" spans="4:4" x14ac:dyDescent="0.25">
      <c r="D13762"/>
    </row>
    <row r="13763" spans="4:4" x14ac:dyDescent="0.25">
      <c r="D13763"/>
    </row>
    <row r="13764" spans="4:4" x14ac:dyDescent="0.25">
      <c r="D13764"/>
    </row>
    <row r="13765" spans="4:4" x14ac:dyDescent="0.25">
      <c r="D13765"/>
    </row>
    <row r="13766" spans="4:4" x14ac:dyDescent="0.25">
      <c r="D13766"/>
    </row>
    <row r="13767" spans="4:4" x14ac:dyDescent="0.25">
      <c r="D13767"/>
    </row>
    <row r="13768" spans="4:4" x14ac:dyDescent="0.25">
      <c r="D13768"/>
    </row>
    <row r="13769" spans="4:4" x14ac:dyDescent="0.25">
      <c r="D13769"/>
    </row>
    <row r="13770" spans="4:4" x14ac:dyDescent="0.25">
      <c r="D13770"/>
    </row>
    <row r="13771" spans="4:4" x14ac:dyDescent="0.25">
      <c r="D13771"/>
    </row>
    <row r="13772" spans="4:4" x14ac:dyDescent="0.25">
      <c r="D13772"/>
    </row>
    <row r="13773" spans="4:4" x14ac:dyDescent="0.25">
      <c r="D13773"/>
    </row>
    <row r="13774" spans="4:4" x14ac:dyDescent="0.25">
      <c r="D13774"/>
    </row>
    <row r="13775" spans="4:4" x14ac:dyDescent="0.25">
      <c r="D13775"/>
    </row>
    <row r="13776" spans="4:4" x14ac:dyDescent="0.25">
      <c r="D13776"/>
    </row>
    <row r="13777" spans="4:4" x14ac:dyDescent="0.25">
      <c r="D13777"/>
    </row>
    <row r="13778" spans="4:4" x14ac:dyDescent="0.25">
      <c r="D13778"/>
    </row>
    <row r="13779" spans="4:4" x14ac:dyDescent="0.25">
      <c r="D13779"/>
    </row>
    <row r="13780" spans="4:4" x14ac:dyDescent="0.25">
      <c r="D13780"/>
    </row>
    <row r="13781" spans="4:4" x14ac:dyDescent="0.25">
      <c r="D13781"/>
    </row>
    <row r="13782" spans="4:4" x14ac:dyDescent="0.25">
      <c r="D13782"/>
    </row>
    <row r="13783" spans="4:4" x14ac:dyDescent="0.25">
      <c r="D13783"/>
    </row>
    <row r="13784" spans="4:4" x14ac:dyDescent="0.25">
      <c r="D13784"/>
    </row>
    <row r="13785" spans="4:4" x14ac:dyDescent="0.25">
      <c r="D13785"/>
    </row>
    <row r="13786" spans="4:4" x14ac:dyDescent="0.25">
      <c r="D13786"/>
    </row>
    <row r="13787" spans="4:4" x14ac:dyDescent="0.25">
      <c r="D13787"/>
    </row>
    <row r="13788" spans="4:4" x14ac:dyDescent="0.25">
      <c r="D13788"/>
    </row>
    <row r="13789" spans="4:4" x14ac:dyDescent="0.25">
      <c r="D13789"/>
    </row>
    <row r="13790" spans="4:4" x14ac:dyDescent="0.25">
      <c r="D13790"/>
    </row>
    <row r="13791" spans="4:4" x14ac:dyDescent="0.25">
      <c r="D13791"/>
    </row>
    <row r="13792" spans="4:4" x14ac:dyDescent="0.25">
      <c r="D13792"/>
    </row>
    <row r="13793" spans="4:4" x14ac:dyDescent="0.25">
      <c r="D13793"/>
    </row>
    <row r="13794" spans="4:4" x14ac:dyDescent="0.25">
      <c r="D13794"/>
    </row>
    <row r="13795" spans="4:4" x14ac:dyDescent="0.25">
      <c r="D13795"/>
    </row>
    <row r="13796" spans="4:4" x14ac:dyDescent="0.25">
      <c r="D13796"/>
    </row>
    <row r="13797" spans="4:4" x14ac:dyDescent="0.25">
      <c r="D13797"/>
    </row>
    <row r="13798" spans="4:4" x14ac:dyDescent="0.25">
      <c r="D13798"/>
    </row>
    <row r="13799" spans="4:4" x14ac:dyDescent="0.25">
      <c r="D13799"/>
    </row>
    <row r="13800" spans="4:4" x14ac:dyDescent="0.25">
      <c r="D13800"/>
    </row>
    <row r="13801" spans="4:4" x14ac:dyDescent="0.25">
      <c r="D13801"/>
    </row>
    <row r="13802" spans="4:4" x14ac:dyDescent="0.25">
      <c r="D13802"/>
    </row>
    <row r="13803" spans="4:4" x14ac:dyDescent="0.25">
      <c r="D13803"/>
    </row>
    <row r="13804" spans="4:4" x14ac:dyDescent="0.25">
      <c r="D13804"/>
    </row>
    <row r="13805" spans="4:4" x14ac:dyDescent="0.25">
      <c r="D13805"/>
    </row>
    <row r="13806" spans="4:4" x14ac:dyDescent="0.25">
      <c r="D13806"/>
    </row>
    <row r="13807" spans="4:4" x14ac:dyDescent="0.25">
      <c r="D13807"/>
    </row>
    <row r="13808" spans="4:4" x14ac:dyDescent="0.25">
      <c r="D13808"/>
    </row>
    <row r="13809" spans="4:4" x14ac:dyDescent="0.25">
      <c r="D13809"/>
    </row>
    <row r="13810" spans="4:4" x14ac:dyDescent="0.25">
      <c r="D13810"/>
    </row>
    <row r="13811" spans="4:4" x14ac:dyDescent="0.25">
      <c r="D13811"/>
    </row>
    <row r="13812" spans="4:4" x14ac:dyDescent="0.25">
      <c r="D13812"/>
    </row>
    <row r="13813" spans="4:4" x14ac:dyDescent="0.25">
      <c r="D13813"/>
    </row>
    <row r="13814" spans="4:4" x14ac:dyDescent="0.25">
      <c r="D13814"/>
    </row>
    <row r="13815" spans="4:4" x14ac:dyDescent="0.25">
      <c r="D13815"/>
    </row>
    <row r="13816" spans="4:4" x14ac:dyDescent="0.25">
      <c r="D13816"/>
    </row>
    <row r="13817" spans="4:4" x14ac:dyDescent="0.25">
      <c r="D13817"/>
    </row>
    <row r="13818" spans="4:4" x14ac:dyDescent="0.25">
      <c r="D13818"/>
    </row>
    <row r="13819" spans="4:4" x14ac:dyDescent="0.25">
      <c r="D13819"/>
    </row>
    <row r="13820" spans="4:4" x14ac:dyDescent="0.25">
      <c r="D13820"/>
    </row>
    <row r="13821" spans="4:4" x14ac:dyDescent="0.25">
      <c r="D13821"/>
    </row>
    <row r="13822" spans="4:4" x14ac:dyDescent="0.25">
      <c r="D13822"/>
    </row>
    <row r="13823" spans="4:4" x14ac:dyDescent="0.25">
      <c r="D13823"/>
    </row>
    <row r="13824" spans="4:4" x14ac:dyDescent="0.25">
      <c r="D13824"/>
    </row>
    <row r="13825" spans="4:4" x14ac:dyDescent="0.25">
      <c r="D13825"/>
    </row>
    <row r="13826" spans="4:4" x14ac:dyDescent="0.25">
      <c r="D13826"/>
    </row>
    <row r="13827" spans="4:4" x14ac:dyDescent="0.25">
      <c r="D13827"/>
    </row>
    <row r="13828" spans="4:4" x14ac:dyDescent="0.25">
      <c r="D13828"/>
    </row>
    <row r="13829" spans="4:4" x14ac:dyDescent="0.25">
      <c r="D13829"/>
    </row>
    <row r="13830" spans="4:4" x14ac:dyDescent="0.25">
      <c r="D13830"/>
    </row>
    <row r="13831" spans="4:4" x14ac:dyDescent="0.25">
      <c r="D13831"/>
    </row>
    <row r="13832" spans="4:4" x14ac:dyDescent="0.25">
      <c r="D13832"/>
    </row>
    <row r="13833" spans="4:4" x14ac:dyDescent="0.25">
      <c r="D13833"/>
    </row>
    <row r="13834" spans="4:4" x14ac:dyDescent="0.25">
      <c r="D13834"/>
    </row>
    <row r="13835" spans="4:4" x14ac:dyDescent="0.25">
      <c r="D13835"/>
    </row>
    <row r="13836" spans="4:4" x14ac:dyDescent="0.25">
      <c r="D13836"/>
    </row>
    <row r="13837" spans="4:4" x14ac:dyDescent="0.25">
      <c r="D13837"/>
    </row>
    <row r="13838" spans="4:4" x14ac:dyDescent="0.25">
      <c r="D13838"/>
    </row>
    <row r="13839" spans="4:4" x14ac:dyDescent="0.25">
      <c r="D13839"/>
    </row>
    <row r="13840" spans="4:4" x14ac:dyDescent="0.25">
      <c r="D13840"/>
    </row>
    <row r="13841" spans="4:4" x14ac:dyDescent="0.25">
      <c r="D13841"/>
    </row>
    <row r="13842" spans="4:4" x14ac:dyDescent="0.25">
      <c r="D13842"/>
    </row>
    <row r="13843" spans="4:4" x14ac:dyDescent="0.25">
      <c r="D13843"/>
    </row>
    <row r="13844" spans="4:4" x14ac:dyDescent="0.25">
      <c r="D13844"/>
    </row>
    <row r="13845" spans="4:4" x14ac:dyDescent="0.25">
      <c r="D13845"/>
    </row>
    <row r="13846" spans="4:4" x14ac:dyDescent="0.25">
      <c r="D13846"/>
    </row>
    <row r="13847" spans="4:4" x14ac:dyDescent="0.25">
      <c r="D13847"/>
    </row>
    <row r="13848" spans="4:4" x14ac:dyDescent="0.25">
      <c r="D13848"/>
    </row>
    <row r="13849" spans="4:4" x14ac:dyDescent="0.25">
      <c r="D13849"/>
    </row>
    <row r="13850" spans="4:4" x14ac:dyDescent="0.25">
      <c r="D13850"/>
    </row>
    <row r="13851" spans="4:4" x14ac:dyDescent="0.25">
      <c r="D13851"/>
    </row>
    <row r="13852" spans="4:4" x14ac:dyDescent="0.25">
      <c r="D13852"/>
    </row>
    <row r="13853" spans="4:4" x14ac:dyDescent="0.25">
      <c r="D13853"/>
    </row>
    <row r="13854" spans="4:4" x14ac:dyDescent="0.25">
      <c r="D13854"/>
    </row>
    <row r="13855" spans="4:4" x14ac:dyDescent="0.25">
      <c r="D13855"/>
    </row>
    <row r="13856" spans="4:4" x14ac:dyDescent="0.25">
      <c r="D13856"/>
    </row>
    <row r="13857" spans="4:4" x14ac:dyDescent="0.25">
      <c r="D13857"/>
    </row>
    <row r="13858" spans="4:4" x14ac:dyDescent="0.25">
      <c r="D13858"/>
    </row>
    <row r="13859" spans="4:4" x14ac:dyDescent="0.25">
      <c r="D13859"/>
    </row>
    <row r="13860" spans="4:4" x14ac:dyDescent="0.25">
      <c r="D13860"/>
    </row>
    <row r="13861" spans="4:4" x14ac:dyDescent="0.25">
      <c r="D13861"/>
    </row>
    <row r="13862" spans="4:4" x14ac:dyDescent="0.25">
      <c r="D13862"/>
    </row>
    <row r="13863" spans="4:4" x14ac:dyDescent="0.25">
      <c r="D13863"/>
    </row>
    <row r="13864" spans="4:4" x14ac:dyDescent="0.25">
      <c r="D13864"/>
    </row>
    <row r="13865" spans="4:4" x14ac:dyDescent="0.25">
      <c r="D13865"/>
    </row>
    <row r="13866" spans="4:4" x14ac:dyDescent="0.25">
      <c r="D13866"/>
    </row>
    <row r="13867" spans="4:4" x14ac:dyDescent="0.25">
      <c r="D13867"/>
    </row>
    <row r="13868" spans="4:4" x14ac:dyDescent="0.25">
      <c r="D13868"/>
    </row>
    <row r="13869" spans="4:4" x14ac:dyDescent="0.25">
      <c r="D13869"/>
    </row>
    <row r="13870" spans="4:4" x14ac:dyDescent="0.25">
      <c r="D13870"/>
    </row>
    <row r="13871" spans="4:4" x14ac:dyDescent="0.25">
      <c r="D13871"/>
    </row>
    <row r="13872" spans="4:4" x14ac:dyDescent="0.25">
      <c r="D13872"/>
    </row>
    <row r="13873" spans="4:4" x14ac:dyDescent="0.25">
      <c r="D13873"/>
    </row>
    <row r="13874" spans="4:4" x14ac:dyDescent="0.25">
      <c r="D13874"/>
    </row>
    <row r="13875" spans="4:4" x14ac:dyDescent="0.25">
      <c r="D13875"/>
    </row>
    <row r="13876" spans="4:4" x14ac:dyDescent="0.25">
      <c r="D13876"/>
    </row>
    <row r="13877" spans="4:4" x14ac:dyDescent="0.25">
      <c r="D13877"/>
    </row>
    <row r="13878" spans="4:4" x14ac:dyDescent="0.25">
      <c r="D13878"/>
    </row>
    <row r="13879" spans="4:4" x14ac:dyDescent="0.25">
      <c r="D13879"/>
    </row>
    <row r="13880" spans="4:4" x14ac:dyDescent="0.25">
      <c r="D13880"/>
    </row>
    <row r="13881" spans="4:4" x14ac:dyDescent="0.25">
      <c r="D13881"/>
    </row>
    <row r="13882" spans="4:4" x14ac:dyDescent="0.25">
      <c r="D13882"/>
    </row>
    <row r="13883" spans="4:4" x14ac:dyDescent="0.25">
      <c r="D13883"/>
    </row>
    <row r="13884" spans="4:4" x14ac:dyDescent="0.25">
      <c r="D13884"/>
    </row>
    <row r="13885" spans="4:4" x14ac:dyDescent="0.25">
      <c r="D13885"/>
    </row>
    <row r="13886" spans="4:4" x14ac:dyDescent="0.25">
      <c r="D13886"/>
    </row>
    <row r="13887" spans="4:4" x14ac:dyDescent="0.25">
      <c r="D13887"/>
    </row>
    <row r="13888" spans="4:4" x14ac:dyDescent="0.25">
      <c r="D13888"/>
    </row>
    <row r="13889" spans="4:4" x14ac:dyDescent="0.25">
      <c r="D13889"/>
    </row>
    <row r="13890" spans="4:4" x14ac:dyDescent="0.25">
      <c r="D13890"/>
    </row>
    <row r="13891" spans="4:4" x14ac:dyDescent="0.25">
      <c r="D13891"/>
    </row>
    <row r="13892" spans="4:4" x14ac:dyDescent="0.25">
      <c r="D13892"/>
    </row>
    <row r="13893" spans="4:4" x14ac:dyDescent="0.25">
      <c r="D13893"/>
    </row>
    <row r="13894" spans="4:4" x14ac:dyDescent="0.25">
      <c r="D13894"/>
    </row>
    <row r="13895" spans="4:4" x14ac:dyDescent="0.25">
      <c r="D13895"/>
    </row>
    <row r="13896" spans="4:4" x14ac:dyDescent="0.25">
      <c r="D13896"/>
    </row>
    <row r="13897" spans="4:4" x14ac:dyDescent="0.25">
      <c r="D13897"/>
    </row>
    <row r="13898" spans="4:4" x14ac:dyDescent="0.25">
      <c r="D13898"/>
    </row>
    <row r="13899" spans="4:4" x14ac:dyDescent="0.25">
      <c r="D13899"/>
    </row>
    <row r="13900" spans="4:4" x14ac:dyDescent="0.25">
      <c r="D13900"/>
    </row>
    <row r="13901" spans="4:4" x14ac:dyDescent="0.25">
      <c r="D13901"/>
    </row>
    <row r="13902" spans="4:4" x14ac:dyDescent="0.25">
      <c r="D13902"/>
    </row>
    <row r="13903" spans="4:4" x14ac:dyDescent="0.25">
      <c r="D13903"/>
    </row>
    <row r="13904" spans="4:4" x14ac:dyDescent="0.25">
      <c r="D13904"/>
    </row>
    <row r="13905" spans="4:4" x14ac:dyDescent="0.25">
      <c r="D13905"/>
    </row>
    <row r="13906" spans="4:4" x14ac:dyDescent="0.25">
      <c r="D13906"/>
    </row>
    <row r="13907" spans="4:4" x14ac:dyDescent="0.25">
      <c r="D13907"/>
    </row>
    <row r="13908" spans="4:4" x14ac:dyDescent="0.25">
      <c r="D13908"/>
    </row>
    <row r="13909" spans="4:4" x14ac:dyDescent="0.25">
      <c r="D13909"/>
    </row>
    <row r="13910" spans="4:4" x14ac:dyDescent="0.25">
      <c r="D13910"/>
    </row>
    <row r="13911" spans="4:4" x14ac:dyDescent="0.25">
      <c r="D13911"/>
    </row>
    <row r="13912" spans="4:4" x14ac:dyDescent="0.25">
      <c r="D13912"/>
    </row>
    <row r="13913" spans="4:4" x14ac:dyDescent="0.25">
      <c r="D13913"/>
    </row>
    <row r="13914" spans="4:4" x14ac:dyDescent="0.25">
      <c r="D13914"/>
    </row>
    <row r="13915" spans="4:4" x14ac:dyDescent="0.25">
      <c r="D13915"/>
    </row>
    <row r="13916" spans="4:4" x14ac:dyDescent="0.25">
      <c r="D13916"/>
    </row>
    <row r="13917" spans="4:4" x14ac:dyDescent="0.25">
      <c r="D13917"/>
    </row>
    <row r="13918" spans="4:4" x14ac:dyDescent="0.25">
      <c r="D13918"/>
    </row>
    <row r="13919" spans="4:4" x14ac:dyDescent="0.25">
      <c r="D13919"/>
    </row>
    <row r="13920" spans="4:4" x14ac:dyDescent="0.25">
      <c r="D13920"/>
    </row>
    <row r="13921" spans="4:4" x14ac:dyDescent="0.25">
      <c r="D13921"/>
    </row>
    <row r="13922" spans="4:4" x14ac:dyDescent="0.25">
      <c r="D13922"/>
    </row>
    <row r="13923" spans="4:4" x14ac:dyDescent="0.25">
      <c r="D13923"/>
    </row>
    <row r="13924" spans="4:4" x14ac:dyDescent="0.25">
      <c r="D13924"/>
    </row>
    <row r="13925" spans="4:4" x14ac:dyDescent="0.25">
      <c r="D13925"/>
    </row>
    <row r="13926" spans="4:4" x14ac:dyDescent="0.25">
      <c r="D13926"/>
    </row>
    <row r="13927" spans="4:4" x14ac:dyDescent="0.25">
      <c r="D13927"/>
    </row>
    <row r="13928" spans="4:4" x14ac:dyDescent="0.25">
      <c r="D13928"/>
    </row>
    <row r="13929" spans="4:4" x14ac:dyDescent="0.25">
      <c r="D13929"/>
    </row>
    <row r="13930" spans="4:4" x14ac:dyDescent="0.25">
      <c r="D13930"/>
    </row>
    <row r="13931" spans="4:4" x14ac:dyDescent="0.25">
      <c r="D13931"/>
    </row>
    <row r="13932" spans="4:4" x14ac:dyDescent="0.25">
      <c r="D13932"/>
    </row>
    <row r="13933" spans="4:4" x14ac:dyDescent="0.25">
      <c r="D13933"/>
    </row>
    <row r="13934" spans="4:4" x14ac:dyDescent="0.25">
      <c r="D13934"/>
    </row>
    <row r="13935" spans="4:4" x14ac:dyDescent="0.25">
      <c r="D13935"/>
    </row>
    <row r="13936" spans="4:4" x14ac:dyDescent="0.25">
      <c r="D13936"/>
    </row>
    <row r="13937" spans="4:4" x14ac:dyDescent="0.25">
      <c r="D13937"/>
    </row>
    <row r="13938" spans="4:4" x14ac:dyDescent="0.25">
      <c r="D13938"/>
    </row>
    <row r="13939" spans="4:4" x14ac:dyDescent="0.25">
      <c r="D13939"/>
    </row>
    <row r="13940" spans="4:4" x14ac:dyDescent="0.25">
      <c r="D13940"/>
    </row>
    <row r="13941" spans="4:4" x14ac:dyDescent="0.25">
      <c r="D13941"/>
    </row>
    <row r="13942" spans="4:4" x14ac:dyDescent="0.25">
      <c r="D13942"/>
    </row>
    <row r="13943" spans="4:4" x14ac:dyDescent="0.25">
      <c r="D13943"/>
    </row>
    <row r="13944" spans="4:4" x14ac:dyDescent="0.25">
      <c r="D13944"/>
    </row>
    <row r="13945" spans="4:4" x14ac:dyDescent="0.25">
      <c r="D13945"/>
    </row>
    <row r="13946" spans="4:4" x14ac:dyDescent="0.25">
      <c r="D13946"/>
    </row>
    <row r="13947" spans="4:4" x14ac:dyDescent="0.25">
      <c r="D13947"/>
    </row>
    <row r="13948" spans="4:4" x14ac:dyDescent="0.25">
      <c r="D13948"/>
    </row>
    <row r="13949" spans="4:4" x14ac:dyDescent="0.25">
      <c r="D13949"/>
    </row>
    <row r="13950" spans="4:4" x14ac:dyDescent="0.25">
      <c r="D13950"/>
    </row>
    <row r="13951" spans="4:4" x14ac:dyDescent="0.25">
      <c r="D13951"/>
    </row>
    <row r="13952" spans="4:4" x14ac:dyDescent="0.25">
      <c r="D13952"/>
    </row>
    <row r="13953" spans="4:4" x14ac:dyDescent="0.25">
      <c r="D13953"/>
    </row>
    <row r="13954" spans="4:4" x14ac:dyDescent="0.25">
      <c r="D13954"/>
    </row>
    <row r="13955" spans="4:4" x14ac:dyDescent="0.25">
      <c r="D13955"/>
    </row>
    <row r="13956" spans="4:4" x14ac:dyDescent="0.25">
      <c r="D13956"/>
    </row>
    <row r="13957" spans="4:4" x14ac:dyDescent="0.25">
      <c r="D13957"/>
    </row>
    <row r="13958" spans="4:4" x14ac:dyDescent="0.25">
      <c r="D13958"/>
    </row>
    <row r="13959" spans="4:4" x14ac:dyDescent="0.25">
      <c r="D13959"/>
    </row>
    <row r="13960" spans="4:4" x14ac:dyDescent="0.25">
      <c r="D13960"/>
    </row>
    <row r="13961" spans="4:4" x14ac:dyDescent="0.25">
      <c r="D13961"/>
    </row>
    <row r="13962" spans="4:4" x14ac:dyDescent="0.25">
      <c r="D13962"/>
    </row>
    <row r="13963" spans="4:4" x14ac:dyDescent="0.25">
      <c r="D13963"/>
    </row>
    <row r="13964" spans="4:4" x14ac:dyDescent="0.25">
      <c r="D13964"/>
    </row>
    <row r="13965" spans="4:4" x14ac:dyDescent="0.25">
      <c r="D13965"/>
    </row>
    <row r="13966" spans="4:4" x14ac:dyDescent="0.25">
      <c r="D13966"/>
    </row>
    <row r="13967" spans="4:4" x14ac:dyDescent="0.25">
      <c r="D13967"/>
    </row>
    <row r="13968" spans="4:4" x14ac:dyDescent="0.25">
      <c r="D13968"/>
    </row>
    <row r="13969" spans="4:4" x14ac:dyDescent="0.25">
      <c r="D13969"/>
    </row>
    <row r="13970" spans="4:4" x14ac:dyDescent="0.25">
      <c r="D13970"/>
    </row>
    <row r="13971" spans="4:4" x14ac:dyDescent="0.25">
      <c r="D13971"/>
    </row>
    <row r="13972" spans="4:4" x14ac:dyDescent="0.25">
      <c r="D13972"/>
    </row>
    <row r="13973" spans="4:4" x14ac:dyDescent="0.25">
      <c r="D13973"/>
    </row>
    <row r="13974" spans="4:4" x14ac:dyDescent="0.25">
      <c r="D13974"/>
    </row>
    <row r="13975" spans="4:4" x14ac:dyDescent="0.25">
      <c r="D13975"/>
    </row>
    <row r="13976" spans="4:4" x14ac:dyDescent="0.25">
      <c r="D13976"/>
    </row>
    <row r="13977" spans="4:4" x14ac:dyDescent="0.25">
      <c r="D13977"/>
    </row>
    <row r="13978" spans="4:4" x14ac:dyDescent="0.25">
      <c r="D13978"/>
    </row>
    <row r="13979" spans="4:4" x14ac:dyDescent="0.25">
      <c r="D13979"/>
    </row>
    <row r="13980" spans="4:4" x14ac:dyDescent="0.25">
      <c r="D13980"/>
    </row>
    <row r="13981" spans="4:4" x14ac:dyDescent="0.25">
      <c r="D13981"/>
    </row>
    <row r="13982" spans="4:4" x14ac:dyDescent="0.25">
      <c r="D13982"/>
    </row>
    <row r="13983" spans="4:4" x14ac:dyDescent="0.25">
      <c r="D13983"/>
    </row>
    <row r="13984" spans="4:4" x14ac:dyDescent="0.25">
      <c r="D13984"/>
    </row>
    <row r="13985" spans="4:4" x14ac:dyDescent="0.25">
      <c r="D13985"/>
    </row>
    <row r="13986" spans="4:4" x14ac:dyDescent="0.25">
      <c r="D13986"/>
    </row>
    <row r="13987" spans="4:4" x14ac:dyDescent="0.25">
      <c r="D13987"/>
    </row>
    <row r="13988" spans="4:4" x14ac:dyDescent="0.25">
      <c r="D13988"/>
    </row>
    <row r="13989" spans="4:4" x14ac:dyDescent="0.25">
      <c r="D13989"/>
    </row>
    <row r="13990" spans="4:4" x14ac:dyDescent="0.25">
      <c r="D13990"/>
    </row>
    <row r="13991" spans="4:4" x14ac:dyDescent="0.25">
      <c r="D13991"/>
    </row>
    <row r="13992" spans="4:4" x14ac:dyDescent="0.25">
      <c r="D13992"/>
    </row>
    <row r="13993" spans="4:4" x14ac:dyDescent="0.25">
      <c r="D13993"/>
    </row>
    <row r="13994" spans="4:4" x14ac:dyDescent="0.25">
      <c r="D13994"/>
    </row>
    <row r="13995" spans="4:4" x14ac:dyDescent="0.25">
      <c r="D13995"/>
    </row>
    <row r="13996" spans="4:4" x14ac:dyDescent="0.25">
      <c r="D13996"/>
    </row>
    <row r="13997" spans="4:4" x14ac:dyDescent="0.25">
      <c r="D13997"/>
    </row>
    <row r="13998" spans="4:4" x14ac:dyDescent="0.25">
      <c r="D13998"/>
    </row>
    <row r="13999" spans="4:4" x14ac:dyDescent="0.25">
      <c r="D13999"/>
    </row>
    <row r="14000" spans="4:4" x14ac:dyDescent="0.25">
      <c r="D14000"/>
    </row>
    <row r="14001" spans="4:4" x14ac:dyDescent="0.25">
      <c r="D14001"/>
    </row>
    <row r="14002" spans="4:4" x14ac:dyDescent="0.25">
      <c r="D14002"/>
    </row>
    <row r="14003" spans="4:4" x14ac:dyDescent="0.25">
      <c r="D14003"/>
    </row>
    <row r="14004" spans="4:4" x14ac:dyDescent="0.25">
      <c r="D14004"/>
    </row>
    <row r="14005" spans="4:4" x14ac:dyDescent="0.25">
      <c r="D14005"/>
    </row>
    <row r="14006" spans="4:4" x14ac:dyDescent="0.25">
      <c r="D14006"/>
    </row>
    <row r="14007" spans="4:4" x14ac:dyDescent="0.25">
      <c r="D14007"/>
    </row>
    <row r="14008" spans="4:4" x14ac:dyDescent="0.25">
      <c r="D14008"/>
    </row>
    <row r="14009" spans="4:4" x14ac:dyDescent="0.25">
      <c r="D14009"/>
    </row>
    <row r="14010" spans="4:4" x14ac:dyDescent="0.25">
      <c r="D14010"/>
    </row>
    <row r="14011" spans="4:4" x14ac:dyDescent="0.25">
      <c r="D14011"/>
    </row>
    <row r="14012" spans="4:4" x14ac:dyDescent="0.25">
      <c r="D14012"/>
    </row>
    <row r="14013" spans="4:4" x14ac:dyDescent="0.25">
      <c r="D14013"/>
    </row>
    <row r="14014" spans="4:4" x14ac:dyDescent="0.25">
      <c r="D14014"/>
    </row>
    <row r="14015" spans="4:4" x14ac:dyDescent="0.25">
      <c r="D14015"/>
    </row>
    <row r="14016" spans="4:4" x14ac:dyDescent="0.25">
      <c r="D14016"/>
    </row>
    <row r="14017" spans="4:4" x14ac:dyDescent="0.25">
      <c r="D14017"/>
    </row>
    <row r="14018" spans="4:4" x14ac:dyDescent="0.25">
      <c r="D14018"/>
    </row>
    <row r="14019" spans="4:4" x14ac:dyDescent="0.25">
      <c r="D14019"/>
    </row>
    <row r="14020" spans="4:4" x14ac:dyDescent="0.25">
      <c r="D14020"/>
    </row>
    <row r="14021" spans="4:4" x14ac:dyDescent="0.25">
      <c r="D14021"/>
    </row>
    <row r="14022" spans="4:4" x14ac:dyDescent="0.25">
      <c r="D14022"/>
    </row>
    <row r="14023" spans="4:4" x14ac:dyDescent="0.25">
      <c r="D14023"/>
    </row>
    <row r="14024" spans="4:4" x14ac:dyDescent="0.25">
      <c r="D14024"/>
    </row>
    <row r="14025" spans="4:4" x14ac:dyDescent="0.25">
      <c r="D14025"/>
    </row>
    <row r="14026" spans="4:4" x14ac:dyDescent="0.25">
      <c r="D14026"/>
    </row>
    <row r="14027" spans="4:4" x14ac:dyDescent="0.25">
      <c r="D14027"/>
    </row>
    <row r="14028" spans="4:4" x14ac:dyDescent="0.25">
      <c r="D14028"/>
    </row>
    <row r="14029" spans="4:4" x14ac:dyDescent="0.25">
      <c r="D14029"/>
    </row>
    <row r="14030" spans="4:4" x14ac:dyDescent="0.25">
      <c r="D14030"/>
    </row>
    <row r="14031" spans="4:4" x14ac:dyDescent="0.25">
      <c r="D14031"/>
    </row>
    <row r="14032" spans="4:4" x14ac:dyDescent="0.25">
      <c r="D14032"/>
    </row>
    <row r="14033" spans="4:4" x14ac:dyDescent="0.25">
      <c r="D14033"/>
    </row>
    <row r="14034" spans="4:4" x14ac:dyDescent="0.25">
      <c r="D14034"/>
    </row>
    <row r="14035" spans="4:4" x14ac:dyDescent="0.25">
      <c r="D14035"/>
    </row>
    <row r="14036" spans="4:4" x14ac:dyDescent="0.25">
      <c r="D14036"/>
    </row>
    <row r="14037" spans="4:4" x14ac:dyDescent="0.25">
      <c r="D14037"/>
    </row>
    <row r="14038" spans="4:4" x14ac:dyDescent="0.25">
      <c r="D14038"/>
    </row>
    <row r="14039" spans="4:4" x14ac:dyDescent="0.25">
      <c r="D14039"/>
    </row>
    <row r="14040" spans="4:4" x14ac:dyDescent="0.25">
      <c r="D14040"/>
    </row>
    <row r="14041" spans="4:4" x14ac:dyDescent="0.25">
      <c r="D14041"/>
    </row>
    <row r="14042" spans="4:4" x14ac:dyDescent="0.25">
      <c r="D14042"/>
    </row>
    <row r="14043" spans="4:4" x14ac:dyDescent="0.25">
      <c r="D14043"/>
    </row>
    <row r="14044" spans="4:4" x14ac:dyDescent="0.25">
      <c r="D14044"/>
    </row>
    <row r="14045" spans="4:4" x14ac:dyDescent="0.25">
      <c r="D14045"/>
    </row>
    <row r="14046" spans="4:4" x14ac:dyDescent="0.25">
      <c r="D14046"/>
    </row>
    <row r="14047" spans="4:4" x14ac:dyDescent="0.25">
      <c r="D14047"/>
    </row>
    <row r="14048" spans="4:4" x14ac:dyDescent="0.25">
      <c r="D14048"/>
    </row>
    <row r="14049" spans="4:4" x14ac:dyDescent="0.25">
      <c r="D14049"/>
    </row>
    <row r="14050" spans="4:4" x14ac:dyDescent="0.25">
      <c r="D14050"/>
    </row>
    <row r="14051" spans="4:4" x14ac:dyDescent="0.25">
      <c r="D14051"/>
    </row>
    <row r="14052" spans="4:4" x14ac:dyDescent="0.25">
      <c r="D14052"/>
    </row>
    <row r="14053" spans="4:4" x14ac:dyDescent="0.25">
      <c r="D14053"/>
    </row>
    <row r="14054" spans="4:4" x14ac:dyDescent="0.25">
      <c r="D14054"/>
    </row>
    <row r="14055" spans="4:4" x14ac:dyDescent="0.25">
      <c r="D14055"/>
    </row>
    <row r="14056" spans="4:4" x14ac:dyDescent="0.25">
      <c r="D14056"/>
    </row>
    <row r="14057" spans="4:4" x14ac:dyDescent="0.25">
      <c r="D14057"/>
    </row>
    <row r="14058" spans="4:4" x14ac:dyDescent="0.25">
      <c r="D14058"/>
    </row>
    <row r="14059" spans="4:4" x14ac:dyDescent="0.25">
      <c r="D14059"/>
    </row>
    <row r="14060" spans="4:4" x14ac:dyDescent="0.25">
      <c r="D14060"/>
    </row>
    <row r="14061" spans="4:4" x14ac:dyDescent="0.25">
      <c r="D14061"/>
    </row>
    <row r="14062" spans="4:4" x14ac:dyDescent="0.25">
      <c r="D14062"/>
    </row>
    <row r="14063" spans="4:4" x14ac:dyDescent="0.25">
      <c r="D14063"/>
    </row>
    <row r="14064" spans="4:4" x14ac:dyDescent="0.25">
      <c r="D14064"/>
    </row>
    <row r="14065" spans="4:4" x14ac:dyDescent="0.25">
      <c r="D14065"/>
    </row>
    <row r="14066" spans="4:4" x14ac:dyDescent="0.25">
      <c r="D14066"/>
    </row>
    <row r="14067" spans="4:4" x14ac:dyDescent="0.25">
      <c r="D14067"/>
    </row>
    <row r="14068" spans="4:4" x14ac:dyDescent="0.25">
      <c r="D14068"/>
    </row>
    <row r="14069" spans="4:4" x14ac:dyDescent="0.25">
      <c r="D14069"/>
    </row>
    <row r="14070" spans="4:4" x14ac:dyDescent="0.25">
      <c r="D14070"/>
    </row>
    <row r="14071" spans="4:4" x14ac:dyDescent="0.25">
      <c r="D14071"/>
    </row>
    <row r="14072" spans="4:4" x14ac:dyDescent="0.25">
      <c r="D14072"/>
    </row>
    <row r="14073" spans="4:4" x14ac:dyDescent="0.25">
      <c r="D14073"/>
    </row>
    <row r="14074" spans="4:4" x14ac:dyDescent="0.25">
      <c r="D14074"/>
    </row>
    <row r="14075" spans="4:4" x14ac:dyDescent="0.25">
      <c r="D14075"/>
    </row>
    <row r="14076" spans="4:4" x14ac:dyDescent="0.25">
      <c r="D14076"/>
    </row>
    <row r="14077" spans="4:4" x14ac:dyDescent="0.25">
      <c r="D14077"/>
    </row>
    <row r="14078" spans="4:4" x14ac:dyDescent="0.25">
      <c r="D14078"/>
    </row>
    <row r="14079" spans="4:4" x14ac:dyDescent="0.25">
      <c r="D14079"/>
    </row>
    <row r="14080" spans="4:4" x14ac:dyDescent="0.25">
      <c r="D14080"/>
    </row>
    <row r="14081" spans="4:4" x14ac:dyDescent="0.25">
      <c r="D14081"/>
    </row>
    <row r="14082" spans="4:4" x14ac:dyDescent="0.25">
      <c r="D14082"/>
    </row>
    <row r="14083" spans="4:4" x14ac:dyDescent="0.25">
      <c r="D14083"/>
    </row>
    <row r="14084" spans="4:4" x14ac:dyDescent="0.25">
      <c r="D14084"/>
    </row>
    <row r="14085" spans="4:4" x14ac:dyDescent="0.25">
      <c r="D14085"/>
    </row>
    <row r="14086" spans="4:4" x14ac:dyDescent="0.25">
      <c r="D14086"/>
    </row>
    <row r="14087" spans="4:4" x14ac:dyDescent="0.25">
      <c r="D14087"/>
    </row>
    <row r="14088" spans="4:4" x14ac:dyDescent="0.25">
      <c r="D14088"/>
    </row>
    <row r="14089" spans="4:4" x14ac:dyDescent="0.25">
      <c r="D14089"/>
    </row>
    <row r="14090" spans="4:4" x14ac:dyDescent="0.25">
      <c r="D14090"/>
    </row>
    <row r="14091" spans="4:4" x14ac:dyDescent="0.25">
      <c r="D14091"/>
    </row>
    <row r="14092" spans="4:4" x14ac:dyDescent="0.25">
      <c r="D14092"/>
    </row>
    <row r="14093" spans="4:4" x14ac:dyDescent="0.25">
      <c r="D14093"/>
    </row>
    <row r="14094" spans="4:4" x14ac:dyDescent="0.25">
      <c r="D14094"/>
    </row>
    <row r="14095" spans="4:4" x14ac:dyDescent="0.25">
      <c r="D14095"/>
    </row>
    <row r="14096" spans="4:4" x14ac:dyDescent="0.25">
      <c r="D14096"/>
    </row>
    <row r="14097" spans="4:4" x14ac:dyDescent="0.25">
      <c r="D14097"/>
    </row>
    <row r="14098" spans="4:4" x14ac:dyDescent="0.25">
      <c r="D14098"/>
    </row>
    <row r="14099" spans="4:4" x14ac:dyDescent="0.25">
      <c r="D14099"/>
    </row>
    <row r="14100" spans="4:4" x14ac:dyDescent="0.25">
      <c r="D14100"/>
    </row>
    <row r="14101" spans="4:4" x14ac:dyDescent="0.25">
      <c r="D14101"/>
    </row>
    <row r="14102" spans="4:4" x14ac:dyDescent="0.25">
      <c r="D14102"/>
    </row>
    <row r="14103" spans="4:4" x14ac:dyDescent="0.25">
      <c r="D14103"/>
    </row>
    <row r="14104" spans="4:4" x14ac:dyDescent="0.25">
      <c r="D14104"/>
    </row>
    <row r="14105" spans="4:4" x14ac:dyDescent="0.25">
      <c r="D14105"/>
    </row>
    <row r="14106" spans="4:4" x14ac:dyDescent="0.25">
      <c r="D14106"/>
    </row>
    <row r="14107" spans="4:4" x14ac:dyDescent="0.25">
      <c r="D14107"/>
    </row>
    <row r="14108" spans="4:4" x14ac:dyDescent="0.25">
      <c r="D14108"/>
    </row>
    <row r="14109" spans="4:4" x14ac:dyDescent="0.25">
      <c r="D14109"/>
    </row>
    <row r="14110" spans="4:4" x14ac:dyDescent="0.25">
      <c r="D14110"/>
    </row>
    <row r="14111" spans="4:4" x14ac:dyDescent="0.25">
      <c r="D14111"/>
    </row>
    <row r="14112" spans="4:4" x14ac:dyDescent="0.25">
      <c r="D14112"/>
    </row>
    <row r="14113" spans="4:4" x14ac:dyDescent="0.25">
      <c r="D14113"/>
    </row>
    <row r="14114" spans="4:4" x14ac:dyDescent="0.25">
      <c r="D14114"/>
    </row>
    <row r="14115" spans="4:4" x14ac:dyDescent="0.25">
      <c r="D14115"/>
    </row>
    <row r="14116" spans="4:4" x14ac:dyDescent="0.25">
      <c r="D14116"/>
    </row>
    <row r="14117" spans="4:4" x14ac:dyDescent="0.25">
      <c r="D14117"/>
    </row>
    <row r="14118" spans="4:4" x14ac:dyDescent="0.25">
      <c r="D14118"/>
    </row>
    <row r="14119" spans="4:4" x14ac:dyDescent="0.25">
      <c r="D14119"/>
    </row>
    <row r="14120" spans="4:4" x14ac:dyDescent="0.25">
      <c r="D14120"/>
    </row>
    <row r="14121" spans="4:4" x14ac:dyDescent="0.25">
      <c r="D14121"/>
    </row>
    <row r="14122" spans="4:4" x14ac:dyDescent="0.25">
      <c r="D14122"/>
    </row>
    <row r="14123" spans="4:4" x14ac:dyDescent="0.25">
      <c r="D14123"/>
    </row>
    <row r="14124" spans="4:4" x14ac:dyDescent="0.25">
      <c r="D14124"/>
    </row>
    <row r="14125" spans="4:4" x14ac:dyDescent="0.25">
      <c r="D14125"/>
    </row>
    <row r="14126" spans="4:4" x14ac:dyDescent="0.25">
      <c r="D14126"/>
    </row>
    <row r="14127" spans="4:4" x14ac:dyDescent="0.25">
      <c r="D14127"/>
    </row>
    <row r="14128" spans="4:4" x14ac:dyDescent="0.25">
      <c r="D14128"/>
    </row>
    <row r="14129" spans="4:4" x14ac:dyDescent="0.25">
      <c r="D14129"/>
    </row>
    <row r="14130" spans="4:4" x14ac:dyDescent="0.25">
      <c r="D14130"/>
    </row>
    <row r="14131" spans="4:4" x14ac:dyDescent="0.25">
      <c r="D14131"/>
    </row>
    <row r="14132" spans="4:4" x14ac:dyDescent="0.25">
      <c r="D14132"/>
    </row>
    <row r="14133" spans="4:4" x14ac:dyDescent="0.25">
      <c r="D14133"/>
    </row>
    <row r="14134" spans="4:4" x14ac:dyDescent="0.25">
      <c r="D14134"/>
    </row>
    <row r="14135" spans="4:4" x14ac:dyDescent="0.25">
      <c r="D14135"/>
    </row>
    <row r="14136" spans="4:4" x14ac:dyDescent="0.25">
      <c r="D14136"/>
    </row>
    <row r="14137" spans="4:4" x14ac:dyDescent="0.25">
      <c r="D14137"/>
    </row>
    <row r="14138" spans="4:4" x14ac:dyDescent="0.25">
      <c r="D14138"/>
    </row>
    <row r="14139" spans="4:4" x14ac:dyDescent="0.25">
      <c r="D14139"/>
    </row>
    <row r="14140" spans="4:4" x14ac:dyDescent="0.25">
      <c r="D14140"/>
    </row>
    <row r="14141" spans="4:4" x14ac:dyDescent="0.25">
      <c r="D14141"/>
    </row>
    <row r="14142" spans="4:4" x14ac:dyDescent="0.25">
      <c r="D14142"/>
    </row>
    <row r="14143" spans="4:4" x14ac:dyDescent="0.25">
      <c r="D14143"/>
    </row>
    <row r="14144" spans="4:4" x14ac:dyDescent="0.25">
      <c r="D14144"/>
    </row>
    <row r="14145" spans="4:4" x14ac:dyDescent="0.25">
      <c r="D14145"/>
    </row>
    <row r="14146" spans="4:4" x14ac:dyDescent="0.25">
      <c r="D14146"/>
    </row>
    <row r="14147" spans="4:4" x14ac:dyDescent="0.25">
      <c r="D14147"/>
    </row>
    <row r="14148" spans="4:4" x14ac:dyDescent="0.25">
      <c r="D14148"/>
    </row>
    <row r="14149" spans="4:4" x14ac:dyDescent="0.25">
      <c r="D14149"/>
    </row>
    <row r="14150" spans="4:4" x14ac:dyDescent="0.25">
      <c r="D14150"/>
    </row>
    <row r="14151" spans="4:4" x14ac:dyDescent="0.25">
      <c r="D14151"/>
    </row>
    <row r="14152" spans="4:4" x14ac:dyDescent="0.25">
      <c r="D14152"/>
    </row>
    <row r="14153" spans="4:4" x14ac:dyDescent="0.25">
      <c r="D14153"/>
    </row>
    <row r="14154" spans="4:4" x14ac:dyDescent="0.25">
      <c r="D14154"/>
    </row>
    <row r="14155" spans="4:4" x14ac:dyDescent="0.25">
      <c r="D14155"/>
    </row>
    <row r="14156" spans="4:4" x14ac:dyDescent="0.25">
      <c r="D14156"/>
    </row>
    <row r="14157" spans="4:4" x14ac:dyDescent="0.25">
      <c r="D14157"/>
    </row>
    <row r="14158" spans="4:4" x14ac:dyDescent="0.25">
      <c r="D14158"/>
    </row>
    <row r="14159" spans="4:4" x14ac:dyDescent="0.25">
      <c r="D14159"/>
    </row>
    <row r="14160" spans="4:4" x14ac:dyDescent="0.25">
      <c r="D14160"/>
    </row>
    <row r="14161" spans="4:4" x14ac:dyDescent="0.25">
      <c r="D14161"/>
    </row>
    <row r="14162" spans="4:4" x14ac:dyDescent="0.25">
      <c r="D14162"/>
    </row>
    <row r="14163" spans="4:4" x14ac:dyDescent="0.25">
      <c r="D14163"/>
    </row>
    <row r="14164" spans="4:4" x14ac:dyDescent="0.25">
      <c r="D14164"/>
    </row>
    <row r="14165" spans="4:4" x14ac:dyDescent="0.25">
      <c r="D14165"/>
    </row>
    <row r="14166" spans="4:4" x14ac:dyDescent="0.25">
      <c r="D14166"/>
    </row>
    <row r="14167" spans="4:4" x14ac:dyDescent="0.25">
      <c r="D14167"/>
    </row>
    <row r="14168" spans="4:4" x14ac:dyDescent="0.25">
      <c r="D14168"/>
    </row>
    <row r="14169" spans="4:4" x14ac:dyDescent="0.25">
      <c r="D14169"/>
    </row>
    <row r="14170" spans="4:4" x14ac:dyDescent="0.25">
      <c r="D14170"/>
    </row>
    <row r="14171" spans="4:4" x14ac:dyDescent="0.25">
      <c r="D14171"/>
    </row>
    <row r="14172" spans="4:4" x14ac:dyDescent="0.25">
      <c r="D14172"/>
    </row>
    <row r="14173" spans="4:4" x14ac:dyDescent="0.25">
      <c r="D14173"/>
    </row>
    <row r="14174" spans="4:4" x14ac:dyDescent="0.25">
      <c r="D14174"/>
    </row>
    <row r="14175" spans="4:4" x14ac:dyDescent="0.25">
      <c r="D14175"/>
    </row>
    <row r="14176" spans="4:4" x14ac:dyDescent="0.25">
      <c r="D14176"/>
    </row>
    <row r="14177" spans="4:4" x14ac:dyDescent="0.25">
      <c r="D14177"/>
    </row>
    <row r="14178" spans="4:4" x14ac:dyDescent="0.25">
      <c r="D14178"/>
    </row>
    <row r="14179" spans="4:4" x14ac:dyDescent="0.25">
      <c r="D14179"/>
    </row>
    <row r="14180" spans="4:4" x14ac:dyDescent="0.25">
      <c r="D14180"/>
    </row>
    <row r="14181" spans="4:4" x14ac:dyDescent="0.25">
      <c r="D14181"/>
    </row>
    <row r="14182" spans="4:4" x14ac:dyDescent="0.25">
      <c r="D14182"/>
    </row>
    <row r="14183" spans="4:4" x14ac:dyDescent="0.25">
      <c r="D14183"/>
    </row>
    <row r="14184" spans="4:4" x14ac:dyDescent="0.25">
      <c r="D14184"/>
    </row>
    <row r="14185" spans="4:4" x14ac:dyDescent="0.25">
      <c r="D14185"/>
    </row>
    <row r="14186" spans="4:4" x14ac:dyDescent="0.25">
      <c r="D14186"/>
    </row>
    <row r="14187" spans="4:4" x14ac:dyDescent="0.25">
      <c r="D14187"/>
    </row>
    <row r="14188" spans="4:4" x14ac:dyDescent="0.25">
      <c r="D14188"/>
    </row>
    <row r="14189" spans="4:4" x14ac:dyDescent="0.25">
      <c r="D14189"/>
    </row>
    <row r="14190" spans="4:4" x14ac:dyDescent="0.25">
      <c r="D14190"/>
    </row>
    <row r="14191" spans="4:4" x14ac:dyDescent="0.25">
      <c r="D14191"/>
    </row>
    <row r="14192" spans="4:4" x14ac:dyDescent="0.25">
      <c r="D14192"/>
    </row>
    <row r="14193" spans="4:4" x14ac:dyDescent="0.25">
      <c r="D14193"/>
    </row>
    <row r="14194" spans="4:4" x14ac:dyDescent="0.25">
      <c r="D14194"/>
    </row>
    <row r="14195" spans="4:4" x14ac:dyDescent="0.25">
      <c r="D14195"/>
    </row>
    <row r="14196" spans="4:4" x14ac:dyDescent="0.25">
      <c r="D14196"/>
    </row>
    <row r="14197" spans="4:4" x14ac:dyDescent="0.25">
      <c r="D14197"/>
    </row>
    <row r="14198" spans="4:4" x14ac:dyDescent="0.25">
      <c r="D14198"/>
    </row>
    <row r="14199" spans="4:4" x14ac:dyDescent="0.25">
      <c r="D14199"/>
    </row>
    <row r="14200" spans="4:4" x14ac:dyDescent="0.25">
      <c r="D14200"/>
    </row>
    <row r="14201" spans="4:4" x14ac:dyDescent="0.25">
      <c r="D14201"/>
    </row>
    <row r="14202" spans="4:4" x14ac:dyDescent="0.25">
      <c r="D14202"/>
    </row>
    <row r="14203" spans="4:4" x14ac:dyDescent="0.25">
      <c r="D14203"/>
    </row>
    <row r="14204" spans="4:4" x14ac:dyDescent="0.25">
      <c r="D14204"/>
    </row>
    <row r="14205" spans="4:4" x14ac:dyDescent="0.25">
      <c r="D14205"/>
    </row>
    <row r="14206" spans="4:4" x14ac:dyDescent="0.25">
      <c r="D14206"/>
    </row>
    <row r="14207" spans="4:4" x14ac:dyDescent="0.25">
      <c r="D14207"/>
    </row>
    <row r="14208" spans="4:4" x14ac:dyDescent="0.25">
      <c r="D14208"/>
    </row>
    <row r="14209" spans="4:4" x14ac:dyDescent="0.25">
      <c r="D14209"/>
    </row>
    <row r="14210" spans="4:4" x14ac:dyDescent="0.25">
      <c r="D14210"/>
    </row>
    <row r="14211" spans="4:4" x14ac:dyDescent="0.25">
      <c r="D14211"/>
    </row>
    <row r="14212" spans="4:4" x14ac:dyDescent="0.25">
      <c r="D14212"/>
    </row>
    <row r="14213" spans="4:4" x14ac:dyDescent="0.25">
      <c r="D14213"/>
    </row>
    <row r="14214" spans="4:4" x14ac:dyDescent="0.25">
      <c r="D14214"/>
    </row>
    <row r="14215" spans="4:4" x14ac:dyDescent="0.25">
      <c r="D14215"/>
    </row>
    <row r="14216" spans="4:4" x14ac:dyDescent="0.25">
      <c r="D14216"/>
    </row>
    <row r="14217" spans="4:4" x14ac:dyDescent="0.25">
      <c r="D14217"/>
    </row>
    <row r="14218" spans="4:4" x14ac:dyDescent="0.25">
      <c r="D14218"/>
    </row>
    <row r="14219" spans="4:4" x14ac:dyDescent="0.25">
      <c r="D14219"/>
    </row>
    <row r="14220" spans="4:4" x14ac:dyDescent="0.25">
      <c r="D14220"/>
    </row>
    <row r="14221" spans="4:4" x14ac:dyDescent="0.25">
      <c r="D14221"/>
    </row>
    <row r="14222" spans="4:4" x14ac:dyDescent="0.25">
      <c r="D14222"/>
    </row>
    <row r="14223" spans="4:4" x14ac:dyDescent="0.25">
      <c r="D14223"/>
    </row>
    <row r="14224" spans="4:4" x14ac:dyDescent="0.25">
      <c r="D14224"/>
    </row>
    <row r="14225" spans="4:4" x14ac:dyDescent="0.25">
      <c r="D14225"/>
    </row>
    <row r="14226" spans="4:4" x14ac:dyDescent="0.25">
      <c r="D14226"/>
    </row>
    <row r="14227" spans="4:4" x14ac:dyDescent="0.25">
      <c r="D14227"/>
    </row>
    <row r="14228" spans="4:4" x14ac:dyDescent="0.25">
      <c r="D14228"/>
    </row>
    <row r="14229" spans="4:4" x14ac:dyDescent="0.25">
      <c r="D14229"/>
    </row>
    <row r="14230" spans="4:4" x14ac:dyDescent="0.25">
      <c r="D14230"/>
    </row>
    <row r="14231" spans="4:4" x14ac:dyDescent="0.25">
      <c r="D14231"/>
    </row>
    <row r="14232" spans="4:4" x14ac:dyDescent="0.25">
      <c r="D14232"/>
    </row>
    <row r="14233" spans="4:4" x14ac:dyDescent="0.25">
      <c r="D14233"/>
    </row>
    <row r="14234" spans="4:4" x14ac:dyDescent="0.25">
      <c r="D14234"/>
    </row>
    <row r="14235" spans="4:4" x14ac:dyDescent="0.25">
      <c r="D14235"/>
    </row>
    <row r="14236" spans="4:4" x14ac:dyDescent="0.25">
      <c r="D14236"/>
    </row>
    <row r="14237" spans="4:4" x14ac:dyDescent="0.25">
      <c r="D14237"/>
    </row>
    <row r="14238" spans="4:4" x14ac:dyDescent="0.25">
      <c r="D14238"/>
    </row>
    <row r="14239" spans="4:4" x14ac:dyDescent="0.25">
      <c r="D14239"/>
    </row>
    <row r="14240" spans="4:4" x14ac:dyDescent="0.25">
      <c r="D14240"/>
    </row>
    <row r="14241" spans="4:4" x14ac:dyDescent="0.25">
      <c r="D14241"/>
    </row>
    <row r="14242" spans="4:4" x14ac:dyDescent="0.25">
      <c r="D14242"/>
    </row>
    <row r="14243" spans="4:4" x14ac:dyDescent="0.25">
      <c r="D14243"/>
    </row>
    <row r="14244" spans="4:4" x14ac:dyDescent="0.25">
      <c r="D14244"/>
    </row>
    <row r="14245" spans="4:4" x14ac:dyDescent="0.25">
      <c r="D14245"/>
    </row>
    <row r="14246" spans="4:4" x14ac:dyDescent="0.25">
      <c r="D14246"/>
    </row>
    <row r="14247" spans="4:4" x14ac:dyDescent="0.25">
      <c r="D14247"/>
    </row>
    <row r="14248" spans="4:4" x14ac:dyDescent="0.25">
      <c r="D14248"/>
    </row>
    <row r="14249" spans="4:4" x14ac:dyDescent="0.25">
      <c r="D14249"/>
    </row>
    <row r="14250" spans="4:4" x14ac:dyDescent="0.25">
      <c r="D14250"/>
    </row>
    <row r="14251" spans="4:4" x14ac:dyDescent="0.25">
      <c r="D14251"/>
    </row>
    <row r="14252" spans="4:4" x14ac:dyDescent="0.25">
      <c r="D14252"/>
    </row>
    <row r="14253" spans="4:4" x14ac:dyDescent="0.25">
      <c r="D14253"/>
    </row>
    <row r="14254" spans="4:4" x14ac:dyDescent="0.25">
      <c r="D14254"/>
    </row>
    <row r="14255" spans="4:4" x14ac:dyDescent="0.25">
      <c r="D14255"/>
    </row>
    <row r="14256" spans="4:4" x14ac:dyDescent="0.25">
      <c r="D14256"/>
    </row>
    <row r="14257" spans="4:4" x14ac:dyDescent="0.25">
      <c r="D14257"/>
    </row>
    <row r="14258" spans="4:4" x14ac:dyDescent="0.25">
      <c r="D14258"/>
    </row>
    <row r="14259" spans="4:4" x14ac:dyDescent="0.25">
      <c r="D14259"/>
    </row>
    <row r="14260" spans="4:4" x14ac:dyDescent="0.25">
      <c r="D14260"/>
    </row>
    <row r="14261" spans="4:4" x14ac:dyDescent="0.25">
      <c r="D14261"/>
    </row>
    <row r="14262" spans="4:4" x14ac:dyDescent="0.25">
      <c r="D14262"/>
    </row>
    <row r="14263" spans="4:4" x14ac:dyDescent="0.25">
      <c r="D14263"/>
    </row>
    <row r="14264" spans="4:4" x14ac:dyDescent="0.25">
      <c r="D14264"/>
    </row>
    <row r="14265" spans="4:4" x14ac:dyDescent="0.25">
      <c r="D14265"/>
    </row>
    <row r="14266" spans="4:4" x14ac:dyDescent="0.25">
      <c r="D14266"/>
    </row>
    <row r="14267" spans="4:4" x14ac:dyDescent="0.25">
      <c r="D14267"/>
    </row>
    <row r="14268" spans="4:4" x14ac:dyDescent="0.25">
      <c r="D14268"/>
    </row>
    <row r="14269" spans="4:4" x14ac:dyDescent="0.25">
      <c r="D14269"/>
    </row>
    <row r="14270" spans="4:4" x14ac:dyDescent="0.25">
      <c r="D14270"/>
    </row>
    <row r="14271" spans="4:4" x14ac:dyDescent="0.25">
      <c r="D14271"/>
    </row>
    <row r="14272" spans="4:4" x14ac:dyDescent="0.25">
      <c r="D14272"/>
    </row>
    <row r="14273" spans="4:4" x14ac:dyDescent="0.25">
      <c r="D14273"/>
    </row>
    <row r="14274" spans="4:4" x14ac:dyDescent="0.25">
      <c r="D14274"/>
    </row>
    <row r="14275" spans="4:4" x14ac:dyDescent="0.25">
      <c r="D14275"/>
    </row>
    <row r="14276" spans="4:4" x14ac:dyDescent="0.25">
      <c r="D14276"/>
    </row>
    <row r="14277" spans="4:4" x14ac:dyDescent="0.25">
      <c r="D14277"/>
    </row>
    <row r="14278" spans="4:4" x14ac:dyDescent="0.25">
      <c r="D14278"/>
    </row>
    <row r="14279" spans="4:4" x14ac:dyDescent="0.25">
      <c r="D14279"/>
    </row>
    <row r="14280" spans="4:4" x14ac:dyDescent="0.25">
      <c r="D14280"/>
    </row>
    <row r="14281" spans="4:4" x14ac:dyDescent="0.25">
      <c r="D14281"/>
    </row>
    <row r="14282" spans="4:4" x14ac:dyDescent="0.25">
      <c r="D14282"/>
    </row>
    <row r="14283" spans="4:4" x14ac:dyDescent="0.25">
      <c r="D14283"/>
    </row>
    <row r="14284" spans="4:4" x14ac:dyDescent="0.25">
      <c r="D14284"/>
    </row>
    <row r="14285" spans="4:4" x14ac:dyDescent="0.25">
      <c r="D14285"/>
    </row>
    <row r="14286" spans="4:4" x14ac:dyDescent="0.25">
      <c r="D14286"/>
    </row>
    <row r="14287" spans="4:4" x14ac:dyDescent="0.25">
      <c r="D14287"/>
    </row>
    <row r="14288" spans="4:4" x14ac:dyDescent="0.25">
      <c r="D14288"/>
    </row>
    <row r="14289" spans="4:4" x14ac:dyDescent="0.25">
      <c r="D14289"/>
    </row>
    <row r="14290" spans="4:4" x14ac:dyDescent="0.25">
      <c r="D14290"/>
    </row>
    <row r="14291" spans="4:4" x14ac:dyDescent="0.25">
      <c r="D14291"/>
    </row>
    <row r="14292" spans="4:4" x14ac:dyDescent="0.25">
      <c r="D14292"/>
    </row>
    <row r="14293" spans="4:4" x14ac:dyDescent="0.25">
      <c r="D14293"/>
    </row>
    <row r="14294" spans="4:4" x14ac:dyDescent="0.25">
      <c r="D14294"/>
    </row>
    <row r="14295" spans="4:4" x14ac:dyDescent="0.25">
      <c r="D14295"/>
    </row>
    <row r="14296" spans="4:4" x14ac:dyDescent="0.25">
      <c r="D14296"/>
    </row>
    <row r="14297" spans="4:4" x14ac:dyDescent="0.25">
      <c r="D14297"/>
    </row>
    <row r="14298" spans="4:4" x14ac:dyDescent="0.25">
      <c r="D14298"/>
    </row>
    <row r="14299" spans="4:4" x14ac:dyDescent="0.25">
      <c r="D14299"/>
    </row>
    <row r="14300" spans="4:4" x14ac:dyDescent="0.25">
      <c r="D14300"/>
    </row>
    <row r="14301" spans="4:4" x14ac:dyDescent="0.25">
      <c r="D14301"/>
    </row>
    <row r="14302" spans="4:4" x14ac:dyDescent="0.25">
      <c r="D14302"/>
    </row>
    <row r="14303" spans="4:4" x14ac:dyDescent="0.25">
      <c r="D14303"/>
    </row>
    <row r="14304" spans="4:4" x14ac:dyDescent="0.25">
      <c r="D14304"/>
    </row>
    <row r="14305" spans="4:4" x14ac:dyDescent="0.25">
      <c r="D14305"/>
    </row>
    <row r="14306" spans="4:4" x14ac:dyDescent="0.25">
      <c r="D14306"/>
    </row>
    <row r="14307" spans="4:4" x14ac:dyDescent="0.25">
      <c r="D14307"/>
    </row>
    <row r="14308" spans="4:4" x14ac:dyDescent="0.25">
      <c r="D14308"/>
    </row>
    <row r="14309" spans="4:4" x14ac:dyDescent="0.25">
      <c r="D14309"/>
    </row>
    <row r="14310" spans="4:4" x14ac:dyDescent="0.25">
      <c r="D14310"/>
    </row>
    <row r="14311" spans="4:4" x14ac:dyDescent="0.25">
      <c r="D14311"/>
    </row>
    <row r="14312" spans="4:4" x14ac:dyDescent="0.25">
      <c r="D14312"/>
    </row>
    <row r="14313" spans="4:4" x14ac:dyDescent="0.25">
      <c r="D14313"/>
    </row>
    <row r="14314" spans="4:4" x14ac:dyDescent="0.25">
      <c r="D14314"/>
    </row>
    <row r="14315" spans="4:4" x14ac:dyDescent="0.25">
      <c r="D14315"/>
    </row>
    <row r="14316" spans="4:4" x14ac:dyDescent="0.25">
      <c r="D14316"/>
    </row>
    <row r="14317" spans="4:4" x14ac:dyDescent="0.25">
      <c r="D14317"/>
    </row>
    <row r="14318" spans="4:4" x14ac:dyDescent="0.25">
      <c r="D14318"/>
    </row>
    <row r="14319" spans="4:4" x14ac:dyDescent="0.25">
      <c r="D14319"/>
    </row>
    <row r="14320" spans="4:4" x14ac:dyDescent="0.25">
      <c r="D14320"/>
    </row>
    <row r="14321" spans="4:4" x14ac:dyDescent="0.25">
      <c r="D14321"/>
    </row>
    <row r="14322" spans="4:4" x14ac:dyDescent="0.25">
      <c r="D14322"/>
    </row>
    <row r="14323" spans="4:4" x14ac:dyDescent="0.25">
      <c r="D14323"/>
    </row>
    <row r="14324" spans="4:4" x14ac:dyDescent="0.25">
      <c r="D14324"/>
    </row>
    <row r="14325" spans="4:4" x14ac:dyDescent="0.25">
      <c r="D14325"/>
    </row>
    <row r="14326" spans="4:4" x14ac:dyDescent="0.25">
      <c r="D14326"/>
    </row>
    <row r="14327" spans="4:4" x14ac:dyDescent="0.25">
      <c r="D14327"/>
    </row>
    <row r="14328" spans="4:4" x14ac:dyDescent="0.25">
      <c r="D14328"/>
    </row>
    <row r="14329" spans="4:4" x14ac:dyDescent="0.25">
      <c r="D14329"/>
    </row>
    <row r="14330" spans="4:4" x14ac:dyDescent="0.25">
      <c r="D14330"/>
    </row>
    <row r="14331" spans="4:4" x14ac:dyDescent="0.25">
      <c r="D14331"/>
    </row>
    <row r="14332" spans="4:4" x14ac:dyDescent="0.25">
      <c r="D14332"/>
    </row>
    <row r="14333" spans="4:4" x14ac:dyDescent="0.25">
      <c r="D14333"/>
    </row>
    <row r="14334" spans="4:4" x14ac:dyDescent="0.25">
      <c r="D14334"/>
    </row>
    <row r="14335" spans="4:4" x14ac:dyDescent="0.25">
      <c r="D14335"/>
    </row>
    <row r="14336" spans="4:4" x14ac:dyDescent="0.25">
      <c r="D14336"/>
    </row>
    <row r="14337" spans="4:4" x14ac:dyDescent="0.25">
      <c r="D14337"/>
    </row>
    <row r="14338" spans="4:4" x14ac:dyDescent="0.25">
      <c r="D14338"/>
    </row>
    <row r="14339" spans="4:4" x14ac:dyDescent="0.25">
      <c r="D14339"/>
    </row>
    <row r="14340" spans="4:4" x14ac:dyDescent="0.25">
      <c r="D14340"/>
    </row>
    <row r="14341" spans="4:4" x14ac:dyDescent="0.25">
      <c r="D14341"/>
    </row>
    <row r="14342" spans="4:4" x14ac:dyDescent="0.25">
      <c r="D14342"/>
    </row>
    <row r="14343" spans="4:4" x14ac:dyDescent="0.25">
      <c r="D14343"/>
    </row>
    <row r="14344" spans="4:4" x14ac:dyDescent="0.25">
      <c r="D14344"/>
    </row>
    <row r="14345" spans="4:4" x14ac:dyDescent="0.25">
      <c r="D14345"/>
    </row>
    <row r="14346" spans="4:4" x14ac:dyDescent="0.25">
      <c r="D14346"/>
    </row>
    <row r="14347" spans="4:4" x14ac:dyDescent="0.25">
      <c r="D14347"/>
    </row>
    <row r="14348" spans="4:4" x14ac:dyDescent="0.25">
      <c r="D14348"/>
    </row>
    <row r="14349" spans="4:4" x14ac:dyDescent="0.25">
      <c r="D14349"/>
    </row>
    <row r="14350" spans="4:4" x14ac:dyDescent="0.25">
      <c r="D14350"/>
    </row>
    <row r="14351" spans="4:4" x14ac:dyDescent="0.25">
      <c r="D14351"/>
    </row>
    <row r="14352" spans="4:4" x14ac:dyDescent="0.25">
      <c r="D14352"/>
    </row>
    <row r="14353" spans="4:4" x14ac:dyDescent="0.25">
      <c r="D14353"/>
    </row>
    <row r="14354" spans="4:4" x14ac:dyDescent="0.25">
      <c r="D14354"/>
    </row>
    <row r="14355" spans="4:4" x14ac:dyDescent="0.25">
      <c r="D14355"/>
    </row>
    <row r="14356" spans="4:4" x14ac:dyDescent="0.25">
      <c r="D14356"/>
    </row>
    <row r="14357" spans="4:4" x14ac:dyDescent="0.25">
      <c r="D14357"/>
    </row>
    <row r="14358" spans="4:4" x14ac:dyDescent="0.25">
      <c r="D14358"/>
    </row>
    <row r="14359" spans="4:4" x14ac:dyDescent="0.25">
      <c r="D14359"/>
    </row>
    <row r="14360" spans="4:4" x14ac:dyDescent="0.25">
      <c r="D14360"/>
    </row>
    <row r="14361" spans="4:4" x14ac:dyDescent="0.25">
      <c r="D14361"/>
    </row>
    <row r="14362" spans="4:4" x14ac:dyDescent="0.25">
      <c r="D14362"/>
    </row>
    <row r="14363" spans="4:4" x14ac:dyDescent="0.25">
      <c r="D14363"/>
    </row>
    <row r="14364" spans="4:4" x14ac:dyDescent="0.25">
      <c r="D14364"/>
    </row>
    <row r="14365" spans="4:4" x14ac:dyDescent="0.25">
      <c r="D14365"/>
    </row>
    <row r="14366" spans="4:4" x14ac:dyDescent="0.25">
      <c r="D14366"/>
    </row>
    <row r="14367" spans="4:4" x14ac:dyDescent="0.25">
      <c r="D14367"/>
    </row>
    <row r="14368" spans="4:4" x14ac:dyDescent="0.25">
      <c r="D14368"/>
    </row>
    <row r="14369" spans="4:4" x14ac:dyDescent="0.25">
      <c r="D14369"/>
    </row>
    <row r="14370" spans="4:4" x14ac:dyDescent="0.25">
      <c r="D14370"/>
    </row>
    <row r="14371" spans="4:4" x14ac:dyDescent="0.25">
      <c r="D14371"/>
    </row>
    <row r="14372" spans="4:4" x14ac:dyDescent="0.25">
      <c r="D14372"/>
    </row>
    <row r="14373" spans="4:4" x14ac:dyDescent="0.25">
      <c r="D14373"/>
    </row>
    <row r="14374" spans="4:4" x14ac:dyDescent="0.25">
      <c r="D14374"/>
    </row>
    <row r="14375" spans="4:4" x14ac:dyDescent="0.25">
      <c r="D14375"/>
    </row>
    <row r="14376" spans="4:4" x14ac:dyDescent="0.25">
      <c r="D14376"/>
    </row>
    <row r="14377" spans="4:4" x14ac:dyDescent="0.25">
      <c r="D14377"/>
    </row>
    <row r="14378" spans="4:4" x14ac:dyDescent="0.25">
      <c r="D14378"/>
    </row>
    <row r="14379" spans="4:4" x14ac:dyDescent="0.25">
      <c r="D14379"/>
    </row>
    <row r="14380" spans="4:4" x14ac:dyDescent="0.25">
      <c r="D14380"/>
    </row>
    <row r="14381" spans="4:4" x14ac:dyDescent="0.25">
      <c r="D14381"/>
    </row>
    <row r="14382" spans="4:4" x14ac:dyDescent="0.25">
      <c r="D14382"/>
    </row>
    <row r="14383" spans="4:4" x14ac:dyDescent="0.25">
      <c r="D14383"/>
    </row>
    <row r="14384" spans="4:4" x14ac:dyDescent="0.25">
      <c r="D14384"/>
    </row>
    <row r="14385" spans="4:4" x14ac:dyDescent="0.25">
      <c r="D14385"/>
    </row>
    <row r="14386" spans="4:4" x14ac:dyDescent="0.25">
      <c r="D14386"/>
    </row>
    <row r="14387" spans="4:4" x14ac:dyDescent="0.25">
      <c r="D14387"/>
    </row>
    <row r="14388" spans="4:4" x14ac:dyDescent="0.25">
      <c r="D14388"/>
    </row>
    <row r="14389" spans="4:4" x14ac:dyDescent="0.25">
      <c r="D14389"/>
    </row>
    <row r="14390" spans="4:4" x14ac:dyDescent="0.25">
      <c r="D14390"/>
    </row>
    <row r="14391" spans="4:4" x14ac:dyDescent="0.25">
      <c r="D14391"/>
    </row>
    <row r="14392" spans="4:4" x14ac:dyDescent="0.25">
      <c r="D14392"/>
    </row>
    <row r="14393" spans="4:4" x14ac:dyDescent="0.25">
      <c r="D14393"/>
    </row>
    <row r="14394" spans="4:4" x14ac:dyDescent="0.25">
      <c r="D14394"/>
    </row>
    <row r="14395" spans="4:4" x14ac:dyDescent="0.25">
      <c r="D14395"/>
    </row>
    <row r="14396" spans="4:4" x14ac:dyDescent="0.25">
      <c r="D14396"/>
    </row>
    <row r="14397" spans="4:4" x14ac:dyDescent="0.25">
      <c r="D14397"/>
    </row>
    <row r="14398" spans="4:4" x14ac:dyDescent="0.25">
      <c r="D14398"/>
    </row>
    <row r="14399" spans="4:4" x14ac:dyDescent="0.25">
      <c r="D14399"/>
    </row>
    <row r="14400" spans="4:4" x14ac:dyDescent="0.25">
      <c r="D14400"/>
    </row>
    <row r="14401" spans="4:4" x14ac:dyDescent="0.25">
      <c r="D14401"/>
    </row>
    <row r="14402" spans="4:4" x14ac:dyDescent="0.25">
      <c r="D14402"/>
    </row>
    <row r="14403" spans="4:4" x14ac:dyDescent="0.25">
      <c r="D14403"/>
    </row>
    <row r="14404" spans="4:4" x14ac:dyDescent="0.25">
      <c r="D14404"/>
    </row>
    <row r="14405" spans="4:4" x14ac:dyDescent="0.25">
      <c r="D14405"/>
    </row>
    <row r="14406" spans="4:4" x14ac:dyDescent="0.25">
      <c r="D14406"/>
    </row>
    <row r="14407" spans="4:4" x14ac:dyDescent="0.25">
      <c r="D14407"/>
    </row>
    <row r="14408" spans="4:4" x14ac:dyDescent="0.25">
      <c r="D14408"/>
    </row>
    <row r="14409" spans="4:4" x14ac:dyDescent="0.25">
      <c r="D14409"/>
    </row>
    <row r="14410" spans="4:4" x14ac:dyDescent="0.25">
      <c r="D14410"/>
    </row>
    <row r="14411" spans="4:4" x14ac:dyDescent="0.25">
      <c r="D14411"/>
    </row>
    <row r="14412" spans="4:4" x14ac:dyDescent="0.25">
      <c r="D14412"/>
    </row>
    <row r="14413" spans="4:4" x14ac:dyDescent="0.25">
      <c r="D14413"/>
    </row>
    <row r="14414" spans="4:4" x14ac:dyDescent="0.25">
      <c r="D14414"/>
    </row>
    <row r="14415" spans="4:4" x14ac:dyDescent="0.25">
      <c r="D14415"/>
    </row>
    <row r="14416" spans="4:4" x14ac:dyDescent="0.25">
      <c r="D14416"/>
    </row>
    <row r="14417" spans="4:4" x14ac:dyDescent="0.25">
      <c r="D14417"/>
    </row>
    <row r="14418" spans="4:4" x14ac:dyDescent="0.25">
      <c r="D14418"/>
    </row>
    <row r="14419" spans="4:4" x14ac:dyDescent="0.25">
      <c r="D14419"/>
    </row>
    <row r="14420" spans="4:4" x14ac:dyDescent="0.25">
      <c r="D14420"/>
    </row>
    <row r="14421" spans="4:4" x14ac:dyDescent="0.25">
      <c r="D14421"/>
    </row>
    <row r="14422" spans="4:4" x14ac:dyDescent="0.25">
      <c r="D14422"/>
    </row>
    <row r="14423" spans="4:4" x14ac:dyDescent="0.25">
      <c r="D14423"/>
    </row>
    <row r="14424" spans="4:4" x14ac:dyDescent="0.25">
      <c r="D14424"/>
    </row>
    <row r="14425" spans="4:4" x14ac:dyDescent="0.25">
      <c r="D14425"/>
    </row>
    <row r="14426" spans="4:4" x14ac:dyDescent="0.25">
      <c r="D14426"/>
    </row>
    <row r="14427" spans="4:4" x14ac:dyDescent="0.25">
      <c r="D14427"/>
    </row>
    <row r="14428" spans="4:4" x14ac:dyDescent="0.25">
      <c r="D14428"/>
    </row>
    <row r="14429" spans="4:4" x14ac:dyDescent="0.25">
      <c r="D14429"/>
    </row>
    <row r="14430" spans="4:4" x14ac:dyDescent="0.25">
      <c r="D14430"/>
    </row>
    <row r="14431" spans="4:4" x14ac:dyDescent="0.25">
      <c r="D14431"/>
    </row>
    <row r="14432" spans="4:4" x14ac:dyDescent="0.25">
      <c r="D14432"/>
    </row>
    <row r="14433" spans="4:4" x14ac:dyDescent="0.25">
      <c r="D14433"/>
    </row>
    <row r="14434" spans="4:4" x14ac:dyDescent="0.25">
      <c r="D14434"/>
    </row>
    <row r="14435" spans="4:4" x14ac:dyDescent="0.25">
      <c r="D14435"/>
    </row>
    <row r="14436" spans="4:4" x14ac:dyDescent="0.25">
      <c r="D14436"/>
    </row>
    <row r="14437" spans="4:4" x14ac:dyDescent="0.25">
      <c r="D14437"/>
    </row>
    <row r="14438" spans="4:4" x14ac:dyDescent="0.25">
      <c r="D14438"/>
    </row>
    <row r="14439" spans="4:4" x14ac:dyDescent="0.25">
      <c r="D14439"/>
    </row>
    <row r="14440" spans="4:4" x14ac:dyDescent="0.25">
      <c r="D14440"/>
    </row>
    <row r="14441" spans="4:4" x14ac:dyDescent="0.25">
      <c r="D14441"/>
    </row>
    <row r="14442" spans="4:4" x14ac:dyDescent="0.25">
      <c r="D14442"/>
    </row>
    <row r="14443" spans="4:4" x14ac:dyDescent="0.25">
      <c r="D14443"/>
    </row>
    <row r="14444" spans="4:4" x14ac:dyDescent="0.25">
      <c r="D14444"/>
    </row>
    <row r="14445" spans="4:4" x14ac:dyDescent="0.25">
      <c r="D14445"/>
    </row>
    <row r="14446" spans="4:4" x14ac:dyDescent="0.25">
      <c r="D14446"/>
    </row>
    <row r="14447" spans="4:4" x14ac:dyDescent="0.25">
      <c r="D14447"/>
    </row>
    <row r="14448" spans="4:4" x14ac:dyDescent="0.25">
      <c r="D14448"/>
    </row>
    <row r="14449" spans="4:4" x14ac:dyDescent="0.25">
      <c r="D14449"/>
    </row>
    <row r="14450" spans="4:4" x14ac:dyDescent="0.25">
      <c r="D14450"/>
    </row>
    <row r="14451" spans="4:4" x14ac:dyDescent="0.25">
      <c r="D14451"/>
    </row>
    <row r="14452" spans="4:4" x14ac:dyDescent="0.25">
      <c r="D14452"/>
    </row>
    <row r="14453" spans="4:4" x14ac:dyDescent="0.25">
      <c r="D14453"/>
    </row>
    <row r="14454" spans="4:4" x14ac:dyDescent="0.25">
      <c r="D14454"/>
    </row>
    <row r="14455" spans="4:4" x14ac:dyDescent="0.25">
      <c r="D14455"/>
    </row>
    <row r="14456" spans="4:4" x14ac:dyDescent="0.25">
      <c r="D14456"/>
    </row>
    <row r="14457" spans="4:4" x14ac:dyDescent="0.25">
      <c r="D14457"/>
    </row>
    <row r="14458" spans="4:4" x14ac:dyDescent="0.25">
      <c r="D14458"/>
    </row>
    <row r="14459" spans="4:4" x14ac:dyDescent="0.25">
      <c r="D14459"/>
    </row>
    <row r="14460" spans="4:4" x14ac:dyDescent="0.25">
      <c r="D14460"/>
    </row>
    <row r="14461" spans="4:4" x14ac:dyDescent="0.25">
      <c r="D14461"/>
    </row>
    <row r="14462" spans="4:4" x14ac:dyDescent="0.25">
      <c r="D14462"/>
    </row>
    <row r="14463" spans="4:4" x14ac:dyDescent="0.25">
      <c r="D14463"/>
    </row>
    <row r="14464" spans="4:4" x14ac:dyDescent="0.25">
      <c r="D14464"/>
    </row>
    <row r="14465" spans="4:4" x14ac:dyDescent="0.25">
      <c r="D14465"/>
    </row>
    <row r="14466" spans="4:4" x14ac:dyDescent="0.25">
      <c r="D14466"/>
    </row>
    <row r="14467" spans="4:4" x14ac:dyDescent="0.25">
      <c r="D14467"/>
    </row>
    <row r="14468" spans="4:4" x14ac:dyDescent="0.25">
      <c r="D14468"/>
    </row>
    <row r="14469" spans="4:4" x14ac:dyDescent="0.25">
      <c r="D14469"/>
    </row>
    <row r="14470" spans="4:4" x14ac:dyDescent="0.25">
      <c r="D14470"/>
    </row>
    <row r="14471" spans="4:4" x14ac:dyDescent="0.25">
      <c r="D14471"/>
    </row>
    <row r="14472" spans="4:4" x14ac:dyDescent="0.25">
      <c r="D14472"/>
    </row>
    <row r="14473" spans="4:4" x14ac:dyDescent="0.25">
      <c r="D14473"/>
    </row>
    <row r="14474" spans="4:4" x14ac:dyDescent="0.25">
      <c r="D14474"/>
    </row>
    <row r="14475" spans="4:4" x14ac:dyDescent="0.25">
      <c r="D14475"/>
    </row>
    <row r="14476" spans="4:4" x14ac:dyDescent="0.25">
      <c r="D14476"/>
    </row>
    <row r="14477" spans="4:4" x14ac:dyDescent="0.25">
      <c r="D14477"/>
    </row>
    <row r="14478" spans="4:4" x14ac:dyDescent="0.25">
      <c r="D14478"/>
    </row>
    <row r="14479" spans="4:4" x14ac:dyDescent="0.25">
      <c r="D14479"/>
    </row>
    <row r="14480" spans="4:4" x14ac:dyDescent="0.25">
      <c r="D14480"/>
    </row>
    <row r="14481" spans="4:4" x14ac:dyDescent="0.25">
      <c r="D14481"/>
    </row>
    <row r="14482" spans="4:4" x14ac:dyDescent="0.25">
      <c r="D14482"/>
    </row>
    <row r="14483" spans="4:4" x14ac:dyDescent="0.25">
      <c r="D14483"/>
    </row>
    <row r="14484" spans="4:4" x14ac:dyDescent="0.25">
      <c r="D14484"/>
    </row>
    <row r="14485" spans="4:4" x14ac:dyDescent="0.25">
      <c r="D14485"/>
    </row>
    <row r="14486" spans="4:4" x14ac:dyDescent="0.25">
      <c r="D14486"/>
    </row>
    <row r="14487" spans="4:4" x14ac:dyDescent="0.25">
      <c r="D14487"/>
    </row>
    <row r="14488" spans="4:4" x14ac:dyDescent="0.25">
      <c r="D14488"/>
    </row>
    <row r="14489" spans="4:4" x14ac:dyDescent="0.25">
      <c r="D14489"/>
    </row>
    <row r="14490" spans="4:4" x14ac:dyDescent="0.25">
      <c r="D14490"/>
    </row>
    <row r="14491" spans="4:4" x14ac:dyDescent="0.25">
      <c r="D14491"/>
    </row>
    <row r="14492" spans="4:4" x14ac:dyDescent="0.25">
      <c r="D14492"/>
    </row>
    <row r="14493" spans="4:4" x14ac:dyDescent="0.25">
      <c r="D14493"/>
    </row>
    <row r="14494" spans="4:4" x14ac:dyDescent="0.25">
      <c r="D14494"/>
    </row>
    <row r="14495" spans="4:4" x14ac:dyDescent="0.25">
      <c r="D14495"/>
    </row>
    <row r="14496" spans="4:4" x14ac:dyDescent="0.25">
      <c r="D14496"/>
    </row>
    <row r="14497" spans="4:4" x14ac:dyDescent="0.25">
      <c r="D14497"/>
    </row>
    <row r="14498" spans="4:4" x14ac:dyDescent="0.25">
      <c r="D14498"/>
    </row>
    <row r="14499" spans="4:4" x14ac:dyDescent="0.25">
      <c r="D14499"/>
    </row>
    <row r="14500" spans="4:4" x14ac:dyDescent="0.25">
      <c r="D14500"/>
    </row>
    <row r="14501" spans="4:4" x14ac:dyDescent="0.25">
      <c r="D14501"/>
    </row>
    <row r="14502" spans="4:4" x14ac:dyDescent="0.25">
      <c r="D14502"/>
    </row>
    <row r="14503" spans="4:4" x14ac:dyDescent="0.25">
      <c r="D14503"/>
    </row>
    <row r="14504" spans="4:4" x14ac:dyDescent="0.25">
      <c r="D14504"/>
    </row>
    <row r="14505" spans="4:4" x14ac:dyDescent="0.25">
      <c r="D14505"/>
    </row>
    <row r="14506" spans="4:4" x14ac:dyDescent="0.25">
      <c r="D14506"/>
    </row>
    <row r="14507" spans="4:4" x14ac:dyDescent="0.25">
      <c r="D14507"/>
    </row>
    <row r="14508" spans="4:4" x14ac:dyDescent="0.25">
      <c r="D14508"/>
    </row>
    <row r="14509" spans="4:4" x14ac:dyDescent="0.25">
      <c r="D14509"/>
    </row>
    <row r="14510" spans="4:4" x14ac:dyDescent="0.25">
      <c r="D14510"/>
    </row>
    <row r="14511" spans="4:4" x14ac:dyDescent="0.25">
      <c r="D14511"/>
    </row>
    <row r="14512" spans="4:4" x14ac:dyDescent="0.25">
      <c r="D14512"/>
    </row>
    <row r="14513" spans="4:4" x14ac:dyDescent="0.25">
      <c r="D14513"/>
    </row>
    <row r="14514" spans="4:4" x14ac:dyDescent="0.25">
      <c r="D14514"/>
    </row>
    <row r="14515" spans="4:4" x14ac:dyDescent="0.25">
      <c r="D14515"/>
    </row>
    <row r="14516" spans="4:4" x14ac:dyDescent="0.25">
      <c r="D14516"/>
    </row>
    <row r="14517" spans="4:4" x14ac:dyDescent="0.25">
      <c r="D14517"/>
    </row>
    <row r="14518" spans="4:4" x14ac:dyDescent="0.25">
      <c r="D14518"/>
    </row>
    <row r="14519" spans="4:4" x14ac:dyDescent="0.25">
      <c r="D14519"/>
    </row>
    <row r="14520" spans="4:4" x14ac:dyDescent="0.25">
      <c r="D14520"/>
    </row>
    <row r="14521" spans="4:4" x14ac:dyDescent="0.25">
      <c r="D14521"/>
    </row>
    <row r="14522" spans="4:4" x14ac:dyDescent="0.25">
      <c r="D14522"/>
    </row>
    <row r="14523" spans="4:4" x14ac:dyDescent="0.25">
      <c r="D14523"/>
    </row>
    <row r="14524" spans="4:4" x14ac:dyDescent="0.25">
      <c r="D14524"/>
    </row>
    <row r="14525" spans="4:4" x14ac:dyDescent="0.25">
      <c r="D14525"/>
    </row>
    <row r="14526" spans="4:4" x14ac:dyDescent="0.25">
      <c r="D14526"/>
    </row>
    <row r="14527" spans="4:4" x14ac:dyDescent="0.25">
      <c r="D14527"/>
    </row>
    <row r="14528" spans="4:4" x14ac:dyDescent="0.25">
      <c r="D14528"/>
    </row>
    <row r="14529" spans="4:4" x14ac:dyDescent="0.25">
      <c r="D14529"/>
    </row>
    <row r="14530" spans="4:4" x14ac:dyDescent="0.25">
      <c r="D14530"/>
    </row>
    <row r="14531" spans="4:4" x14ac:dyDescent="0.25">
      <c r="D14531"/>
    </row>
    <row r="14532" spans="4:4" x14ac:dyDescent="0.25">
      <c r="D14532"/>
    </row>
    <row r="14533" spans="4:4" x14ac:dyDescent="0.25">
      <c r="D14533"/>
    </row>
    <row r="14534" spans="4:4" x14ac:dyDescent="0.25">
      <c r="D14534"/>
    </row>
    <row r="14535" spans="4:4" x14ac:dyDescent="0.25">
      <c r="D14535"/>
    </row>
    <row r="14536" spans="4:4" x14ac:dyDescent="0.25">
      <c r="D14536"/>
    </row>
    <row r="14537" spans="4:4" x14ac:dyDescent="0.25">
      <c r="D14537"/>
    </row>
    <row r="14538" spans="4:4" x14ac:dyDescent="0.25">
      <c r="D14538"/>
    </row>
    <row r="14539" spans="4:4" x14ac:dyDescent="0.25">
      <c r="D14539"/>
    </row>
    <row r="14540" spans="4:4" x14ac:dyDescent="0.25">
      <c r="D14540"/>
    </row>
    <row r="14541" spans="4:4" x14ac:dyDescent="0.25">
      <c r="D14541"/>
    </row>
    <row r="14542" spans="4:4" x14ac:dyDescent="0.25">
      <c r="D14542"/>
    </row>
    <row r="14543" spans="4:4" x14ac:dyDescent="0.25">
      <c r="D14543"/>
    </row>
    <row r="14544" spans="4:4" x14ac:dyDescent="0.25">
      <c r="D14544"/>
    </row>
    <row r="14545" spans="4:4" x14ac:dyDescent="0.25">
      <c r="D14545"/>
    </row>
    <row r="14546" spans="4:4" x14ac:dyDescent="0.25">
      <c r="D14546"/>
    </row>
    <row r="14547" spans="4:4" x14ac:dyDescent="0.25">
      <c r="D14547"/>
    </row>
    <row r="14548" spans="4:4" x14ac:dyDescent="0.25">
      <c r="D14548"/>
    </row>
    <row r="14549" spans="4:4" x14ac:dyDescent="0.25">
      <c r="D14549"/>
    </row>
    <row r="14550" spans="4:4" x14ac:dyDescent="0.25">
      <c r="D14550"/>
    </row>
    <row r="14551" spans="4:4" x14ac:dyDescent="0.25">
      <c r="D14551"/>
    </row>
    <row r="14552" spans="4:4" x14ac:dyDescent="0.25">
      <c r="D14552"/>
    </row>
    <row r="14553" spans="4:4" x14ac:dyDescent="0.25">
      <c r="D14553"/>
    </row>
    <row r="14554" spans="4:4" x14ac:dyDescent="0.25">
      <c r="D14554"/>
    </row>
    <row r="14555" spans="4:4" x14ac:dyDescent="0.25">
      <c r="D14555"/>
    </row>
    <row r="14556" spans="4:4" x14ac:dyDescent="0.25">
      <c r="D14556"/>
    </row>
    <row r="14557" spans="4:4" x14ac:dyDescent="0.25">
      <c r="D14557"/>
    </row>
    <row r="14558" spans="4:4" x14ac:dyDescent="0.25">
      <c r="D14558"/>
    </row>
    <row r="14559" spans="4:4" x14ac:dyDescent="0.25">
      <c r="D14559"/>
    </row>
    <row r="14560" spans="4:4" x14ac:dyDescent="0.25">
      <c r="D14560"/>
    </row>
    <row r="14561" spans="4:4" x14ac:dyDescent="0.25">
      <c r="D14561"/>
    </row>
    <row r="14562" spans="4:4" x14ac:dyDescent="0.25">
      <c r="D14562"/>
    </row>
    <row r="14563" spans="4:4" x14ac:dyDescent="0.25">
      <c r="D14563"/>
    </row>
    <row r="14564" spans="4:4" x14ac:dyDescent="0.25">
      <c r="D14564"/>
    </row>
    <row r="14565" spans="4:4" x14ac:dyDescent="0.25">
      <c r="D14565"/>
    </row>
    <row r="14566" spans="4:4" x14ac:dyDescent="0.25">
      <c r="D14566"/>
    </row>
    <row r="14567" spans="4:4" x14ac:dyDescent="0.25">
      <c r="D14567"/>
    </row>
    <row r="14568" spans="4:4" x14ac:dyDescent="0.25">
      <c r="D14568"/>
    </row>
    <row r="14569" spans="4:4" x14ac:dyDescent="0.25">
      <c r="D14569"/>
    </row>
    <row r="14570" spans="4:4" x14ac:dyDescent="0.25">
      <c r="D14570"/>
    </row>
    <row r="14571" spans="4:4" x14ac:dyDescent="0.25">
      <c r="D14571"/>
    </row>
    <row r="14572" spans="4:4" x14ac:dyDescent="0.25">
      <c r="D14572"/>
    </row>
    <row r="14573" spans="4:4" x14ac:dyDescent="0.25">
      <c r="D14573"/>
    </row>
    <row r="14574" spans="4:4" x14ac:dyDescent="0.25">
      <c r="D14574"/>
    </row>
    <row r="14575" spans="4:4" x14ac:dyDescent="0.25">
      <c r="D14575"/>
    </row>
    <row r="14576" spans="4:4" x14ac:dyDescent="0.25">
      <c r="D14576"/>
    </row>
    <row r="14577" spans="4:4" x14ac:dyDescent="0.25">
      <c r="D14577"/>
    </row>
    <row r="14578" spans="4:4" x14ac:dyDescent="0.25">
      <c r="D14578"/>
    </row>
    <row r="14579" spans="4:4" x14ac:dyDescent="0.25">
      <c r="D14579"/>
    </row>
    <row r="14580" spans="4:4" x14ac:dyDescent="0.25">
      <c r="D14580"/>
    </row>
    <row r="14581" spans="4:4" x14ac:dyDescent="0.25">
      <c r="D14581"/>
    </row>
    <row r="14582" spans="4:4" x14ac:dyDescent="0.25">
      <c r="D14582"/>
    </row>
    <row r="14583" spans="4:4" x14ac:dyDescent="0.25">
      <c r="D14583"/>
    </row>
    <row r="14584" spans="4:4" x14ac:dyDescent="0.25">
      <c r="D14584"/>
    </row>
    <row r="14585" spans="4:4" x14ac:dyDescent="0.25">
      <c r="D14585"/>
    </row>
    <row r="14586" spans="4:4" x14ac:dyDescent="0.25">
      <c r="D14586"/>
    </row>
    <row r="14587" spans="4:4" x14ac:dyDescent="0.25">
      <c r="D14587"/>
    </row>
    <row r="14588" spans="4:4" x14ac:dyDescent="0.25">
      <c r="D14588"/>
    </row>
    <row r="14589" spans="4:4" x14ac:dyDescent="0.25">
      <c r="D14589"/>
    </row>
    <row r="14590" spans="4:4" x14ac:dyDescent="0.25">
      <c r="D14590"/>
    </row>
    <row r="14591" spans="4:4" x14ac:dyDescent="0.25">
      <c r="D14591"/>
    </row>
    <row r="14592" spans="4:4" x14ac:dyDescent="0.25">
      <c r="D14592"/>
    </row>
    <row r="14593" spans="4:4" x14ac:dyDescent="0.25">
      <c r="D14593"/>
    </row>
    <row r="14594" spans="4:4" x14ac:dyDescent="0.25">
      <c r="D14594"/>
    </row>
    <row r="14595" spans="4:4" x14ac:dyDescent="0.25">
      <c r="D14595"/>
    </row>
    <row r="14596" spans="4:4" x14ac:dyDescent="0.25">
      <c r="D14596"/>
    </row>
    <row r="14597" spans="4:4" x14ac:dyDescent="0.25">
      <c r="D14597"/>
    </row>
    <row r="14598" spans="4:4" x14ac:dyDescent="0.25">
      <c r="D14598"/>
    </row>
    <row r="14599" spans="4:4" x14ac:dyDescent="0.25">
      <c r="D14599"/>
    </row>
    <row r="14600" spans="4:4" x14ac:dyDescent="0.25">
      <c r="D14600"/>
    </row>
    <row r="14601" spans="4:4" x14ac:dyDescent="0.25">
      <c r="D14601"/>
    </row>
    <row r="14602" spans="4:4" x14ac:dyDescent="0.25">
      <c r="D14602"/>
    </row>
    <row r="14603" spans="4:4" x14ac:dyDescent="0.25">
      <c r="D14603"/>
    </row>
    <row r="14604" spans="4:4" x14ac:dyDescent="0.25">
      <c r="D14604"/>
    </row>
    <row r="14605" spans="4:4" x14ac:dyDescent="0.25">
      <c r="D14605"/>
    </row>
    <row r="14606" spans="4:4" x14ac:dyDescent="0.25">
      <c r="D14606"/>
    </row>
    <row r="14607" spans="4:4" x14ac:dyDescent="0.25">
      <c r="D14607"/>
    </row>
    <row r="14608" spans="4:4" x14ac:dyDescent="0.25">
      <c r="D14608"/>
    </row>
    <row r="14609" spans="4:4" x14ac:dyDescent="0.25">
      <c r="D14609"/>
    </row>
    <row r="14610" spans="4:4" x14ac:dyDescent="0.25">
      <c r="D14610"/>
    </row>
    <row r="14611" spans="4:4" x14ac:dyDescent="0.25">
      <c r="D14611"/>
    </row>
    <row r="14612" spans="4:4" x14ac:dyDescent="0.25">
      <c r="D14612"/>
    </row>
    <row r="14613" spans="4:4" x14ac:dyDescent="0.25">
      <c r="D14613"/>
    </row>
    <row r="14614" spans="4:4" x14ac:dyDescent="0.25">
      <c r="D14614"/>
    </row>
    <row r="14615" spans="4:4" x14ac:dyDescent="0.25">
      <c r="D14615"/>
    </row>
    <row r="14616" spans="4:4" x14ac:dyDescent="0.25">
      <c r="D14616"/>
    </row>
    <row r="14617" spans="4:4" x14ac:dyDescent="0.25">
      <c r="D14617"/>
    </row>
    <row r="14618" spans="4:4" x14ac:dyDescent="0.25">
      <c r="D14618"/>
    </row>
    <row r="14619" spans="4:4" x14ac:dyDescent="0.25">
      <c r="D14619"/>
    </row>
    <row r="14620" spans="4:4" x14ac:dyDescent="0.25">
      <c r="D14620"/>
    </row>
    <row r="14621" spans="4:4" x14ac:dyDescent="0.25">
      <c r="D14621"/>
    </row>
    <row r="14622" spans="4:4" x14ac:dyDescent="0.25">
      <c r="D14622"/>
    </row>
    <row r="14623" spans="4:4" x14ac:dyDescent="0.25">
      <c r="D14623"/>
    </row>
    <row r="14624" spans="4:4" x14ac:dyDescent="0.25">
      <c r="D14624"/>
    </row>
    <row r="14625" spans="4:4" x14ac:dyDescent="0.25">
      <c r="D14625"/>
    </row>
    <row r="14626" spans="4:4" x14ac:dyDescent="0.25">
      <c r="D14626"/>
    </row>
    <row r="14627" spans="4:4" x14ac:dyDescent="0.25">
      <c r="D14627"/>
    </row>
    <row r="14628" spans="4:4" x14ac:dyDescent="0.25">
      <c r="D14628"/>
    </row>
    <row r="14629" spans="4:4" x14ac:dyDescent="0.25">
      <c r="D14629"/>
    </row>
    <row r="14630" spans="4:4" x14ac:dyDescent="0.25">
      <c r="D14630"/>
    </row>
    <row r="14631" spans="4:4" x14ac:dyDescent="0.25">
      <c r="D14631"/>
    </row>
    <row r="14632" spans="4:4" x14ac:dyDescent="0.25">
      <c r="D14632"/>
    </row>
    <row r="14633" spans="4:4" x14ac:dyDescent="0.25">
      <c r="D14633"/>
    </row>
    <row r="14634" spans="4:4" x14ac:dyDescent="0.25">
      <c r="D14634"/>
    </row>
    <row r="14635" spans="4:4" x14ac:dyDescent="0.25">
      <c r="D14635"/>
    </row>
    <row r="14636" spans="4:4" x14ac:dyDescent="0.25">
      <c r="D14636"/>
    </row>
    <row r="14637" spans="4:4" x14ac:dyDescent="0.25">
      <c r="D14637"/>
    </row>
    <row r="14638" spans="4:4" x14ac:dyDescent="0.25">
      <c r="D14638"/>
    </row>
    <row r="14639" spans="4:4" x14ac:dyDescent="0.25">
      <c r="D14639"/>
    </row>
    <row r="14640" spans="4:4" x14ac:dyDescent="0.25">
      <c r="D14640"/>
    </row>
    <row r="14641" spans="4:4" x14ac:dyDescent="0.25">
      <c r="D14641"/>
    </row>
    <row r="14642" spans="4:4" x14ac:dyDescent="0.25">
      <c r="D14642"/>
    </row>
    <row r="14643" spans="4:4" x14ac:dyDescent="0.25">
      <c r="D14643"/>
    </row>
    <row r="14644" spans="4:4" x14ac:dyDescent="0.25">
      <c r="D14644"/>
    </row>
    <row r="14645" spans="4:4" x14ac:dyDescent="0.25">
      <c r="D14645"/>
    </row>
    <row r="14646" spans="4:4" x14ac:dyDescent="0.25">
      <c r="D14646"/>
    </row>
    <row r="14647" spans="4:4" x14ac:dyDescent="0.25">
      <c r="D14647"/>
    </row>
    <row r="14648" spans="4:4" x14ac:dyDescent="0.25">
      <c r="D14648"/>
    </row>
    <row r="14649" spans="4:4" x14ac:dyDescent="0.25">
      <c r="D14649"/>
    </row>
    <row r="14650" spans="4:4" x14ac:dyDescent="0.25">
      <c r="D14650"/>
    </row>
    <row r="14651" spans="4:4" x14ac:dyDescent="0.25">
      <c r="D14651"/>
    </row>
    <row r="14652" spans="4:4" x14ac:dyDescent="0.25">
      <c r="D14652"/>
    </row>
    <row r="14653" spans="4:4" x14ac:dyDescent="0.25">
      <c r="D14653"/>
    </row>
    <row r="14654" spans="4:4" x14ac:dyDescent="0.25">
      <c r="D14654"/>
    </row>
    <row r="14655" spans="4:4" x14ac:dyDescent="0.25">
      <c r="D14655"/>
    </row>
    <row r="14656" spans="4:4" x14ac:dyDescent="0.25">
      <c r="D14656"/>
    </row>
    <row r="14657" spans="4:4" x14ac:dyDescent="0.25">
      <c r="D14657"/>
    </row>
    <row r="14658" spans="4:4" x14ac:dyDescent="0.25">
      <c r="D14658"/>
    </row>
    <row r="14659" spans="4:4" x14ac:dyDescent="0.25">
      <c r="D14659"/>
    </row>
    <row r="14660" spans="4:4" x14ac:dyDescent="0.25">
      <c r="D14660"/>
    </row>
    <row r="14661" spans="4:4" x14ac:dyDescent="0.25">
      <c r="D14661"/>
    </row>
    <row r="14662" spans="4:4" x14ac:dyDescent="0.25">
      <c r="D14662"/>
    </row>
    <row r="14663" spans="4:4" x14ac:dyDescent="0.25">
      <c r="D14663"/>
    </row>
    <row r="14664" spans="4:4" x14ac:dyDescent="0.25">
      <c r="D14664"/>
    </row>
    <row r="14665" spans="4:4" x14ac:dyDescent="0.25">
      <c r="D14665"/>
    </row>
    <row r="14666" spans="4:4" x14ac:dyDescent="0.25">
      <c r="D14666"/>
    </row>
    <row r="14667" spans="4:4" x14ac:dyDescent="0.25">
      <c r="D14667"/>
    </row>
    <row r="14668" spans="4:4" x14ac:dyDescent="0.25">
      <c r="D14668"/>
    </row>
    <row r="14669" spans="4:4" x14ac:dyDescent="0.25">
      <c r="D14669"/>
    </row>
    <row r="14670" spans="4:4" x14ac:dyDescent="0.25">
      <c r="D14670"/>
    </row>
    <row r="14671" spans="4:4" x14ac:dyDescent="0.25">
      <c r="D14671"/>
    </row>
    <row r="14672" spans="4:4" x14ac:dyDescent="0.25">
      <c r="D14672"/>
    </row>
    <row r="14673" spans="4:4" x14ac:dyDescent="0.25">
      <c r="D14673"/>
    </row>
    <row r="14674" spans="4:4" x14ac:dyDescent="0.25">
      <c r="D14674"/>
    </row>
    <row r="14675" spans="4:4" x14ac:dyDescent="0.25">
      <c r="D14675"/>
    </row>
    <row r="14676" spans="4:4" x14ac:dyDescent="0.25">
      <c r="D14676"/>
    </row>
    <row r="14677" spans="4:4" x14ac:dyDescent="0.25">
      <c r="D14677"/>
    </row>
    <row r="14678" spans="4:4" x14ac:dyDescent="0.25">
      <c r="D14678"/>
    </row>
    <row r="14679" spans="4:4" x14ac:dyDescent="0.25">
      <c r="D14679"/>
    </row>
    <row r="14680" spans="4:4" x14ac:dyDescent="0.25">
      <c r="D14680"/>
    </row>
    <row r="14681" spans="4:4" x14ac:dyDescent="0.25">
      <c r="D14681"/>
    </row>
    <row r="14682" spans="4:4" x14ac:dyDescent="0.25">
      <c r="D14682"/>
    </row>
    <row r="14683" spans="4:4" x14ac:dyDescent="0.25">
      <c r="D14683"/>
    </row>
    <row r="14684" spans="4:4" x14ac:dyDescent="0.25">
      <c r="D14684"/>
    </row>
    <row r="14685" spans="4:4" x14ac:dyDescent="0.25">
      <c r="D14685"/>
    </row>
    <row r="14686" spans="4:4" x14ac:dyDescent="0.25">
      <c r="D14686"/>
    </row>
    <row r="14687" spans="4:4" x14ac:dyDescent="0.25">
      <c r="D14687"/>
    </row>
    <row r="14688" spans="4:4" x14ac:dyDescent="0.25">
      <c r="D14688"/>
    </row>
    <row r="14689" spans="4:4" x14ac:dyDescent="0.25">
      <c r="D14689"/>
    </row>
    <row r="14690" spans="4:4" x14ac:dyDescent="0.25">
      <c r="D14690"/>
    </row>
    <row r="14691" spans="4:4" x14ac:dyDescent="0.25">
      <c r="D14691"/>
    </row>
    <row r="14692" spans="4:4" x14ac:dyDescent="0.25">
      <c r="D14692"/>
    </row>
    <row r="14693" spans="4:4" x14ac:dyDescent="0.25">
      <c r="D14693"/>
    </row>
    <row r="14694" spans="4:4" x14ac:dyDescent="0.25">
      <c r="D14694"/>
    </row>
    <row r="14695" spans="4:4" x14ac:dyDescent="0.25">
      <c r="D14695"/>
    </row>
    <row r="14696" spans="4:4" x14ac:dyDescent="0.25">
      <c r="D14696"/>
    </row>
    <row r="14697" spans="4:4" x14ac:dyDescent="0.25">
      <c r="D14697"/>
    </row>
    <row r="14698" spans="4:4" x14ac:dyDescent="0.25">
      <c r="D14698"/>
    </row>
    <row r="14699" spans="4:4" x14ac:dyDescent="0.25">
      <c r="D14699"/>
    </row>
    <row r="14700" spans="4:4" x14ac:dyDescent="0.25">
      <c r="D14700"/>
    </row>
    <row r="14701" spans="4:4" x14ac:dyDescent="0.25">
      <c r="D14701"/>
    </row>
    <row r="14702" spans="4:4" x14ac:dyDescent="0.25">
      <c r="D14702"/>
    </row>
    <row r="14703" spans="4:4" x14ac:dyDescent="0.25">
      <c r="D14703"/>
    </row>
    <row r="14704" spans="4:4" x14ac:dyDescent="0.25">
      <c r="D14704"/>
    </row>
    <row r="14705" spans="4:4" x14ac:dyDescent="0.25">
      <c r="D14705"/>
    </row>
    <row r="14706" spans="4:4" x14ac:dyDescent="0.25">
      <c r="D14706"/>
    </row>
    <row r="14707" spans="4:4" x14ac:dyDescent="0.25">
      <c r="D14707"/>
    </row>
    <row r="14708" spans="4:4" x14ac:dyDescent="0.25">
      <c r="D14708"/>
    </row>
    <row r="14709" spans="4:4" x14ac:dyDescent="0.25">
      <c r="D14709"/>
    </row>
    <row r="14710" spans="4:4" x14ac:dyDescent="0.25">
      <c r="D14710"/>
    </row>
    <row r="14711" spans="4:4" x14ac:dyDescent="0.25">
      <c r="D14711"/>
    </row>
    <row r="14712" spans="4:4" x14ac:dyDescent="0.25">
      <c r="D14712"/>
    </row>
    <row r="14713" spans="4:4" x14ac:dyDescent="0.25">
      <c r="D14713"/>
    </row>
    <row r="14714" spans="4:4" x14ac:dyDescent="0.25">
      <c r="D14714"/>
    </row>
    <row r="14715" spans="4:4" x14ac:dyDescent="0.25">
      <c r="D14715"/>
    </row>
    <row r="14716" spans="4:4" x14ac:dyDescent="0.25">
      <c r="D14716"/>
    </row>
    <row r="14717" spans="4:4" x14ac:dyDescent="0.25">
      <c r="D14717"/>
    </row>
    <row r="14718" spans="4:4" x14ac:dyDescent="0.25">
      <c r="D14718"/>
    </row>
    <row r="14719" spans="4:4" x14ac:dyDescent="0.25">
      <c r="D14719"/>
    </row>
    <row r="14720" spans="4:4" x14ac:dyDescent="0.25">
      <c r="D14720"/>
    </row>
    <row r="14721" spans="4:4" x14ac:dyDescent="0.25">
      <c r="D14721"/>
    </row>
    <row r="14722" spans="4:4" x14ac:dyDescent="0.25">
      <c r="D14722"/>
    </row>
    <row r="14723" spans="4:4" x14ac:dyDescent="0.25">
      <c r="D14723"/>
    </row>
    <row r="14724" spans="4:4" x14ac:dyDescent="0.25">
      <c r="D14724"/>
    </row>
    <row r="14725" spans="4:4" x14ac:dyDescent="0.25">
      <c r="D14725"/>
    </row>
    <row r="14726" spans="4:4" x14ac:dyDescent="0.25">
      <c r="D14726"/>
    </row>
    <row r="14727" spans="4:4" x14ac:dyDescent="0.25">
      <c r="D14727"/>
    </row>
    <row r="14728" spans="4:4" x14ac:dyDescent="0.25">
      <c r="D14728"/>
    </row>
    <row r="14729" spans="4:4" x14ac:dyDescent="0.25">
      <c r="D14729"/>
    </row>
    <row r="14730" spans="4:4" x14ac:dyDescent="0.25">
      <c r="D14730"/>
    </row>
    <row r="14731" spans="4:4" x14ac:dyDescent="0.25">
      <c r="D14731"/>
    </row>
    <row r="14732" spans="4:4" x14ac:dyDescent="0.25">
      <c r="D14732"/>
    </row>
    <row r="14733" spans="4:4" x14ac:dyDescent="0.25">
      <c r="D14733"/>
    </row>
    <row r="14734" spans="4:4" x14ac:dyDescent="0.25">
      <c r="D14734"/>
    </row>
    <row r="14735" spans="4:4" x14ac:dyDescent="0.25">
      <c r="D14735"/>
    </row>
    <row r="14736" spans="4:4" x14ac:dyDescent="0.25">
      <c r="D14736"/>
    </row>
    <row r="14737" spans="4:4" x14ac:dyDescent="0.25">
      <c r="D14737"/>
    </row>
    <row r="14738" spans="4:4" x14ac:dyDescent="0.25">
      <c r="D14738"/>
    </row>
    <row r="14739" spans="4:4" x14ac:dyDescent="0.25">
      <c r="D14739"/>
    </row>
    <row r="14740" spans="4:4" x14ac:dyDescent="0.25">
      <c r="D14740"/>
    </row>
    <row r="14741" spans="4:4" x14ac:dyDescent="0.25">
      <c r="D14741"/>
    </row>
    <row r="14742" spans="4:4" x14ac:dyDescent="0.25">
      <c r="D14742"/>
    </row>
    <row r="14743" spans="4:4" x14ac:dyDescent="0.25">
      <c r="D14743"/>
    </row>
    <row r="14744" spans="4:4" x14ac:dyDescent="0.25">
      <c r="D14744"/>
    </row>
    <row r="14745" spans="4:4" x14ac:dyDescent="0.25">
      <c r="D14745"/>
    </row>
    <row r="14746" spans="4:4" x14ac:dyDescent="0.25">
      <c r="D14746"/>
    </row>
    <row r="14747" spans="4:4" x14ac:dyDescent="0.25">
      <c r="D14747"/>
    </row>
    <row r="14748" spans="4:4" x14ac:dyDescent="0.25">
      <c r="D14748"/>
    </row>
    <row r="14749" spans="4:4" x14ac:dyDescent="0.25">
      <c r="D14749"/>
    </row>
    <row r="14750" spans="4:4" x14ac:dyDescent="0.25">
      <c r="D14750"/>
    </row>
    <row r="14751" spans="4:4" x14ac:dyDescent="0.25">
      <c r="D14751"/>
    </row>
    <row r="14752" spans="4:4" x14ac:dyDescent="0.25">
      <c r="D14752"/>
    </row>
    <row r="14753" spans="4:4" x14ac:dyDescent="0.25">
      <c r="D14753"/>
    </row>
    <row r="14754" spans="4:4" x14ac:dyDescent="0.25">
      <c r="D14754"/>
    </row>
    <row r="14755" spans="4:4" x14ac:dyDescent="0.25">
      <c r="D14755"/>
    </row>
    <row r="14756" spans="4:4" x14ac:dyDescent="0.25">
      <c r="D14756"/>
    </row>
    <row r="14757" spans="4:4" x14ac:dyDescent="0.25">
      <c r="D14757"/>
    </row>
    <row r="14758" spans="4:4" x14ac:dyDescent="0.25">
      <c r="D14758"/>
    </row>
    <row r="14759" spans="4:4" x14ac:dyDescent="0.25">
      <c r="D14759"/>
    </row>
    <row r="14760" spans="4:4" x14ac:dyDescent="0.25">
      <c r="D14760"/>
    </row>
    <row r="14761" spans="4:4" x14ac:dyDescent="0.25">
      <c r="D14761"/>
    </row>
    <row r="14762" spans="4:4" x14ac:dyDescent="0.25">
      <c r="D14762"/>
    </row>
    <row r="14763" spans="4:4" x14ac:dyDescent="0.25">
      <c r="D14763"/>
    </row>
    <row r="14764" spans="4:4" x14ac:dyDescent="0.25">
      <c r="D14764"/>
    </row>
    <row r="14765" spans="4:4" x14ac:dyDescent="0.25">
      <c r="D14765"/>
    </row>
    <row r="14766" spans="4:4" x14ac:dyDescent="0.25">
      <c r="D14766"/>
    </row>
    <row r="14767" spans="4:4" x14ac:dyDescent="0.25">
      <c r="D14767"/>
    </row>
    <row r="14768" spans="4:4" x14ac:dyDescent="0.25">
      <c r="D14768"/>
    </row>
    <row r="14769" spans="4:4" x14ac:dyDescent="0.25">
      <c r="D14769"/>
    </row>
    <row r="14770" spans="4:4" x14ac:dyDescent="0.25">
      <c r="D14770"/>
    </row>
    <row r="14771" spans="4:4" x14ac:dyDescent="0.25">
      <c r="D14771"/>
    </row>
    <row r="14772" spans="4:4" x14ac:dyDescent="0.25">
      <c r="D14772"/>
    </row>
    <row r="14773" spans="4:4" x14ac:dyDescent="0.25">
      <c r="D14773"/>
    </row>
    <row r="14774" spans="4:4" x14ac:dyDescent="0.25">
      <c r="D14774"/>
    </row>
    <row r="14775" spans="4:4" x14ac:dyDescent="0.25">
      <c r="D14775"/>
    </row>
    <row r="14776" spans="4:4" x14ac:dyDescent="0.25">
      <c r="D14776"/>
    </row>
    <row r="14777" spans="4:4" x14ac:dyDescent="0.25">
      <c r="D14777"/>
    </row>
    <row r="14778" spans="4:4" x14ac:dyDescent="0.25">
      <c r="D14778"/>
    </row>
    <row r="14779" spans="4:4" x14ac:dyDescent="0.25">
      <c r="D14779"/>
    </row>
    <row r="14780" spans="4:4" x14ac:dyDescent="0.25">
      <c r="D14780"/>
    </row>
    <row r="14781" spans="4:4" x14ac:dyDescent="0.25">
      <c r="D14781"/>
    </row>
    <row r="14782" spans="4:4" x14ac:dyDescent="0.25">
      <c r="D14782"/>
    </row>
    <row r="14783" spans="4:4" x14ac:dyDescent="0.25">
      <c r="D14783"/>
    </row>
    <row r="14784" spans="4:4" x14ac:dyDescent="0.25">
      <c r="D14784"/>
    </row>
    <row r="14785" spans="4:4" x14ac:dyDescent="0.25">
      <c r="D14785"/>
    </row>
    <row r="14786" spans="4:4" x14ac:dyDescent="0.25">
      <c r="D14786"/>
    </row>
    <row r="14787" spans="4:4" x14ac:dyDescent="0.25">
      <c r="D14787"/>
    </row>
    <row r="14788" spans="4:4" x14ac:dyDescent="0.25">
      <c r="D14788"/>
    </row>
    <row r="14789" spans="4:4" x14ac:dyDescent="0.25">
      <c r="D14789"/>
    </row>
    <row r="14790" spans="4:4" x14ac:dyDescent="0.25">
      <c r="D14790"/>
    </row>
    <row r="14791" spans="4:4" x14ac:dyDescent="0.25">
      <c r="D14791"/>
    </row>
    <row r="14792" spans="4:4" x14ac:dyDescent="0.25">
      <c r="D14792"/>
    </row>
    <row r="14793" spans="4:4" x14ac:dyDescent="0.25">
      <c r="D14793"/>
    </row>
    <row r="14794" spans="4:4" x14ac:dyDescent="0.25">
      <c r="D14794"/>
    </row>
    <row r="14795" spans="4:4" x14ac:dyDescent="0.25">
      <c r="D14795"/>
    </row>
    <row r="14796" spans="4:4" x14ac:dyDescent="0.25">
      <c r="D14796"/>
    </row>
    <row r="14797" spans="4:4" x14ac:dyDescent="0.25">
      <c r="D14797"/>
    </row>
    <row r="14798" spans="4:4" x14ac:dyDescent="0.25">
      <c r="D14798"/>
    </row>
    <row r="14799" spans="4:4" x14ac:dyDescent="0.25">
      <c r="D14799"/>
    </row>
    <row r="14800" spans="4:4" x14ac:dyDescent="0.25">
      <c r="D14800"/>
    </row>
    <row r="14801" spans="4:4" x14ac:dyDescent="0.25">
      <c r="D14801"/>
    </row>
    <row r="14802" spans="4:4" x14ac:dyDescent="0.25">
      <c r="D14802"/>
    </row>
    <row r="14803" spans="4:4" x14ac:dyDescent="0.25">
      <c r="D14803"/>
    </row>
    <row r="14804" spans="4:4" x14ac:dyDescent="0.25">
      <c r="D14804"/>
    </row>
    <row r="14805" spans="4:4" x14ac:dyDescent="0.25">
      <c r="D14805"/>
    </row>
    <row r="14806" spans="4:4" x14ac:dyDescent="0.25">
      <c r="D14806"/>
    </row>
    <row r="14807" spans="4:4" x14ac:dyDescent="0.25">
      <c r="D14807"/>
    </row>
    <row r="14808" spans="4:4" x14ac:dyDescent="0.25">
      <c r="D14808"/>
    </row>
    <row r="14809" spans="4:4" x14ac:dyDescent="0.25">
      <c r="D14809"/>
    </row>
    <row r="14810" spans="4:4" x14ac:dyDescent="0.25">
      <c r="D14810"/>
    </row>
    <row r="14811" spans="4:4" x14ac:dyDescent="0.25">
      <c r="D14811"/>
    </row>
    <row r="14812" spans="4:4" x14ac:dyDescent="0.25">
      <c r="D14812"/>
    </row>
    <row r="14813" spans="4:4" x14ac:dyDescent="0.25">
      <c r="D14813"/>
    </row>
    <row r="14814" spans="4:4" x14ac:dyDescent="0.25">
      <c r="D14814"/>
    </row>
    <row r="14815" spans="4:4" x14ac:dyDescent="0.25">
      <c r="D14815"/>
    </row>
    <row r="14816" spans="4:4" x14ac:dyDescent="0.25">
      <c r="D14816"/>
    </row>
    <row r="14817" spans="4:4" x14ac:dyDescent="0.25">
      <c r="D14817"/>
    </row>
    <row r="14818" spans="4:4" x14ac:dyDescent="0.25">
      <c r="D14818"/>
    </row>
    <row r="14819" spans="4:4" x14ac:dyDescent="0.25">
      <c r="D14819"/>
    </row>
    <row r="14820" spans="4:4" x14ac:dyDescent="0.25">
      <c r="D14820"/>
    </row>
    <row r="14821" spans="4:4" x14ac:dyDescent="0.25">
      <c r="D14821"/>
    </row>
    <row r="14822" spans="4:4" x14ac:dyDescent="0.25">
      <c r="D14822"/>
    </row>
    <row r="14823" spans="4:4" x14ac:dyDescent="0.25">
      <c r="D14823"/>
    </row>
    <row r="14824" spans="4:4" x14ac:dyDescent="0.25">
      <c r="D14824"/>
    </row>
    <row r="14825" spans="4:4" x14ac:dyDescent="0.25">
      <c r="D14825"/>
    </row>
    <row r="14826" spans="4:4" x14ac:dyDescent="0.25">
      <c r="D14826"/>
    </row>
    <row r="14827" spans="4:4" x14ac:dyDescent="0.25">
      <c r="D14827"/>
    </row>
    <row r="14828" spans="4:4" x14ac:dyDescent="0.25">
      <c r="D14828"/>
    </row>
    <row r="14829" spans="4:4" x14ac:dyDescent="0.25">
      <c r="D14829"/>
    </row>
    <row r="14830" spans="4:4" x14ac:dyDescent="0.25">
      <c r="D14830"/>
    </row>
    <row r="14831" spans="4:4" x14ac:dyDescent="0.25">
      <c r="D14831"/>
    </row>
    <row r="14832" spans="4:4" x14ac:dyDescent="0.25">
      <c r="D14832"/>
    </row>
    <row r="14833" spans="4:4" x14ac:dyDescent="0.25">
      <c r="D14833"/>
    </row>
    <row r="14834" spans="4:4" x14ac:dyDescent="0.25">
      <c r="D14834"/>
    </row>
    <row r="14835" spans="4:4" x14ac:dyDescent="0.25">
      <c r="D14835"/>
    </row>
    <row r="14836" spans="4:4" x14ac:dyDescent="0.25">
      <c r="D14836"/>
    </row>
    <row r="14837" spans="4:4" x14ac:dyDescent="0.25">
      <c r="D14837"/>
    </row>
    <row r="14838" spans="4:4" x14ac:dyDescent="0.25">
      <c r="D14838"/>
    </row>
    <row r="14839" spans="4:4" x14ac:dyDescent="0.25">
      <c r="D14839"/>
    </row>
    <row r="14840" spans="4:4" x14ac:dyDescent="0.25">
      <c r="D14840"/>
    </row>
    <row r="14841" spans="4:4" x14ac:dyDescent="0.25">
      <c r="D14841"/>
    </row>
    <row r="14842" spans="4:4" x14ac:dyDescent="0.25">
      <c r="D14842"/>
    </row>
    <row r="14843" spans="4:4" x14ac:dyDescent="0.25">
      <c r="D14843"/>
    </row>
    <row r="14844" spans="4:4" x14ac:dyDescent="0.25">
      <c r="D14844"/>
    </row>
    <row r="14845" spans="4:4" x14ac:dyDescent="0.25">
      <c r="D14845"/>
    </row>
    <row r="14846" spans="4:4" x14ac:dyDescent="0.25">
      <c r="D14846"/>
    </row>
    <row r="14847" spans="4:4" x14ac:dyDescent="0.25">
      <c r="D14847"/>
    </row>
    <row r="14848" spans="4:4" x14ac:dyDescent="0.25">
      <c r="D14848"/>
    </row>
    <row r="14849" spans="4:4" x14ac:dyDescent="0.25">
      <c r="D14849"/>
    </row>
    <row r="14850" spans="4:4" x14ac:dyDescent="0.25">
      <c r="D14850"/>
    </row>
    <row r="14851" spans="4:4" x14ac:dyDescent="0.25">
      <c r="D14851"/>
    </row>
    <row r="14852" spans="4:4" x14ac:dyDescent="0.25">
      <c r="D14852"/>
    </row>
    <row r="14853" spans="4:4" x14ac:dyDescent="0.25">
      <c r="D14853"/>
    </row>
    <row r="14854" spans="4:4" x14ac:dyDescent="0.25">
      <c r="D14854"/>
    </row>
    <row r="14855" spans="4:4" x14ac:dyDescent="0.25">
      <c r="D14855"/>
    </row>
    <row r="14856" spans="4:4" x14ac:dyDescent="0.25">
      <c r="D14856"/>
    </row>
    <row r="14857" spans="4:4" x14ac:dyDescent="0.25">
      <c r="D14857"/>
    </row>
    <row r="14858" spans="4:4" x14ac:dyDescent="0.25">
      <c r="D14858"/>
    </row>
    <row r="14859" spans="4:4" x14ac:dyDescent="0.25">
      <c r="D14859"/>
    </row>
    <row r="14860" spans="4:4" x14ac:dyDescent="0.25">
      <c r="D14860"/>
    </row>
    <row r="14861" spans="4:4" x14ac:dyDescent="0.25">
      <c r="D14861"/>
    </row>
    <row r="14862" spans="4:4" x14ac:dyDescent="0.25">
      <c r="D14862"/>
    </row>
    <row r="14863" spans="4:4" x14ac:dyDescent="0.25">
      <c r="D14863"/>
    </row>
    <row r="14864" spans="4:4" x14ac:dyDescent="0.25">
      <c r="D14864"/>
    </row>
    <row r="14865" spans="4:4" x14ac:dyDescent="0.25">
      <c r="D14865"/>
    </row>
    <row r="14866" spans="4:4" x14ac:dyDescent="0.25">
      <c r="D14866"/>
    </row>
    <row r="14867" spans="4:4" x14ac:dyDescent="0.25">
      <c r="D14867"/>
    </row>
    <row r="14868" spans="4:4" x14ac:dyDescent="0.25">
      <c r="D14868"/>
    </row>
    <row r="14869" spans="4:4" x14ac:dyDescent="0.25">
      <c r="D14869"/>
    </row>
    <row r="14870" spans="4:4" x14ac:dyDescent="0.25">
      <c r="D14870"/>
    </row>
    <row r="14871" spans="4:4" x14ac:dyDescent="0.25">
      <c r="D14871"/>
    </row>
    <row r="14872" spans="4:4" x14ac:dyDescent="0.25">
      <c r="D14872"/>
    </row>
    <row r="14873" spans="4:4" x14ac:dyDescent="0.25">
      <c r="D14873"/>
    </row>
    <row r="14874" spans="4:4" x14ac:dyDescent="0.25">
      <c r="D14874"/>
    </row>
    <row r="14875" spans="4:4" x14ac:dyDescent="0.25">
      <c r="D14875"/>
    </row>
    <row r="14876" spans="4:4" x14ac:dyDescent="0.25">
      <c r="D14876"/>
    </row>
    <row r="14877" spans="4:4" x14ac:dyDescent="0.25">
      <c r="D14877"/>
    </row>
    <row r="14878" spans="4:4" x14ac:dyDescent="0.25">
      <c r="D14878"/>
    </row>
    <row r="14879" spans="4:4" x14ac:dyDescent="0.25">
      <c r="D14879"/>
    </row>
    <row r="14880" spans="4:4" x14ac:dyDescent="0.25">
      <c r="D14880"/>
    </row>
    <row r="14881" spans="4:4" x14ac:dyDescent="0.25">
      <c r="D14881"/>
    </row>
    <row r="14882" spans="4:4" x14ac:dyDescent="0.25">
      <c r="D14882"/>
    </row>
    <row r="14883" spans="4:4" x14ac:dyDescent="0.25">
      <c r="D14883"/>
    </row>
    <row r="14884" spans="4:4" x14ac:dyDescent="0.25">
      <c r="D14884"/>
    </row>
    <row r="14885" spans="4:4" x14ac:dyDescent="0.25">
      <c r="D14885"/>
    </row>
    <row r="14886" spans="4:4" x14ac:dyDescent="0.25">
      <c r="D14886"/>
    </row>
    <row r="14887" spans="4:4" x14ac:dyDescent="0.25">
      <c r="D14887"/>
    </row>
    <row r="14888" spans="4:4" x14ac:dyDescent="0.25">
      <c r="D14888"/>
    </row>
    <row r="14889" spans="4:4" x14ac:dyDescent="0.25">
      <c r="D14889"/>
    </row>
    <row r="14890" spans="4:4" x14ac:dyDescent="0.25">
      <c r="D14890"/>
    </row>
    <row r="14891" spans="4:4" x14ac:dyDescent="0.25">
      <c r="D14891"/>
    </row>
    <row r="14892" spans="4:4" x14ac:dyDescent="0.25">
      <c r="D14892"/>
    </row>
    <row r="14893" spans="4:4" x14ac:dyDescent="0.25">
      <c r="D14893"/>
    </row>
    <row r="14894" spans="4:4" x14ac:dyDescent="0.25">
      <c r="D14894"/>
    </row>
    <row r="14895" spans="4:4" x14ac:dyDescent="0.25">
      <c r="D14895"/>
    </row>
    <row r="14896" spans="4:4" x14ac:dyDescent="0.25">
      <c r="D14896"/>
    </row>
    <row r="14897" spans="4:4" x14ac:dyDescent="0.25">
      <c r="D14897"/>
    </row>
    <row r="14898" spans="4:4" x14ac:dyDescent="0.25">
      <c r="D14898"/>
    </row>
    <row r="14899" spans="4:4" x14ac:dyDescent="0.25">
      <c r="D14899"/>
    </row>
    <row r="14900" spans="4:4" x14ac:dyDescent="0.25">
      <c r="D14900"/>
    </row>
    <row r="14901" spans="4:4" x14ac:dyDescent="0.25">
      <c r="D14901"/>
    </row>
    <row r="14902" spans="4:4" x14ac:dyDescent="0.25">
      <c r="D14902"/>
    </row>
    <row r="14903" spans="4:4" x14ac:dyDescent="0.25">
      <c r="D14903"/>
    </row>
    <row r="14904" spans="4:4" x14ac:dyDescent="0.25">
      <c r="D14904"/>
    </row>
    <row r="14905" spans="4:4" x14ac:dyDescent="0.25">
      <c r="D14905"/>
    </row>
    <row r="14906" spans="4:4" x14ac:dyDescent="0.25">
      <c r="D14906"/>
    </row>
    <row r="14907" spans="4:4" x14ac:dyDescent="0.25">
      <c r="D14907"/>
    </row>
    <row r="14908" spans="4:4" x14ac:dyDescent="0.25">
      <c r="D14908"/>
    </row>
    <row r="14909" spans="4:4" x14ac:dyDescent="0.25">
      <c r="D14909"/>
    </row>
    <row r="14910" spans="4:4" x14ac:dyDescent="0.25">
      <c r="D14910"/>
    </row>
    <row r="14911" spans="4:4" x14ac:dyDescent="0.25">
      <c r="D14911"/>
    </row>
    <row r="14912" spans="4:4" x14ac:dyDescent="0.25">
      <c r="D14912"/>
    </row>
    <row r="14913" spans="4:4" x14ac:dyDescent="0.25">
      <c r="D14913"/>
    </row>
    <row r="14914" spans="4:4" x14ac:dyDescent="0.25">
      <c r="D14914"/>
    </row>
    <row r="14915" spans="4:4" x14ac:dyDescent="0.25">
      <c r="D14915"/>
    </row>
    <row r="14916" spans="4:4" x14ac:dyDescent="0.25">
      <c r="D14916"/>
    </row>
    <row r="14917" spans="4:4" x14ac:dyDescent="0.25">
      <c r="D14917"/>
    </row>
    <row r="14918" spans="4:4" x14ac:dyDescent="0.25">
      <c r="D14918"/>
    </row>
    <row r="14919" spans="4:4" x14ac:dyDescent="0.25">
      <c r="D14919"/>
    </row>
    <row r="14920" spans="4:4" x14ac:dyDescent="0.25">
      <c r="D14920"/>
    </row>
    <row r="14921" spans="4:4" x14ac:dyDescent="0.25">
      <c r="D14921"/>
    </row>
    <row r="14922" spans="4:4" x14ac:dyDescent="0.25">
      <c r="D14922"/>
    </row>
    <row r="14923" spans="4:4" x14ac:dyDescent="0.25">
      <c r="D14923"/>
    </row>
    <row r="14924" spans="4:4" x14ac:dyDescent="0.25">
      <c r="D14924"/>
    </row>
    <row r="14925" spans="4:4" x14ac:dyDescent="0.25">
      <c r="D14925"/>
    </row>
    <row r="14926" spans="4:4" x14ac:dyDescent="0.25">
      <c r="D14926"/>
    </row>
    <row r="14927" spans="4:4" x14ac:dyDescent="0.25">
      <c r="D14927"/>
    </row>
    <row r="14928" spans="4:4" x14ac:dyDescent="0.25">
      <c r="D14928"/>
    </row>
    <row r="14929" spans="4:4" x14ac:dyDescent="0.25">
      <c r="D14929"/>
    </row>
    <row r="14930" spans="4:4" x14ac:dyDescent="0.25">
      <c r="D14930"/>
    </row>
    <row r="14931" spans="4:4" x14ac:dyDescent="0.25">
      <c r="D14931"/>
    </row>
    <row r="14932" spans="4:4" x14ac:dyDescent="0.25">
      <c r="D14932"/>
    </row>
    <row r="14933" spans="4:4" x14ac:dyDescent="0.25">
      <c r="D14933"/>
    </row>
    <row r="14934" spans="4:4" x14ac:dyDescent="0.25">
      <c r="D14934"/>
    </row>
    <row r="14935" spans="4:4" x14ac:dyDescent="0.25">
      <c r="D14935"/>
    </row>
    <row r="14936" spans="4:4" x14ac:dyDescent="0.25">
      <c r="D14936"/>
    </row>
    <row r="14937" spans="4:4" x14ac:dyDescent="0.25">
      <c r="D14937"/>
    </row>
    <row r="14938" spans="4:4" x14ac:dyDescent="0.25">
      <c r="D14938"/>
    </row>
    <row r="14939" spans="4:4" x14ac:dyDescent="0.25">
      <c r="D14939"/>
    </row>
    <row r="14940" spans="4:4" x14ac:dyDescent="0.25">
      <c r="D14940"/>
    </row>
    <row r="14941" spans="4:4" x14ac:dyDescent="0.25">
      <c r="D14941"/>
    </row>
    <row r="14942" spans="4:4" x14ac:dyDescent="0.25">
      <c r="D14942"/>
    </row>
    <row r="14943" spans="4:4" x14ac:dyDescent="0.25">
      <c r="D14943"/>
    </row>
    <row r="14944" spans="4:4" x14ac:dyDescent="0.25">
      <c r="D14944"/>
    </row>
    <row r="14945" spans="4:4" x14ac:dyDescent="0.25">
      <c r="D14945"/>
    </row>
    <row r="14946" spans="4:4" x14ac:dyDescent="0.25">
      <c r="D14946"/>
    </row>
    <row r="14947" spans="4:4" x14ac:dyDescent="0.25">
      <c r="D14947"/>
    </row>
    <row r="14948" spans="4:4" x14ac:dyDescent="0.25">
      <c r="D14948"/>
    </row>
    <row r="14949" spans="4:4" x14ac:dyDescent="0.25">
      <c r="D14949"/>
    </row>
    <row r="14950" spans="4:4" x14ac:dyDescent="0.25">
      <c r="D14950"/>
    </row>
    <row r="14951" spans="4:4" x14ac:dyDescent="0.25">
      <c r="D14951"/>
    </row>
    <row r="14952" spans="4:4" x14ac:dyDescent="0.25">
      <c r="D14952"/>
    </row>
    <row r="14953" spans="4:4" x14ac:dyDescent="0.25">
      <c r="D14953"/>
    </row>
    <row r="14954" spans="4:4" x14ac:dyDescent="0.25">
      <c r="D14954"/>
    </row>
    <row r="14955" spans="4:4" x14ac:dyDescent="0.25">
      <c r="D14955"/>
    </row>
    <row r="14956" spans="4:4" x14ac:dyDescent="0.25">
      <c r="D14956"/>
    </row>
    <row r="14957" spans="4:4" x14ac:dyDescent="0.25">
      <c r="D14957"/>
    </row>
    <row r="14958" spans="4:4" x14ac:dyDescent="0.25">
      <c r="D14958"/>
    </row>
    <row r="14959" spans="4:4" x14ac:dyDescent="0.25">
      <c r="D14959"/>
    </row>
    <row r="14960" spans="4:4" x14ac:dyDescent="0.25">
      <c r="D14960"/>
    </row>
    <row r="14961" spans="4:4" x14ac:dyDescent="0.25">
      <c r="D14961"/>
    </row>
    <row r="14962" spans="4:4" x14ac:dyDescent="0.25">
      <c r="D14962"/>
    </row>
    <row r="14963" spans="4:4" x14ac:dyDescent="0.25">
      <c r="D14963"/>
    </row>
    <row r="14964" spans="4:4" x14ac:dyDescent="0.25">
      <c r="D14964"/>
    </row>
    <row r="14965" spans="4:4" x14ac:dyDescent="0.25">
      <c r="D14965"/>
    </row>
    <row r="14966" spans="4:4" x14ac:dyDescent="0.25">
      <c r="D14966"/>
    </row>
    <row r="14967" spans="4:4" x14ac:dyDescent="0.25">
      <c r="D14967"/>
    </row>
    <row r="14968" spans="4:4" x14ac:dyDescent="0.25">
      <c r="D14968"/>
    </row>
    <row r="14969" spans="4:4" x14ac:dyDescent="0.25">
      <c r="D14969"/>
    </row>
    <row r="14970" spans="4:4" x14ac:dyDescent="0.25">
      <c r="D14970"/>
    </row>
    <row r="14971" spans="4:4" x14ac:dyDescent="0.25">
      <c r="D14971"/>
    </row>
    <row r="14972" spans="4:4" x14ac:dyDescent="0.25">
      <c r="D14972"/>
    </row>
    <row r="14973" spans="4:4" x14ac:dyDescent="0.25">
      <c r="D14973"/>
    </row>
    <row r="14974" spans="4:4" x14ac:dyDescent="0.25">
      <c r="D14974"/>
    </row>
    <row r="14975" spans="4:4" x14ac:dyDescent="0.25">
      <c r="D14975"/>
    </row>
    <row r="14976" spans="4:4" x14ac:dyDescent="0.25">
      <c r="D14976"/>
    </row>
    <row r="14977" spans="4:4" x14ac:dyDescent="0.25">
      <c r="D14977"/>
    </row>
    <row r="14978" spans="4:4" x14ac:dyDescent="0.25">
      <c r="D14978"/>
    </row>
    <row r="14979" spans="4:4" x14ac:dyDescent="0.25">
      <c r="D14979"/>
    </row>
    <row r="14980" spans="4:4" x14ac:dyDescent="0.25">
      <c r="D14980"/>
    </row>
    <row r="14981" spans="4:4" x14ac:dyDescent="0.25">
      <c r="D14981"/>
    </row>
    <row r="14982" spans="4:4" x14ac:dyDescent="0.25">
      <c r="D14982"/>
    </row>
    <row r="14983" spans="4:4" x14ac:dyDescent="0.25">
      <c r="D14983"/>
    </row>
    <row r="14984" spans="4:4" x14ac:dyDescent="0.25">
      <c r="D14984"/>
    </row>
    <row r="14985" spans="4:4" x14ac:dyDescent="0.25">
      <c r="D14985"/>
    </row>
    <row r="14986" spans="4:4" x14ac:dyDescent="0.25">
      <c r="D14986"/>
    </row>
    <row r="14987" spans="4:4" x14ac:dyDescent="0.25">
      <c r="D14987"/>
    </row>
    <row r="14988" spans="4:4" x14ac:dyDescent="0.25">
      <c r="D14988"/>
    </row>
    <row r="14989" spans="4:4" x14ac:dyDescent="0.25">
      <c r="D14989"/>
    </row>
    <row r="14990" spans="4:4" x14ac:dyDescent="0.25">
      <c r="D14990"/>
    </row>
    <row r="14991" spans="4:4" x14ac:dyDescent="0.25">
      <c r="D14991"/>
    </row>
    <row r="14992" spans="4:4" x14ac:dyDescent="0.25">
      <c r="D14992"/>
    </row>
    <row r="14993" spans="4:4" x14ac:dyDescent="0.25">
      <c r="D14993"/>
    </row>
    <row r="14994" spans="4:4" x14ac:dyDescent="0.25">
      <c r="D14994"/>
    </row>
    <row r="14995" spans="4:4" x14ac:dyDescent="0.25">
      <c r="D14995"/>
    </row>
    <row r="14996" spans="4:4" x14ac:dyDescent="0.25">
      <c r="D14996"/>
    </row>
    <row r="14997" spans="4:4" x14ac:dyDescent="0.25">
      <c r="D14997"/>
    </row>
    <row r="14998" spans="4:4" x14ac:dyDescent="0.25">
      <c r="D14998"/>
    </row>
    <row r="14999" spans="4:4" x14ac:dyDescent="0.25">
      <c r="D14999"/>
    </row>
    <row r="15000" spans="4:4" x14ac:dyDescent="0.25">
      <c r="D15000"/>
    </row>
    <row r="15001" spans="4:4" x14ac:dyDescent="0.25">
      <c r="D15001"/>
    </row>
    <row r="15002" spans="4:4" x14ac:dyDescent="0.25">
      <c r="D15002"/>
    </row>
    <row r="15003" spans="4:4" x14ac:dyDescent="0.25">
      <c r="D15003"/>
    </row>
    <row r="15004" spans="4:4" x14ac:dyDescent="0.25">
      <c r="D15004"/>
    </row>
    <row r="15005" spans="4:4" x14ac:dyDescent="0.25">
      <c r="D15005"/>
    </row>
    <row r="15006" spans="4:4" x14ac:dyDescent="0.25">
      <c r="D15006"/>
    </row>
    <row r="15007" spans="4:4" x14ac:dyDescent="0.25">
      <c r="D15007"/>
    </row>
    <row r="15008" spans="4:4" x14ac:dyDescent="0.25">
      <c r="D15008"/>
    </row>
    <row r="15009" spans="4:4" x14ac:dyDescent="0.25">
      <c r="D15009"/>
    </row>
    <row r="15010" spans="4:4" x14ac:dyDescent="0.25">
      <c r="D15010"/>
    </row>
    <row r="15011" spans="4:4" x14ac:dyDescent="0.25">
      <c r="D15011"/>
    </row>
    <row r="15012" spans="4:4" x14ac:dyDescent="0.25">
      <c r="D15012"/>
    </row>
    <row r="15013" spans="4:4" x14ac:dyDescent="0.25">
      <c r="D15013"/>
    </row>
    <row r="15014" spans="4:4" x14ac:dyDescent="0.25">
      <c r="D15014"/>
    </row>
    <row r="15015" spans="4:4" x14ac:dyDescent="0.25">
      <c r="D15015"/>
    </row>
    <row r="15016" spans="4:4" x14ac:dyDescent="0.25">
      <c r="D15016"/>
    </row>
    <row r="15017" spans="4:4" x14ac:dyDescent="0.25">
      <c r="D15017"/>
    </row>
    <row r="15018" spans="4:4" x14ac:dyDescent="0.25">
      <c r="D15018"/>
    </row>
    <row r="15019" spans="4:4" x14ac:dyDescent="0.25">
      <c r="D15019"/>
    </row>
    <row r="15020" spans="4:4" x14ac:dyDescent="0.25">
      <c r="D15020"/>
    </row>
    <row r="15021" spans="4:4" x14ac:dyDescent="0.25">
      <c r="D15021"/>
    </row>
    <row r="15022" spans="4:4" x14ac:dyDescent="0.25">
      <c r="D15022"/>
    </row>
    <row r="15023" spans="4:4" x14ac:dyDescent="0.25">
      <c r="D15023"/>
    </row>
    <row r="15024" spans="4:4" x14ac:dyDescent="0.25">
      <c r="D15024"/>
    </row>
    <row r="15025" spans="4:4" x14ac:dyDescent="0.25">
      <c r="D15025"/>
    </row>
    <row r="15026" spans="4:4" x14ac:dyDescent="0.25">
      <c r="D15026"/>
    </row>
    <row r="15027" spans="4:4" x14ac:dyDescent="0.25">
      <c r="D15027"/>
    </row>
    <row r="15028" spans="4:4" x14ac:dyDescent="0.25">
      <c r="D15028"/>
    </row>
    <row r="15029" spans="4:4" x14ac:dyDescent="0.25">
      <c r="D15029"/>
    </row>
    <row r="15030" spans="4:4" x14ac:dyDescent="0.25">
      <c r="D15030"/>
    </row>
    <row r="15031" spans="4:4" x14ac:dyDescent="0.25">
      <c r="D15031"/>
    </row>
    <row r="15032" spans="4:4" x14ac:dyDescent="0.25">
      <c r="D15032"/>
    </row>
    <row r="15033" spans="4:4" x14ac:dyDescent="0.25">
      <c r="D15033"/>
    </row>
    <row r="15034" spans="4:4" x14ac:dyDescent="0.25">
      <c r="D15034"/>
    </row>
    <row r="15035" spans="4:4" x14ac:dyDescent="0.25">
      <c r="D15035"/>
    </row>
    <row r="15036" spans="4:4" x14ac:dyDescent="0.25">
      <c r="D15036"/>
    </row>
    <row r="15037" spans="4:4" x14ac:dyDescent="0.25">
      <c r="D15037"/>
    </row>
    <row r="15038" spans="4:4" x14ac:dyDescent="0.25">
      <c r="D15038"/>
    </row>
    <row r="15039" spans="4:4" x14ac:dyDescent="0.25">
      <c r="D15039"/>
    </row>
    <row r="15040" spans="4:4" x14ac:dyDescent="0.25">
      <c r="D15040"/>
    </row>
    <row r="15041" spans="4:4" x14ac:dyDescent="0.25">
      <c r="D15041"/>
    </row>
    <row r="15042" spans="4:4" x14ac:dyDescent="0.25">
      <c r="D15042"/>
    </row>
    <row r="15043" spans="4:4" x14ac:dyDescent="0.25">
      <c r="D15043"/>
    </row>
    <row r="15044" spans="4:4" x14ac:dyDescent="0.25">
      <c r="D15044"/>
    </row>
    <row r="15045" spans="4:4" x14ac:dyDescent="0.25">
      <c r="D15045"/>
    </row>
    <row r="15046" spans="4:4" x14ac:dyDescent="0.25">
      <c r="D15046"/>
    </row>
    <row r="15047" spans="4:4" x14ac:dyDescent="0.25">
      <c r="D15047"/>
    </row>
    <row r="15048" spans="4:4" x14ac:dyDescent="0.25">
      <c r="D15048"/>
    </row>
    <row r="15049" spans="4:4" x14ac:dyDescent="0.25">
      <c r="D15049"/>
    </row>
    <row r="15050" spans="4:4" x14ac:dyDescent="0.25">
      <c r="D15050"/>
    </row>
    <row r="15051" spans="4:4" x14ac:dyDescent="0.25">
      <c r="D15051"/>
    </row>
    <row r="15052" spans="4:4" x14ac:dyDescent="0.25">
      <c r="D15052"/>
    </row>
    <row r="15053" spans="4:4" x14ac:dyDescent="0.25">
      <c r="D15053"/>
    </row>
    <row r="15054" spans="4:4" x14ac:dyDescent="0.25">
      <c r="D15054"/>
    </row>
    <row r="15055" spans="4:4" x14ac:dyDescent="0.25">
      <c r="D15055"/>
    </row>
    <row r="15056" spans="4:4" x14ac:dyDescent="0.25">
      <c r="D15056"/>
    </row>
    <row r="15057" spans="4:4" x14ac:dyDescent="0.25">
      <c r="D15057"/>
    </row>
    <row r="15058" spans="4:4" x14ac:dyDescent="0.25">
      <c r="D15058"/>
    </row>
    <row r="15059" spans="4:4" x14ac:dyDescent="0.25">
      <c r="D15059"/>
    </row>
    <row r="15060" spans="4:4" x14ac:dyDescent="0.25">
      <c r="D15060"/>
    </row>
    <row r="15061" spans="4:4" x14ac:dyDescent="0.25">
      <c r="D15061"/>
    </row>
    <row r="15062" spans="4:4" x14ac:dyDescent="0.25">
      <c r="D15062"/>
    </row>
    <row r="15063" spans="4:4" x14ac:dyDescent="0.25">
      <c r="D15063"/>
    </row>
    <row r="15064" spans="4:4" x14ac:dyDescent="0.25">
      <c r="D15064"/>
    </row>
    <row r="15065" spans="4:4" x14ac:dyDescent="0.25">
      <c r="D15065"/>
    </row>
    <row r="15066" spans="4:4" x14ac:dyDescent="0.25">
      <c r="D15066"/>
    </row>
    <row r="15067" spans="4:4" x14ac:dyDescent="0.25">
      <c r="D15067"/>
    </row>
    <row r="15068" spans="4:4" x14ac:dyDescent="0.25">
      <c r="D15068"/>
    </row>
    <row r="15069" spans="4:4" x14ac:dyDescent="0.25">
      <c r="D15069"/>
    </row>
    <row r="15070" spans="4:4" x14ac:dyDescent="0.25">
      <c r="D15070"/>
    </row>
    <row r="15071" spans="4:4" x14ac:dyDescent="0.25">
      <c r="D15071"/>
    </row>
    <row r="15072" spans="4:4" x14ac:dyDescent="0.25">
      <c r="D15072"/>
    </row>
    <row r="15073" spans="4:4" x14ac:dyDescent="0.25">
      <c r="D15073"/>
    </row>
    <row r="15074" spans="4:4" x14ac:dyDescent="0.25">
      <c r="D15074"/>
    </row>
    <row r="15075" spans="4:4" x14ac:dyDescent="0.25">
      <c r="D15075"/>
    </row>
    <row r="15076" spans="4:4" x14ac:dyDescent="0.25">
      <c r="D15076"/>
    </row>
    <row r="15077" spans="4:4" x14ac:dyDescent="0.25">
      <c r="D15077"/>
    </row>
    <row r="15078" spans="4:4" x14ac:dyDescent="0.25">
      <c r="D15078"/>
    </row>
    <row r="15079" spans="4:4" x14ac:dyDescent="0.25">
      <c r="D15079"/>
    </row>
    <row r="15080" spans="4:4" x14ac:dyDescent="0.25">
      <c r="D15080"/>
    </row>
    <row r="15081" spans="4:4" x14ac:dyDescent="0.25">
      <c r="D15081"/>
    </row>
    <row r="15082" spans="4:4" x14ac:dyDescent="0.25">
      <c r="D15082"/>
    </row>
    <row r="15083" spans="4:4" x14ac:dyDescent="0.25">
      <c r="D15083"/>
    </row>
    <row r="15084" spans="4:4" x14ac:dyDescent="0.25">
      <c r="D15084"/>
    </row>
    <row r="15085" spans="4:4" x14ac:dyDescent="0.25">
      <c r="D15085"/>
    </row>
    <row r="15086" spans="4:4" x14ac:dyDescent="0.25">
      <c r="D15086"/>
    </row>
    <row r="15087" spans="4:4" x14ac:dyDescent="0.25">
      <c r="D15087"/>
    </row>
    <row r="15088" spans="4:4" x14ac:dyDescent="0.25">
      <c r="D15088"/>
    </row>
    <row r="15089" spans="4:4" x14ac:dyDescent="0.25">
      <c r="D15089"/>
    </row>
    <row r="15090" spans="4:4" x14ac:dyDescent="0.25">
      <c r="D15090"/>
    </row>
    <row r="15091" spans="4:4" x14ac:dyDescent="0.25">
      <c r="D15091"/>
    </row>
    <row r="15092" spans="4:4" x14ac:dyDescent="0.25">
      <c r="D15092"/>
    </row>
    <row r="15093" spans="4:4" x14ac:dyDescent="0.25">
      <c r="D15093"/>
    </row>
    <row r="15094" spans="4:4" x14ac:dyDescent="0.25">
      <c r="D15094"/>
    </row>
    <row r="15095" spans="4:4" x14ac:dyDescent="0.25">
      <c r="D15095"/>
    </row>
    <row r="15096" spans="4:4" x14ac:dyDescent="0.25">
      <c r="D15096"/>
    </row>
    <row r="15097" spans="4:4" x14ac:dyDescent="0.25">
      <c r="D15097"/>
    </row>
    <row r="15098" spans="4:4" x14ac:dyDescent="0.25">
      <c r="D15098"/>
    </row>
    <row r="15099" spans="4:4" x14ac:dyDescent="0.25">
      <c r="D15099"/>
    </row>
    <row r="15100" spans="4:4" x14ac:dyDescent="0.25">
      <c r="D15100"/>
    </row>
    <row r="15101" spans="4:4" x14ac:dyDescent="0.25">
      <c r="D15101"/>
    </row>
    <row r="15102" spans="4:4" x14ac:dyDescent="0.25">
      <c r="D15102"/>
    </row>
    <row r="15103" spans="4:4" x14ac:dyDescent="0.25">
      <c r="D15103"/>
    </row>
    <row r="15104" spans="4:4" x14ac:dyDescent="0.25">
      <c r="D15104"/>
    </row>
    <row r="15105" spans="4:4" x14ac:dyDescent="0.25">
      <c r="D15105"/>
    </row>
    <row r="15106" spans="4:4" x14ac:dyDescent="0.25">
      <c r="D15106"/>
    </row>
    <row r="15107" spans="4:4" x14ac:dyDescent="0.25">
      <c r="D15107"/>
    </row>
    <row r="15108" spans="4:4" x14ac:dyDescent="0.25">
      <c r="D15108"/>
    </row>
    <row r="15109" spans="4:4" x14ac:dyDescent="0.25">
      <c r="D15109"/>
    </row>
    <row r="15110" spans="4:4" x14ac:dyDescent="0.25">
      <c r="D15110"/>
    </row>
    <row r="15111" spans="4:4" x14ac:dyDescent="0.25">
      <c r="D15111"/>
    </row>
    <row r="15112" spans="4:4" x14ac:dyDescent="0.25">
      <c r="D15112"/>
    </row>
    <row r="15113" spans="4:4" x14ac:dyDescent="0.25">
      <c r="D15113"/>
    </row>
    <row r="15114" spans="4:4" x14ac:dyDescent="0.25">
      <c r="D15114"/>
    </row>
    <row r="15115" spans="4:4" x14ac:dyDescent="0.25">
      <c r="D15115"/>
    </row>
    <row r="15116" spans="4:4" x14ac:dyDescent="0.25">
      <c r="D15116"/>
    </row>
    <row r="15117" spans="4:4" x14ac:dyDescent="0.25">
      <c r="D15117"/>
    </row>
    <row r="15118" spans="4:4" x14ac:dyDescent="0.25">
      <c r="D15118"/>
    </row>
    <row r="15119" spans="4:4" x14ac:dyDescent="0.25">
      <c r="D15119"/>
    </row>
    <row r="15120" spans="4:4" x14ac:dyDescent="0.25">
      <c r="D15120"/>
    </row>
    <row r="15121" spans="4:4" x14ac:dyDescent="0.25">
      <c r="D15121"/>
    </row>
    <row r="15122" spans="4:4" x14ac:dyDescent="0.25">
      <c r="D15122"/>
    </row>
    <row r="15123" spans="4:4" x14ac:dyDescent="0.25">
      <c r="D15123"/>
    </row>
    <row r="15124" spans="4:4" x14ac:dyDescent="0.25">
      <c r="D15124"/>
    </row>
    <row r="15125" spans="4:4" x14ac:dyDescent="0.25">
      <c r="D15125"/>
    </row>
    <row r="15126" spans="4:4" x14ac:dyDescent="0.25">
      <c r="D15126"/>
    </row>
    <row r="15127" spans="4:4" x14ac:dyDescent="0.25">
      <c r="D15127"/>
    </row>
    <row r="15128" spans="4:4" x14ac:dyDescent="0.25">
      <c r="D15128"/>
    </row>
    <row r="15129" spans="4:4" x14ac:dyDescent="0.25">
      <c r="D15129"/>
    </row>
    <row r="15130" spans="4:4" x14ac:dyDescent="0.25">
      <c r="D15130"/>
    </row>
    <row r="15131" spans="4:4" x14ac:dyDescent="0.25">
      <c r="D15131"/>
    </row>
    <row r="15132" spans="4:4" x14ac:dyDescent="0.25">
      <c r="D15132"/>
    </row>
    <row r="15133" spans="4:4" x14ac:dyDescent="0.25">
      <c r="D15133"/>
    </row>
    <row r="15134" spans="4:4" x14ac:dyDescent="0.25">
      <c r="D15134"/>
    </row>
    <row r="15135" spans="4:4" x14ac:dyDescent="0.25">
      <c r="D15135"/>
    </row>
    <row r="15136" spans="4:4" x14ac:dyDescent="0.25">
      <c r="D15136"/>
    </row>
    <row r="15137" spans="4:4" x14ac:dyDescent="0.25">
      <c r="D15137"/>
    </row>
    <row r="15138" spans="4:4" x14ac:dyDescent="0.25">
      <c r="D15138"/>
    </row>
    <row r="15139" spans="4:4" x14ac:dyDescent="0.25">
      <c r="D15139"/>
    </row>
    <row r="15140" spans="4:4" x14ac:dyDescent="0.25">
      <c r="D15140"/>
    </row>
    <row r="15141" spans="4:4" x14ac:dyDescent="0.25">
      <c r="D15141"/>
    </row>
    <row r="15142" spans="4:4" x14ac:dyDescent="0.25">
      <c r="D15142"/>
    </row>
    <row r="15143" spans="4:4" x14ac:dyDescent="0.25">
      <c r="D15143"/>
    </row>
    <row r="15144" spans="4:4" x14ac:dyDescent="0.25">
      <c r="D15144"/>
    </row>
    <row r="15145" spans="4:4" x14ac:dyDescent="0.25">
      <c r="D15145"/>
    </row>
    <row r="15146" spans="4:4" x14ac:dyDescent="0.25">
      <c r="D15146"/>
    </row>
    <row r="15147" spans="4:4" x14ac:dyDescent="0.25">
      <c r="D15147"/>
    </row>
    <row r="15148" spans="4:4" x14ac:dyDescent="0.25">
      <c r="D15148"/>
    </row>
    <row r="15149" spans="4:4" x14ac:dyDescent="0.25">
      <c r="D15149"/>
    </row>
    <row r="15150" spans="4:4" x14ac:dyDescent="0.25">
      <c r="D15150"/>
    </row>
    <row r="15151" spans="4:4" x14ac:dyDescent="0.25">
      <c r="D15151"/>
    </row>
    <row r="15152" spans="4:4" x14ac:dyDescent="0.25">
      <c r="D15152"/>
    </row>
    <row r="15153" spans="4:4" x14ac:dyDescent="0.25">
      <c r="D15153"/>
    </row>
    <row r="15154" spans="4:4" x14ac:dyDescent="0.25">
      <c r="D15154"/>
    </row>
    <row r="15155" spans="4:4" x14ac:dyDescent="0.25">
      <c r="D15155"/>
    </row>
    <row r="15156" spans="4:4" x14ac:dyDescent="0.25">
      <c r="D15156"/>
    </row>
    <row r="15157" spans="4:4" x14ac:dyDescent="0.25">
      <c r="D15157"/>
    </row>
    <row r="15158" spans="4:4" x14ac:dyDescent="0.25">
      <c r="D15158"/>
    </row>
    <row r="15159" spans="4:4" x14ac:dyDescent="0.25">
      <c r="D15159"/>
    </row>
    <row r="15160" spans="4:4" x14ac:dyDescent="0.25">
      <c r="D15160"/>
    </row>
    <row r="15161" spans="4:4" x14ac:dyDescent="0.25">
      <c r="D15161"/>
    </row>
    <row r="15162" spans="4:4" x14ac:dyDescent="0.25">
      <c r="D15162"/>
    </row>
    <row r="15163" spans="4:4" x14ac:dyDescent="0.25">
      <c r="D15163"/>
    </row>
    <row r="15164" spans="4:4" x14ac:dyDescent="0.25">
      <c r="D15164"/>
    </row>
    <row r="15165" spans="4:4" x14ac:dyDescent="0.25">
      <c r="D15165"/>
    </row>
    <row r="15166" spans="4:4" x14ac:dyDescent="0.25">
      <c r="D15166"/>
    </row>
    <row r="15167" spans="4:4" x14ac:dyDescent="0.25">
      <c r="D15167"/>
    </row>
    <row r="15168" spans="4:4" x14ac:dyDescent="0.25">
      <c r="D15168"/>
    </row>
    <row r="15169" spans="4:4" x14ac:dyDescent="0.25">
      <c r="D15169"/>
    </row>
    <row r="15170" spans="4:4" x14ac:dyDescent="0.25">
      <c r="D15170"/>
    </row>
    <row r="15171" spans="4:4" x14ac:dyDescent="0.25">
      <c r="D15171"/>
    </row>
    <row r="15172" spans="4:4" x14ac:dyDescent="0.25">
      <c r="D15172"/>
    </row>
    <row r="15173" spans="4:4" x14ac:dyDescent="0.25">
      <c r="D15173"/>
    </row>
    <row r="15174" spans="4:4" x14ac:dyDescent="0.25">
      <c r="D15174"/>
    </row>
    <row r="15175" spans="4:4" x14ac:dyDescent="0.25">
      <c r="D15175"/>
    </row>
    <row r="15176" spans="4:4" x14ac:dyDescent="0.25">
      <c r="D15176"/>
    </row>
    <row r="15177" spans="4:4" x14ac:dyDescent="0.25">
      <c r="D15177"/>
    </row>
    <row r="15178" spans="4:4" x14ac:dyDescent="0.25">
      <c r="D15178"/>
    </row>
    <row r="15179" spans="4:4" x14ac:dyDescent="0.25">
      <c r="D15179"/>
    </row>
    <row r="15180" spans="4:4" x14ac:dyDescent="0.25">
      <c r="D15180"/>
    </row>
    <row r="15181" spans="4:4" x14ac:dyDescent="0.25">
      <c r="D15181"/>
    </row>
    <row r="15182" spans="4:4" x14ac:dyDescent="0.25">
      <c r="D15182"/>
    </row>
    <row r="15183" spans="4:4" x14ac:dyDescent="0.25">
      <c r="D15183"/>
    </row>
    <row r="15184" spans="4:4" x14ac:dyDescent="0.25">
      <c r="D15184"/>
    </row>
    <row r="15185" spans="4:4" x14ac:dyDescent="0.25">
      <c r="D15185"/>
    </row>
    <row r="15186" spans="4:4" x14ac:dyDescent="0.25">
      <c r="D15186"/>
    </row>
    <row r="15187" spans="4:4" x14ac:dyDescent="0.25">
      <c r="D15187"/>
    </row>
    <row r="15188" spans="4:4" x14ac:dyDescent="0.25">
      <c r="D15188"/>
    </row>
    <row r="15189" spans="4:4" x14ac:dyDescent="0.25">
      <c r="D15189"/>
    </row>
    <row r="15190" spans="4:4" x14ac:dyDescent="0.25">
      <c r="D15190"/>
    </row>
    <row r="15191" spans="4:4" x14ac:dyDescent="0.25">
      <c r="D15191"/>
    </row>
    <row r="15192" spans="4:4" x14ac:dyDescent="0.25">
      <c r="D15192"/>
    </row>
    <row r="15193" spans="4:4" x14ac:dyDescent="0.25">
      <c r="D15193"/>
    </row>
    <row r="15194" spans="4:4" x14ac:dyDescent="0.25">
      <c r="D15194"/>
    </row>
    <row r="15195" spans="4:4" x14ac:dyDescent="0.25">
      <c r="D15195"/>
    </row>
    <row r="15196" spans="4:4" x14ac:dyDescent="0.25">
      <c r="D15196"/>
    </row>
    <row r="15197" spans="4:4" x14ac:dyDescent="0.25">
      <c r="D15197"/>
    </row>
    <row r="15198" spans="4:4" x14ac:dyDescent="0.25">
      <c r="D15198"/>
    </row>
    <row r="15199" spans="4:4" x14ac:dyDescent="0.25">
      <c r="D15199"/>
    </row>
    <row r="15200" spans="4:4" x14ac:dyDescent="0.25">
      <c r="D15200"/>
    </row>
    <row r="15201" spans="4:4" x14ac:dyDescent="0.25">
      <c r="D15201"/>
    </row>
    <row r="15202" spans="4:4" x14ac:dyDescent="0.25">
      <c r="D15202"/>
    </row>
    <row r="15203" spans="4:4" x14ac:dyDescent="0.25">
      <c r="D15203"/>
    </row>
    <row r="15204" spans="4:4" x14ac:dyDescent="0.25">
      <c r="D15204"/>
    </row>
    <row r="15205" spans="4:4" x14ac:dyDescent="0.25">
      <c r="D15205"/>
    </row>
    <row r="15206" spans="4:4" x14ac:dyDescent="0.25">
      <c r="D15206"/>
    </row>
    <row r="15207" spans="4:4" x14ac:dyDescent="0.25">
      <c r="D15207"/>
    </row>
    <row r="15208" spans="4:4" x14ac:dyDescent="0.25">
      <c r="D15208"/>
    </row>
    <row r="15209" spans="4:4" x14ac:dyDescent="0.25">
      <c r="D15209"/>
    </row>
    <row r="15210" spans="4:4" x14ac:dyDescent="0.25">
      <c r="D15210"/>
    </row>
    <row r="15211" spans="4:4" x14ac:dyDescent="0.25">
      <c r="D15211"/>
    </row>
    <row r="15212" spans="4:4" x14ac:dyDescent="0.25">
      <c r="D15212"/>
    </row>
    <row r="15213" spans="4:4" x14ac:dyDescent="0.25">
      <c r="D15213"/>
    </row>
    <row r="15214" spans="4:4" x14ac:dyDescent="0.25">
      <c r="D15214"/>
    </row>
    <row r="15215" spans="4:4" x14ac:dyDescent="0.25">
      <c r="D15215"/>
    </row>
    <row r="15216" spans="4:4" x14ac:dyDescent="0.25">
      <c r="D15216"/>
    </row>
    <row r="15217" spans="4:4" x14ac:dyDescent="0.25">
      <c r="D15217"/>
    </row>
    <row r="15218" spans="4:4" x14ac:dyDescent="0.25">
      <c r="D15218"/>
    </row>
    <row r="15219" spans="4:4" x14ac:dyDescent="0.25">
      <c r="D15219"/>
    </row>
    <row r="15220" spans="4:4" x14ac:dyDescent="0.25">
      <c r="D15220"/>
    </row>
    <row r="15221" spans="4:4" x14ac:dyDescent="0.25">
      <c r="D15221"/>
    </row>
    <row r="15222" spans="4:4" x14ac:dyDescent="0.25">
      <c r="D15222"/>
    </row>
    <row r="15223" spans="4:4" x14ac:dyDescent="0.25">
      <c r="D15223"/>
    </row>
    <row r="15224" spans="4:4" x14ac:dyDescent="0.25">
      <c r="D15224"/>
    </row>
    <row r="15225" spans="4:4" x14ac:dyDescent="0.25">
      <c r="D15225"/>
    </row>
    <row r="15226" spans="4:4" x14ac:dyDescent="0.25">
      <c r="D15226"/>
    </row>
    <row r="15227" spans="4:4" x14ac:dyDescent="0.25">
      <c r="D15227"/>
    </row>
    <row r="15228" spans="4:4" x14ac:dyDescent="0.25">
      <c r="D15228"/>
    </row>
    <row r="15229" spans="4:4" x14ac:dyDescent="0.25">
      <c r="D15229"/>
    </row>
    <row r="15230" spans="4:4" x14ac:dyDescent="0.25">
      <c r="D15230"/>
    </row>
    <row r="15231" spans="4:4" x14ac:dyDescent="0.25">
      <c r="D15231"/>
    </row>
    <row r="15232" spans="4:4" x14ac:dyDescent="0.25">
      <c r="D15232"/>
    </row>
    <row r="15233" spans="4:4" x14ac:dyDescent="0.25">
      <c r="D15233"/>
    </row>
    <row r="15234" spans="4:4" x14ac:dyDescent="0.25">
      <c r="D15234"/>
    </row>
    <row r="15235" spans="4:4" x14ac:dyDescent="0.25">
      <c r="D15235"/>
    </row>
    <row r="15236" spans="4:4" x14ac:dyDescent="0.25">
      <c r="D15236"/>
    </row>
    <row r="15237" spans="4:4" x14ac:dyDescent="0.25">
      <c r="D15237"/>
    </row>
    <row r="15238" spans="4:4" x14ac:dyDescent="0.25">
      <c r="D15238"/>
    </row>
    <row r="15239" spans="4:4" x14ac:dyDescent="0.25">
      <c r="D15239"/>
    </row>
    <row r="15240" spans="4:4" x14ac:dyDescent="0.25">
      <c r="D15240"/>
    </row>
    <row r="15241" spans="4:4" x14ac:dyDescent="0.25">
      <c r="D15241"/>
    </row>
    <row r="15242" spans="4:4" x14ac:dyDescent="0.25">
      <c r="D15242"/>
    </row>
    <row r="15243" spans="4:4" x14ac:dyDescent="0.25">
      <c r="D15243"/>
    </row>
    <row r="15244" spans="4:4" x14ac:dyDescent="0.25">
      <c r="D15244"/>
    </row>
    <row r="15245" spans="4:4" x14ac:dyDescent="0.25">
      <c r="D15245"/>
    </row>
    <row r="15246" spans="4:4" x14ac:dyDescent="0.25">
      <c r="D15246"/>
    </row>
    <row r="15247" spans="4:4" x14ac:dyDescent="0.25">
      <c r="D15247"/>
    </row>
    <row r="15248" spans="4:4" x14ac:dyDescent="0.25">
      <c r="D15248"/>
    </row>
    <row r="15249" spans="4:4" x14ac:dyDescent="0.25">
      <c r="D15249"/>
    </row>
    <row r="15250" spans="4:4" x14ac:dyDescent="0.25">
      <c r="D15250"/>
    </row>
    <row r="15251" spans="4:4" x14ac:dyDescent="0.25">
      <c r="D15251"/>
    </row>
    <row r="15252" spans="4:4" x14ac:dyDescent="0.25">
      <c r="D15252"/>
    </row>
    <row r="15253" spans="4:4" x14ac:dyDescent="0.25">
      <c r="D15253"/>
    </row>
    <row r="15254" spans="4:4" x14ac:dyDescent="0.25">
      <c r="D15254"/>
    </row>
    <row r="15255" spans="4:4" x14ac:dyDescent="0.25">
      <c r="D15255"/>
    </row>
    <row r="15256" spans="4:4" x14ac:dyDescent="0.25">
      <c r="D15256"/>
    </row>
    <row r="15257" spans="4:4" x14ac:dyDescent="0.25">
      <c r="D15257"/>
    </row>
    <row r="15258" spans="4:4" x14ac:dyDescent="0.25">
      <c r="D15258"/>
    </row>
    <row r="15259" spans="4:4" x14ac:dyDescent="0.25">
      <c r="D15259"/>
    </row>
    <row r="15260" spans="4:4" x14ac:dyDescent="0.25">
      <c r="D15260"/>
    </row>
    <row r="15261" spans="4:4" x14ac:dyDescent="0.25">
      <c r="D15261"/>
    </row>
    <row r="15262" spans="4:4" x14ac:dyDescent="0.25">
      <c r="D15262"/>
    </row>
    <row r="15263" spans="4:4" x14ac:dyDescent="0.25">
      <c r="D15263"/>
    </row>
    <row r="15264" spans="4:4" x14ac:dyDescent="0.25">
      <c r="D15264"/>
    </row>
    <row r="15265" spans="4:4" x14ac:dyDescent="0.25">
      <c r="D15265"/>
    </row>
    <row r="15266" spans="4:4" x14ac:dyDescent="0.25">
      <c r="D15266"/>
    </row>
    <row r="15267" spans="4:4" x14ac:dyDescent="0.25">
      <c r="D15267"/>
    </row>
    <row r="15268" spans="4:4" x14ac:dyDescent="0.25">
      <c r="D15268"/>
    </row>
    <row r="15269" spans="4:4" x14ac:dyDescent="0.25">
      <c r="D15269"/>
    </row>
    <row r="15270" spans="4:4" x14ac:dyDescent="0.25">
      <c r="D15270"/>
    </row>
    <row r="15271" spans="4:4" x14ac:dyDescent="0.25">
      <c r="D15271"/>
    </row>
    <row r="15272" spans="4:4" x14ac:dyDescent="0.25">
      <c r="D15272"/>
    </row>
    <row r="15273" spans="4:4" x14ac:dyDescent="0.25">
      <c r="D15273"/>
    </row>
    <row r="15274" spans="4:4" x14ac:dyDescent="0.25">
      <c r="D15274"/>
    </row>
    <row r="15275" spans="4:4" x14ac:dyDescent="0.25">
      <c r="D15275"/>
    </row>
    <row r="15276" spans="4:4" x14ac:dyDescent="0.25">
      <c r="D15276"/>
    </row>
    <row r="15277" spans="4:4" x14ac:dyDescent="0.25">
      <c r="D15277"/>
    </row>
    <row r="15278" spans="4:4" x14ac:dyDescent="0.25">
      <c r="D15278"/>
    </row>
    <row r="15279" spans="4:4" x14ac:dyDescent="0.25">
      <c r="D15279"/>
    </row>
    <row r="15280" spans="4:4" x14ac:dyDescent="0.25">
      <c r="D15280"/>
    </row>
    <row r="15281" spans="4:4" x14ac:dyDescent="0.25">
      <c r="D15281"/>
    </row>
    <row r="15282" spans="4:4" x14ac:dyDescent="0.25">
      <c r="D15282"/>
    </row>
    <row r="15283" spans="4:4" x14ac:dyDescent="0.25">
      <c r="D15283"/>
    </row>
    <row r="15284" spans="4:4" x14ac:dyDescent="0.25">
      <c r="D15284"/>
    </row>
    <row r="15285" spans="4:4" x14ac:dyDescent="0.25">
      <c r="D15285"/>
    </row>
    <row r="15286" spans="4:4" x14ac:dyDescent="0.25">
      <c r="D15286"/>
    </row>
    <row r="15287" spans="4:4" x14ac:dyDescent="0.25">
      <c r="D15287"/>
    </row>
    <row r="15288" spans="4:4" x14ac:dyDescent="0.25">
      <c r="D15288"/>
    </row>
    <row r="15289" spans="4:4" x14ac:dyDescent="0.25">
      <c r="D15289"/>
    </row>
    <row r="15290" spans="4:4" x14ac:dyDescent="0.25">
      <c r="D15290"/>
    </row>
    <row r="15291" spans="4:4" x14ac:dyDescent="0.25">
      <c r="D15291"/>
    </row>
    <row r="15292" spans="4:4" x14ac:dyDescent="0.25">
      <c r="D15292"/>
    </row>
    <row r="15293" spans="4:4" x14ac:dyDescent="0.25">
      <c r="D15293"/>
    </row>
    <row r="15294" spans="4:4" x14ac:dyDescent="0.25">
      <c r="D15294"/>
    </row>
    <row r="15295" spans="4:4" x14ac:dyDescent="0.25">
      <c r="D15295"/>
    </row>
    <row r="15296" spans="4:4" x14ac:dyDescent="0.25">
      <c r="D15296"/>
    </row>
    <row r="15297" spans="4:4" x14ac:dyDescent="0.25">
      <c r="D15297"/>
    </row>
    <row r="15298" spans="4:4" x14ac:dyDescent="0.25">
      <c r="D15298"/>
    </row>
    <row r="15299" spans="4:4" x14ac:dyDescent="0.25">
      <c r="D15299"/>
    </row>
    <row r="15300" spans="4:4" x14ac:dyDescent="0.25">
      <c r="D15300"/>
    </row>
    <row r="15301" spans="4:4" x14ac:dyDescent="0.25">
      <c r="D15301"/>
    </row>
    <row r="15302" spans="4:4" x14ac:dyDescent="0.25">
      <c r="D15302"/>
    </row>
    <row r="15303" spans="4:4" x14ac:dyDescent="0.25">
      <c r="D15303"/>
    </row>
    <row r="15304" spans="4:4" x14ac:dyDescent="0.25">
      <c r="D15304"/>
    </row>
    <row r="15305" spans="4:4" x14ac:dyDescent="0.25">
      <c r="D15305"/>
    </row>
    <row r="15306" spans="4:4" x14ac:dyDescent="0.25">
      <c r="D15306"/>
    </row>
    <row r="15307" spans="4:4" x14ac:dyDescent="0.25">
      <c r="D15307"/>
    </row>
    <row r="15308" spans="4:4" x14ac:dyDescent="0.25">
      <c r="D15308"/>
    </row>
    <row r="15309" spans="4:4" x14ac:dyDescent="0.25">
      <c r="D15309"/>
    </row>
    <row r="15310" spans="4:4" x14ac:dyDescent="0.25">
      <c r="D15310"/>
    </row>
    <row r="15311" spans="4:4" x14ac:dyDescent="0.25">
      <c r="D15311"/>
    </row>
    <row r="15312" spans="4:4" x14ac:dyDescent="0.25">
      <c r="D15312"/>
    </row>
    <row r="15313" spans="4:4" x14ac:dyDescent="0.25">
      <c r="D15313"/>
    </row>
    <row r="15314" spans="4:4" x14ac:dyDescent="0.25">
      <c r="D15314"/>
    </row>
    <row r="15315" spans="4:4" x14ac:dyDescent="0.25">
      <c r="D15315"/>
    </row>
    <row r="15316" spans="4:4" x14ac:dyDescent="0.25">
      <c r="D15316"/>
    </row>
    <row r="15317" spans="4:4" x14ac:dyDescent="0.25">
      <c r="D15317"/>
    </row>
    <row r="15318" spans="4:4" x14ac:dyDescent="0.25">
      <c r="D15318"/>
    </row>
    <row r="15319" spans="4:4" x14ac:dyDescent="0.25">
      <c r="D15319"/>
    </row>
    <row r="15320" spans="4:4" x14ac:dyDescent="0.25">
      <c r="D15320"/>
    </row>
    <row r="15321" spans="4:4" x14ac:dyDescent="0.25">
      <c r="D15321"/>
    </row>
    <row r="15322" spans="4:4" x14ac:dyDescent="0.25">
      <c r="D15322"/>
    </row>
    <row r="15323" spans="4:4" x14ac:dyDescent="0.25">
      <c r="D15323"/>
    </row>
    <row r="15324" spans="4:4" x14ac:dyDescent="0.25">
      <c r="D15324"/>
    </row>
    <row r="15325" spans="4:4" x14ac:dyDescent="0.25">
      <c r="D15325"/>
    </row>
    <row r="15326" spans="4:4" x14ac:dyDescent="0.25">
      <c r="D15326"/>
    </row>
    <row r="15327" spans="4:4" x14ac:dyDescent="0.25">
      <c r="D15327"/>
    </row>
    <row r="15328" spans="4:4" x14ac:dyDescent="0.25">
      <c r="D15328"/>
    </row>
    <row r="15329" spans="4:4" x14ac:dyDescent="0.25">
      <c r="D15329"/>
    </row>
    <row r="15330" spans="4:4" x14ac:dyDescent="0.25">
      <c r="D15330"/>
    </row>
    <row r="15331" spans="4:4" x14ac:dyDescent="0.25">
      <c r="D15331"/>
    </row>
    <row r="15332" spans="4:4" x14ac:dyDescent="0.25">
      <c r="D15332"/>
    </row>
    <row r="15333" spans="4:4" x14ac:dyDescent="0.25">
      <c r="D15333"/>
    </row>
    <row r="15334" spans="4:4" x14ac:dyDescent="0.25">
      <c r="D15334"/>
    </row>
    <row r="15335" spans="4:4" x14ac:dyDescent="0.25">
      <c r="D15335"/>
    </row>
    <row r="15336" spans="4:4" x14ac:dyDescent="0.25">
      <c r="D15336"/>
    </row>
    <row r="15337" spans="4:4" x14ac:dyDescent="0.25">
      <c r="D15337"/>
    </row>
    <row r="15338" spans="4:4" x14ac:dyDescent="0.25">
      <c r="D15338"/>
    </row>
    <row r="15339" spans="4:4" x14ac:dyDescent="0.25">
      <c r="D15339"/>
    </row>
    <row r="15340" spans="4:4" x14ac:dyDescent="0.25">
      <c r="D15340"/>
    </row>
    <row r="15341" spans="4:4" x14ac:dyDescent="0.25">
      <c r="D15341"/>
    </row>
    <row r="15342" spans="4:4" x14ac:dyDescent="0.25">
      <c r="D15342"/>
    </row>
    <row r="15343" spans="4:4" x14ac:dyDescent="0.25">
      <c r="D15343"/>
    </row>
    <row r="15344" spans="4:4" x14ac:dyDescent="0.25">
      <c r="D15344"/>
    </row>
    <row r="15345" spans="4:4" x14ac:dyDescent="0.25">
      <c r="D15345"/>
    </row>
    <row r="15346" spans="4:4" x14ac:dyDescent="0.25">
      <c r="D15346"/>
    </row>
    <row r="15347" spans="4:4" x14ac:dyDescent="0.25">
      <c r="D15347"/>
    </row>
    <row r="15348" spans="4:4" x14ac:dyDescent="0.25">
      <c r="D15348"/>
    </row>
    <row r="15349" spans="4:4" x14ac:dyDescent="0.25">
      <c r="D15349"/>
    </row>
    <row r="15350" spans="4:4" x14ac:dyDescent="0.25">
      <c r="D15350"/>
    </row>
    <row r="15351" spans="4:4" x14ac:dyDescent="0.25">
      <c r="D15351"/>
    </row>
    <row r="15352" spans="4:4" x14ac:dyDescent="0.25">
      <c r="D15352"/>
    </row>
    <row r="15353" spans="4:4" x14ac:dyDescent="0.25">
      <c r="D15353"/>
    </row>
    <row r="15354" spans="4:4" x14ac:dyDescent="0.25">
      <c r="D15354"/>
    </row>
    <row r="15355" spans="4:4" x14ac:dyDescent="0.25">
      <c r="D15355"/>
    </row>
    <row r="15356" spans="4:4" x14ac:dyDescent="0.25">
      <c r="D15356"/>
    </row>
    <row r="15357" spans="4:4" x14ac:dyDescent="0.25">
      <c r="D15357"/>
    </row>
    <row r="15358" spans="4:4" x14ac:dyDescent="0.25">
      <c r="D15358"/>
    </row>
    <row r="15359" spans="4:4" x14ac:dyDescent="0.25">
      <c r="D15359"/>
    </row>
    <row r="15360" spans="4:4" x14ac:dyDescent="0.25">
      <c r="D15360"/>
    </row>
    <row r="15361" spans="4:4" x14ac:dyDescent="0.25">
      <c r="D15361"/>
    </row>
    <row r="15362" spans="4:4" x14ac:dyDescent="0.25">
      <c r="D15362"/>
    </row>
    <row r="15363" spans="4:4" x14ac:dyDescent="0.25">
      <c r="D15363"/>
    </row>
    <row r="15364" spans="4:4" x14ac:dyDescent="0.25">
      <c r="D15364"/>
    </row>
    <row r="15365" spans="4:4" x14ac:dyDescent="0.25">
      <c r="D15365"/>
    </row>
    <row r="15366" spans="4:4" x14ac:dyDescent="0.25">
      <c r="D15366"/>
    </row>
    <row r="15367" spans="4:4" x14ac:dyDescent="0.25">
      <c r="D15367"/>
    </row>
    <row r="15368" spans="4:4" x14ac:dyDescent="0.25">
      <c r="D15368"/>
    </row>
    <row r="15369" spans="4:4" x14ac:dyDescent="0.25">
      <c r="D15369"/>
    </row>
    <row r="15370" spans="4:4" x14ac:dyDescent="0.25">
      <c r="D15370"/>
    </row>
    <row r="15371" spans="4:4" x14ac:dyDescent="0.25">
      <c r="D15371"/>
    </row>
    <row r="15372" spans="4:4" x14ac:dyDescent="0.25">
      <c r="D15372"/>
    </row>
    <row r="15373" spans="4:4" x14ac:dyDescent="0.25">
      <c r="D15373"/>
    </row>
    <row r="15374" spans="4:4" x14ac:dyDescent="0.25">
      <c r="D15374"/>
    </row>
    <row r="15375" spans="4:4" x14ac:dyDescent="0.25">
      <c r="D15375"/>
    </row>
    <row r="15376" spans="4:4" x14ac:dyDescent="0.25">
      <c r="D15376"/>
    </row>
    <row r="15377" spans="4:4" x14ac:dyDescent="0.25">
      <c r="D15377"/>
    </row>
    <row r="15378" spans="4:4" x14ac:dyDescent="0.25">
      <c r="D15378"/>
    </row>
    <row r="15379" spans="4:4" x14ac:dyDescent="0.25">
      <c r="D15379"/>
    </row>
    <row r="15380" spans="4:4" x14ac:dyDescent="0.25">
      <c r="D15380"/>
    </row>
    <row r="15381" spans="4:4" x14ac:dyDescent="0.25">
      <c r="D15381"/>
    </row>
    <row r="15382" spans="4:4" x14ac:dyDescent="0.25">
      <c r="D15382"/>
    </row>
    <row r="15383" spans="4:4" x14ac:dyDescent="0.25">
      <c r="D15383"/>
    </row>
    <row r="15384" spans="4:4" x14ac:dyDescent="0.25">
      <c r="D15384"/>
    </row>
    <row r="15385" spans="4:4" x14ac:dyDescent="0.25">
      <c r="D15385"/>
    </row>
    <row r="15386" spans="4:4" x14ac:dyDescent="0.25">
      <c r="D15386"/>
    </row>
    <row r="15387" spans="4:4" x14ac:dyDescent="0.25">
      <c r="D15387"/>
    </row>
    <row r="15388" spans="4:4" x14ac:dyDescent="0.25">
      <c r="D15388"/>
    </row>
    <row r="15389" spans="4:4" x14ac:dyDescent="0.25">
      <c r="D15389"/>
    </row>
    <row r="15390" spans="4:4" x14ac:dyDescent="0.25">
      <c r="D15390"/>
    </row>
    <row r="15391" spans="4:4" x14ac:dyDescent="0.25">
      <c r="D15391"/>
    </row>
    <row r="15392" spans="4:4" x14ac:dyDescent="0.25">
      <c r="D15392"/>
    </row>
    <row r="15393" spans="4:4" x14ac:dyDescent="0.25">
      <c r="D15393"/>
    </row>
    <row r="15394" spans="4:4" x14ac:dyDescent="0.25">
      <c r="D15394"/>
    </row>
    <row r="15395" spans="4:4" x14ac:dyDescent="0.25">
      <c r="D15395"/>
    </row>
    <row r="15396" spans="4:4" x14ac:dyDescent="0.25">
      <c r="D15396"/>
    </row>
    <row r="15397" spans="4:4" x14ac:dyDescent="0.25">
      <c r="D15397"/>
    </row>
    <row r="15398" spans="4:4" x14ac:dyDescent="0.25">
      <c r="D15398"/>
    </row>
    <row r="15399" spans="4:4" x14ac:dyDescent="0.25">
      <c r="D15399"/>
    </row>
    <row r="15400" spans="4:4" x14ac:dyDescent="0.25">
      <c r="D15400"/>
    </row>
    <row r="15401" spans="4:4" x14ac:dyDescent="0.25">
      <c r="D15401"/>
    </row>
    <row r="15402" spans="4:4" x14ac:dyDescent="0.25">
      <c r="D15402"/>
    </row>
    <row r="15403" spans="4:4" x14ac:dyDescent="0.25">
      <c r="D15403"/>
    </row>
    <row r="15404" spans="4:4" x14ac:dyDescent="0.25">
      <c r="D15404"/>
    </row>
    <row r="15405" spans="4:4" x14ac:dyDescent="0.25">
      <c r="D15405"/>
    </row>
    <row r="15406" spans="4:4" x14ac:dyDescent="0.25">
      <c r="D15406"/>
    </row>
    <row r="15407" spans="4:4" x14ac:dyDescent="0.25">
      <c r="D15407"/>
    </row>
    <row r="15408" spans="4:4" x14ac:dyDescent="0.25">
      <c r="D15408"/>
    </row>
    <row r="15409" spans="4:4" x14ac:dyDescent="0.25">
      <c r="D15409"/>
    </row>
    <row r="15410" spans="4:4" x14ac:dyDescent="0.25">
      <c r="D15410"/>
    </row>
    <row r="15411" spans="4:4" x14ac:dyDescent="0.25">
      <c r="D15411"/>
    </row>
    <row r="15412" spans="4:4" x14ac:dyDescent="0.25">
      <c r="D15412"/>
    </row>
    <row r="15413" spans="4:4" x14ac:dyDescent="0.25">
      <c r="D15413"/>
    </row>
    <row r="15414" spans="4:4" x14ac:dyDescent="0.25">
      <c r="D15414"/>
    </row>
    <row r="15415" spans="4:4" x14ac:dyDescent="0.25">
      <c r="D15415"/>
    </row>
    <row r="15416" spans="4:4" x14ac:dyDescent="0.25">
      <c r="D15416"/>
    </row>
    <row r="15417" spans="4:4" x14ac:dyDescent="0.25">
      <c r="D15417"/>
    </row>
    <row r="15418" spans="4:4" x14ac:dyDescent="0.25">
      <c r="D15418"/>
    </row>
    <row r="15419" spans="4:4" x14ac:dyDescent="0.25">
      <c r="D15419"/>
    </row>
    <row r="15420" spans="4:4" x14ac:dyDescent="0.25">
      <c r="D15420"/>
    </row>
    <row r="15421" spans="4:4" x14ac:dyDescent="0.25">
      <c r="D15421"/>
    </row>
    <row r="15422" spans="4:4" x14ac:dyDescent="0.25">
      <c r="D15422"/>
    </row>
    <row r="15423" spans="4:4" x14ac:dyDescent="0.25">
      <c r="D15423"/>
    </row>
    <row r="15424" spans="4:4" x14ac:dyDescent="0.25">
      <c r="D15424"/>
    </row>
    <row r="15425" spans="4:4" x14ac:dyDescent="0.25">
      <c r="D15425"/>
    </row>
    <row r="15426" spans="4:4" x14ac:dyDescent="0.25">
      <c r="D15426"/>
    </row>
    <row r="15427" spans="4:4" x14ac:dyDescent="0.25">
      <c r="D15427"/>
    </row>
    <row r="15428" spans="4:4" x14ac:dyDescent="0.25">
      <c r="D15428"/>
    </row>
    <row r="15429" spans="4:4" x14ac:dyDescent="0.25">
      <c r="D15429"/>
    </row>
    <row r="15430" spans="4:4" x14ac:dyDescent="0.25">
      <c r="D15430"/>
    </row>
    <row r="15431" spans="4:4" x14ac:dyDescent="0.25">
      <c r="D15431"/>
    </row>
    <row r="15432" spans="4:4" x14ac:dyDescent="0.25">
      <c r="D15432"/>
    </row>
    <row r="15433" spans="4:4" x14ac:dyDescent="0.25">
      <c r="D15433"/>
    </row>
    <row r="15434" spans="4:4" x14ac:dyDescent="0.25">
      <c r="D15434"/>
    </row>
    <row r="15435" spans="4:4" x14ac:dyDescent="0.25">
      <c r="D15435"/>
    </row>
    <row r="15436" spans="4:4" x14ac:dyDescent="0.25">
      <c r="D15436"/>
    </row>
    <row r="15437" spans="4:4" x14ac:dyDescent="0.25">
      <c r="D15437"/>
    </row>
    <row r="15438" spans="4:4" x14ac:dyDescent="0.25">
      <c r="D15438"/>
    </row>
    <row r="15439" spans="4:4" x14ac:dyDescent="0.25">
      <c r="D15439"/>
    </row>
    <row r="15440" spans="4:4" x14ac:dyDescent="0.25">
      <c r="D15440"/>
    </row>
    <row r="15441" spans="4:4" x14ac:dyDescent="0.25">
      <c r="D15441"/>
    </row>
    <row r="15442" spans="4:4" x14ac:dyDescent="0.25">
      <c r="D15442"/>
    </row>
    <row r="15443" spans="4:4" x14ac:dyDescent="0.25">
      <c r="D15443"/>
    </row>
    <row r="15444" spans="4:4" x14ac:dyDescent="0.25">
      <c r="D15444"/>
    </row>
    <row r="15445" spans="4:4" x14ac:dyDescent="0.25">
      <c r="D15445"/>
    </row>
    <row r="15446" spans="4:4" x14ac:dyDescent="0.25">
      <c r="D15446"/>
    </row>
    <row r="15447" spans="4:4" x14ac:dyDescent="0.25">
      <c r="D15447"/>
    </row>
    <row r="15448" spans="4:4" x14ac:dyDescent="0.25">
      <c r="D15448"/>
    </row>
    <row r="15449" spans="4:4" x14ac:dyDescent="0.25">
      <c r="D15449"/>
    </row>
    <row r="15450" spans="4:4" x14ac:dyDescent="0.25">
      <c r="D15450"/>
    </row>
    <row r="15451" spans="4:4" x14ac:dyDescent="0.25">
      <c r="D15451"/>
    </row>
    <row r="15452" spans="4:4" x14ac:dyDescent="0.25">
      <c r="D15452"/>
    </row>
    <row r="15453" spans="4:4" x14ac:dyDescent="0.25">
      <c r="D15453"/>
    </row>
    <row r="15454" spans="4:4" x14ac:dyDescent="0.25">
      <c r="D15454"/>
    </row>
    <row r="15455" spans="4:4" x14ac:dyDescent="0.25">
      <c r="D15455"/>
    </row>
    <row r="15456" spans="4:4" x14ac:dyDescent="0.25">
      <c r="D15456"/>
    </row>
    <row r="15457" spans="4:4" x14ac:dyDescent="0.25">
      <c r="D15457"/>
    </row>
    <row r="15458" spans="4:4" x14ac:dyDescent="0.25">
      <c r="D15458"/>
    </row>
    <row r="15459" spans="4:4" x14ac:dyDescent="0.25">
      <c r="D15459"/>
    </row>
    <row r="15460" spans="4:4" x14ac:dyDescent="0.25">
      <c r="D15460"/>
    </row>
    <row r="15461" spans="4:4" x14ac:dyDescent="0.25">
      <c r="D15461"/>
    </row>
    <row r="15462" spans="4:4" x14ac:dyDescent="0.25">
      <c r="D15462"/>
    </row>
    <row r="15463" spans="4:4" x14ac:dyDescent="0.25">
      <c r="D15463"/>
    </row>
    <row r="15464" spans="4:4" x14ac:dyDescent="0.25">
      <c r="D15464"/>
    </row>
    <row r="15465" spans="4:4" x14ac:dyDescent="0.25">
      <c r="D15465"/>
    </row>
    <row r="15466" spans="4:4" x14ac:dyDescent="0.25">
      <c r="D15466"/>
    </row>
    <row r="15467" spans="4:4" x14ac:dyDescent="0.25">
      <c r="D15467"/>
    </row>
    <row r="15468" spans="4:4" x14ac:dyDescent="0.25">
      <c r="D15468"/>
    </row>
    <row r="15469" spans="4:4" x14ac:dyDescent="0.25">
      <c r="D15469"/>
    </row>
    <row r="15470" spans="4:4" x14ac:dyDescent="0.25">
      <c r="D15470"/>
    </row>
    <row r="15471" spans="4:4" x14ac:dyDescent="0.25">
      <c r="D15471"/>
    </row>
    <row r="15472" spans="4:4" x14ac:dyDescent="0.25">
      <c r="D15472"/>
    </row>
    <row r="15473" spans="4:4" x14ac:dyDescent="0.25">
      <c r="D15473"/>
    </row>
    <row r="15474" spans="4:4" x14ac:dyDescent="0.25">
      <c r="D15474"/>
    </row>
    <row r="15475" spans="4:4" x14ac:dyDescent="0.25">
      <c r="D15475"/>
    </row>
    <row r="15476" spans="4:4" x14ac:dyDescent="0.25">
      <c r="D15476"/>
    </row>
    <row r="15477" spans="4:4" x14ac:dyDescent="0.25">
      <c r="D15477"/>
    </row>
    <row r="15478" spans="4:4" x14ac:dyDescent="0.25">
      <c r="D15478"/>
    </row>
    <row r="15479" spans="4:4" x14ac:dyDescent="0.25">
      <c r="D15479"/>
    </row>
    <row r="15480" spans="4:4" x14ac:dyDescent="0.25">
      <c r="D15480"/>
    </row>
    <row r="15481" spans="4:4" x14ac:dyDescent="0.25">
      <c r="D15481"/>
    </row>
    <row r="15482" spans="4:4" x14ac:dyDescent="0.25">
      <c r="D15482"/>
    </row>
    <row r="15483" spans="4:4" x14ac:dyDescent="0.25">
      <c r="D15483"/>
    </row>
    <row r="15484" spans="4:4" x14ac:dyDescent="0.25">
      <c r="D15484"/>
    </row>
    <row r="15485" spans="4:4" x14ac:dyDescent="0.25">
      <c r="D15485"/>
    </row>
    <row r="15486" spans="4:4" x14ac:dyDescent="0.25">
      <c r="D15486"/>
    </row>
    <row r="15487" spans="4:4" x14ac:dyDescent="0.25">
      <c r="D15487"/>
    </row>
    <row r="15488" spans="4:4" x14ac:dyDescent="0.25">
      <c r="D15488"/>
    </row>
    <row r="15489" spans="4:4" x14ac:dyDescent="0.25">
      <c r="D15489"/>
    </row>
    <row r="15490" spans="4:4" x14ac:dyDescent="0.25">
      <c r="D15490"/>
    </row>
    <row r="15491" spans="4:4" x14ac:dyDescent="0.25">
      <c r="D15491"/>
    </row>
    <row r="15492" spans="4:4" x14ac:dyDescent="0.25">
      <c r="D15492"/>
    </row>
    <row r="15493" spans="4:4" x14ac:dyDescent="0.25">
      <c r="D15493"/>
    </row>
    <row r="15494" spans="4:4" x14ac:dyDescent="0.25">
      <c r="D15494"/>
    </row>
    <row r="15495" spans="4:4" x14ac:dyDescent="0.25">
      <c r="D15495"/>
    </row>
    <row r="15496" spans="4:4" x14ac:dyDescent="0.25">
      <c r="D15496"/>
    </row>
    <row r="15497" spans="4:4" x14ac:dyDescent="0.25">
      <c r="D15497"/>
    </row>
    <row r="15498" spans="4:4" x14ac:dyDescent="0.25">
      <c r="D15498"/>
    </row>
    <row r="15499" spans="4:4" x14ac:dyDescent="0.25">
      <c r="D15499"/>
    </row>
    <row r="15500" spans="4:4" x14ac:dyDescent="0.25">
      <c r="D15500"/>
    </row>
    <row r="15501" spans="4:4" x14ac:dyDescent="0.25">
      <c r="D15501"/>
    </row>
    <row r="15502" spans="4:4" x14ac:dyDescent="0.25">
      <c r="D15502"/>
    </row>
    <row r="15503" spans="4:4" x14ac:dyDescent="0.25">
      <c r="D15503"/>
    </row>
    <row r="15504" spans="4:4" x14ac:dyDescent="0.25">
      <c r="D15504"/>
    </row>
    <row r="15505" spans="4:4" x14ac:dyDescent="0.25">
      <c r="D15505"/>
    </row>
    <row r="15506" spans="4:4" x14ac:dyDescent="0.25">
      <c r="D15506"/>
    </row>
    <row r="15507" spans="4:4" x14ac:dyDescent="0.25">
      <c r="D15507"/>
    </row>
    <row r="15508" spans="4:4" x14ac:dyDescent="0.25">
      <c r="D15508"/>
    </row>
    <row r="15509" spans="4:4" x14ac:dyDescent="0.25">
      <c r="D15509"/>
    </row>
    <row r="15510" spans="4:4" x14ac:dyDescent="0.25">
      <c r="D15510"/>
    </row>
    <row r="15511" spans="4:4" x14ac:dyDescent="0.25">
      <c r="D15511"/>
    </row>
    <row r="15512" spans="4:4" x14ac:dyDescent="0.25">
      <c r="D15512"/>
    </row>
    <row r="15513" spans="4:4" x14ac:dyDescent="0.25">
      <c r="D15513"/>
    </row>
    <row r="15514" spans="4:4" x14ac:dyDescent="0.25">
      <c r="D15514"/>
    </row>
    <row r="15515" spans="4:4" x14ac:dyDescent="0.25">
      <c r="D15515"/>
    </row>
    <row r="15516" spans="4:4" x14ac:dyDescent="0.25">
      <c r="D15516"/>
    </row>
    <row r="15517" spans="4:4" x14ac:dyDescent="0.25">
      <c r="D15517"/>
    </row>
    <row r="15518" spans="4:4" x14ac:dyDescent="0.25">
      <c r="D15518"/>
    </row>
    <row r="15519" spans="4:4" x14ac:dyDescent="0.25">
      <c r="D15519"/>
    </row>
    <row r="15520" spans="4:4" x14ac:dyDescent="0.25">
      <c r="D15520"/>
    </row>
    <row r="15521" spans="4:4" x14ac:dyDescent="0.25">
      <c r="D15521"/>
    </row>
    <row r="15522" spans="4:4" x14ac:dyDescent="0.25">
      <c r="D15522"/>
    </row>
    <row r="15523" spans="4:4" x14ac:dyDescent="0.25">
      <c r="D15523"/>
    </row>
    <row r="15524" spans="4:4" x14ac:dyDescent="0.25">
      <c r="D15524"/>
    </row>
    <row r="15525" spans="4:4" x14ac:dyDescent="0.25">
      <c r="D15525"/>
    </row>
    <row r="15526" spans="4:4" x14ac:dyDescent="0.25">
      <c r="D15526"/>
    </row>
    <row r="15527" spans="4:4" x14ac:dyDescent="0.25">
      <c r="D15527"/>
    </row>
    <row r="15528" spans="4:4" x14ac:dyDescent="0.25">
      <c r="D15528"/>
    </row>
    <row r="15529" spans="4:4" x14ac:dyDescent="0.25">
      <c r="D15529"/>
    </row>
    <row r="15530" spans="4:4" x14ac:dyDescent="0.25">
      <c r="D15530"/>
    </row>
    <row r="15531" spans="4:4" x14ac:dyDescent="0.25">
      <c r="D15531"/>
    </row>
    <row r="15532" spans="4:4" x14ac:dyDescent="0.25">
      <c r="D15532"/>
    </row>
    <row r="15533" spans="4:4" x14ac:dyDescent="0.25">
      <c r="D15533"/>
    </row>
    <row r="15534" spans="4:4" x14ac:dyDescent="0.25">
      <c r="D15534"/>
    </row>
    <row r="15535" spans="4:4" x14ac:dyDescent="0.25">
      <c r="D15535"/>
    </row>
    <row r="15536" spans="4:4" x14ac:dyDescent="0.25">
      <c r="D15536"/>
    </row>
    <row r="15537" spans="4:4" x14ac:dyDescent="0.25">
      <c r="D15537"/>
    </row>
    <row r="15538" spans="4:4" x14ac:dyDescent="0.25">
      <c r="D15538"/>
    </row>
    <row r="15539" spans="4:4" x14ac:dyDescent="0.25">
      <c r="D15539"/>
    </row>
    <row r="15540" spans="4:4" x14ac:dyDescent="0.25">
      <c r="D15540"/>
    </row>
    <row r="15541" spans="4:4" x14ac:dyDescent="0.25">
      <c r="D15541"/>
    </row>
    <row r="15542" spans="4:4" x14ac:dyDescent="0.25">
      <c r="D15542"/>
    </row>
    <row r="15543" spans="4:4" x14ac:dyDescent="0.25">
      <c r="D15543"/>
    </row>
    <row r="15544" spans="4:4" x14ac:dyDescent="0.25">
      <c r="D15544"/>
    </row>
    <row r="15545" spans="4:4" x14ac:dyDescent="0.25">
      <c r="D15545"/>
    </row>
    <row r="15546" spans="4:4" x14ac:dyDescent="0.25">
      <c r="D15546"/>
    </row>
    <row r="15547" spans="4:4" x14ac:dyDescent="0.25">
      <c r="D15547"/>
    </row>
    <row r="15548" spans="4:4" x14ac:dyDescent="0.25">
      <c r="D15548"/>
    </row>
    <row r="15549" spans="4:4" x14ac:dyDescent="0.25">
      <c r="D15549"/>
    </row>
    <row r="15550" spans="4:4" x14ac:dyDescent="0.25">
      <c r="D15550"/>
    </row>
    <row r="15551" spans="4:4" x14ac:dyDescent="0.25">
      <c r="D15551"/>
    </row>
    <row r="15552" spans="4:4" x14ac:dyDescent="0.25">
      <c r="D15552"/>
    </row>
    <row r="15553" spans="4:4" x14ac:dyDescent="0.25">
      <c r="D15553"/>
    </row>
    <row r="15554" spans="4:4" x14ac:dyDescent="0.25">
      <c r="D15554"/>
    </row>
    <row r="15555" spans="4:4" x14ac:dyDescent="0.25">
      <c r="D15555"/>
    </row>
    <row r="15556" spans="4:4" x14ac:dyDescent="0.25">
      <c r="D15556"/>
    </row>
    <row r="15557" spans="4:4" x14ac:dyDescent="0.25">
      <c r="D15557"/>
    </row>
    <row r="15558" spans="4:4" x14ac:dyDescent="0.25">
      <c r="D15558"/>
    </row>
    <row r="15559" spans="4:4" x14ac:dyDescent="0.25">
      <c r="D15559"/>
    </row>
    <row r="15560" spans="4:4" x14ac:dyDescent="0.25">
      <c r="D15560"/>
    </row>
    <row r="15561" spans="4:4" x14ac:dyDescent="0.25">
      <c r="D15561"/>
    </row>
    <row r="15562" spans="4:4" x14ac:dyDescent="0.25">
      <c r="D15562"/>
    </row>
    <row r="15563" spans="4:4" x14ac:dyDescent="0.25">
      <c r="D15563"/>
    </row>
    <row r="15564" spans="4:4" x14ac:dyDescent="0.25">
      <c r="D15564"/>
    </row>
    <row r="15565" spans="4:4" x14ac:dyDescent="0.25">
      <c r="D15565"/>
    </row>
    <row r="15566" spans="4:4" x14ac:dyDescent="0.25">
      <c r="D15566"/>
    </row>
    <row r="15567" spans="4:4" x14ac:dyDescent="0.25">
      <c r="D15567"/>
    </row>
    <row r="15568" spans="4:4" x14ac:dyDescent="0.25">
      <c r="D15568"/>
    </row>
    <row r="15569" spans="4:4" x14ac:dyDescent="0.25">
      <c r="D15569"/>
    </row>
    <row r="15570" spans="4:4" x14ac:dyDescent="0.25">
      <c r="D15570"/>
    </row>
    <row r="15571" spans="4:4" x14ac:dyDescent="0.25">
      <c r="D15571"/>
    </row>
    <row r="15572" spans="4:4" x14ac:dyDescent="0.25">
      <c r="D15572"/>
    </row>
    <row r="15573" spans="4:4" x14ac:dyDescent="0.25">
      <c r="D15573"/>
    </row>
    <row r="15574" spans="4:4" x14ac:dyDescent="0.25">
      <c r="D15574"/>
    </row>
    <row r="15575" spans="4:4" x14ac:dyDescent="0.25">
      <c r="D15575"/>
    </row>
    <row r="15576" spans="4:4" x14ac:dyDescent="0.25">
      <c r="D15576"/>
    </row>
    <row r="15577" spans="4:4" x14ac:dyDescent="0.25">
      <c r="D15577"/>
    </row>
    <row r="15578" spans="4:4" x14ac:dyDescent="0.25">
      <c r="D15578"/>
    </row>
    <row r="15579" spans="4:4" x14ac:dyDescent="0.25">
      <c r="D15579"/>
    </row>
    <row r="15580" spans="4:4" x14ac:dyDescent="0.25">
      <c r="D15580"/>
    </row>
    <row r="15581" spans="4:4" x14ac:dyDescent="0.25">
      <c r="D15581"/>
    </row>
    <row r="15582" spans="4:4" x14ac:dyDescent="0.25">
      <c r="D15582"/>
    </row>
    <row r="15583" spans="4:4" x14ac:dyDescent="0.25">
      <c r="D15583"/>
    </row>
    <row r="15584" spans="4:4" x14ac:dyDescent="0.25">
      <c r="D15584"/>
    </row>
    <row r="15585" spans="4:4" x14ac:dyDescent="0.25">
      <c r="D15585"/>
    </row>
    <row r="15586" spans="4:4" x14ac:dyDescent="0.25">
      <c r="D15586"/>
    </row>
    <row r="15587" spans="4:4" x14ac:dyDescent="0.25">
      <c r="D15587"/>
    </row>
    <row r="15588" spans="4:4" x14ac:dyDescent="0.25">
      <c r="D15588"/>
    </row>
    <row r="15589" spans="4:4" x14ac:dyDescent="0.25">
      <c r="D15589"/>
    </row>
    <row r="15590" spans="4:4" x14ac:dyDescent="0.25">
      <c r="D15590"/>
    </row>
    <row r="15591" spans="4:4" x14ac:dyDescent="0.25">
      <c r="D15591"/>
    </row>
    <row r="15592" spans="4:4" x14ac:dyDescent="0.25">
      <c r="D15592"/>
    </row>
    <row r="15593" spans="4:4" x14ac:dyDescent="0.25">
      <c r="D15593"/>
    </row>
    <row r="15594" spans="4:4" x14ac:dyDescent="0.25">
      <c r="D15594"/>
    </row>
    <row r="15595" spans="4:4" x14ac:dyDescent="0.25">
      <c r="D15595"/>
    </row>
    <row r="15596" spans="4:4" x14ac:dyDescent="0.25">
      <c r="D15596"/>
    </row>
    <row r="15597" spans="4:4" x14ac:dyDescent="0.25">
      <c r="D15597"/>
    </row>
    <row r="15598" spans="4:4" x14ac:dyDescent="0.25">
      <c r="D15598"/>
    </row>
    <row r="15599" spans="4:4" x14ac:dyDescent="0.25">
      <c r="D15599"/>
    </row>
    <row r="15600" spans="4:4" x14ac:dyDescent="0.25">
      <c r="D15600"/>
    </row>
    <row r="15601" spans="4:4" x14ac:dyDescent="0.25">
      <c r="D15601"/>
    </row>
    <row r="15602" spans="4:4" x14ac:dyDescent="0.25">
      <c r="D15602"/>
    </row>
    <row r="15603" spans="4:4" x14ac:dyDescent="0.25">
      <c r="D15603"/>
    </row>
    <row r="15604" spans="4:4" x14ac:dyDescent="0.25">
      <c r="D15604"/>
    </row>
    <row r="15605" spans="4:4" x14ac:dyDescent="0.25">
      <c r="D15605"/>
    </row>
    <row r="15606" spans="4:4" x14ac:dyDescent="0.25">
      <c r="D15606"/>
    </row>
    <row r="15607" spans="4:4" x14ac:dyDescent="0.25">
      <c r="D15607"/>
    </row>
    <row r="15608" spans="4:4" x14ac:dyDescent="0.25">
      <c r="D15608"/>
    </row>
    <row r="15609" spans="4:4" x14ac:dyDescent="0.25">
      <c r="D15609"/>
    </row>
    <row r="15610" spans="4:4" x14ac:dyDescent="0.25">
      <c r="D15610"/>
    </row>
    <row r="15611" spans="4:4" x14ac:dyDescent="0.25">
      <c r="D15611"/>
    </row>
    <row r="15612" spans="4:4" x14ac:dyDescent="0.25">
      <c r="D15612"/>
    </row>
    <row r="15613" spans="4:4" x14ac:dyDescent="0.25">
      <c r="D15613"/>
    </row>
    <row r="15614" spans="4:4" x14ac:dyDescent="0.25">
      <c r="D15614"/>
    </row>
    <row r="15615" spans="4:4" x14ac:dyDescent="0.25">
      <c r="D15615"/>
    </row>
    <row r="15616" spans="4:4" x14ac:dyDescent="0.25">
      <c r="D15616"/>
    </row>
    <row r="15617" spans="4:4" x14ac:dyDescent="0.25">
      <c r="D15617"/>
    </row>
    <row r="15618" spans="4:4" x14ac:dyDescent="0.25">
      <c r="D15618"/>
    </row>
    <row r="15619" spans="4:4" x14ac:dyDescent="0.25">
      <c r="D15619"/>
    </row>
    <row r="15620" spans="4:4" x14ac:dyDescent="0.25">
      <c r="D15620"/>
    </row>
    <row r="15621" spans="4:4" x14ac:dyDescent="0.25">
      <c r="D15621"/>
    </row>
    <row r="15622" spans="4:4" x14ac:dyDescent="0.25">
      <c r="D15622"/>
    </row>
    <row r="15623" spans="4:4" x14ac:dyDescent="0.25">
      <c r="D15623"/>
    </row>
    <row r="15624" spans="4:4" x14ac:dyDescent="0.25">
      <c r="D15624"/>
    </row>
    <row r="15625" spans="4:4" x14ac:dyDescent="0.25">
      <c r="D15625"/>
    </row>
    <row r="15626" spans="4:4" x14ac:dyDescent="0.25">
      <c r="D15626"/>
    </row>
    <row r="15627" spans="4:4" x14ac:dyDescent="0.25">
      <c r="D15627"/>
    </row>
    <row r="15628" spans="4:4" x14ac:dyDescent="0.25">
      <c r="D15628"/>
    </row>
    <row r="15629" spans="4:4" x14ac:dyDescent="0.25">
      <c r="D15629"/>
    </row>
    <row r="15630" spans="4:4" x14ac:dyDescent="0.25">
      <c r="D15630"/>
    </row>
    <row r="15631" spans="4:4" x14ac:dyDescent="0.25">
      <c r="D15631"/>
    </row>
    <row r="15632" spans="4:4" x14ac:dyDescent="0.25">
      <c r="D15632"/>
    </row>
    <row r="15633" spans="4:4" x14ac:dyDescent="0.25">
      <c r="D15633"/>
    </row>
    <row r="15634" spans="4:4" x14ac:dyDescent="0.25">
      <c r="D15634"/>
    </row>
    <row r="15635" spans="4:4" x14ac:dyDescent="0.25">
      <c r="D15635"/>
    </row>
    <row r="15636" spans="4:4" x14ac:dyDescent="0.25">
      <c r="D15636"/>
    </row>
    <row r="15637" spans="4:4" x14ac:dyDescent="0.25">
      <c r="D15637"/>
    </row>
    <row r="15638" spans="4:4" x14ac:dyDescent="0.25">
      <c r="D15638"/>
    </row>
    <row r="15639" spans="4:4" x14ac:dyDescent="0.25">
      <c r="D15639"/>
    </row>
    <row r="15640" spans="4:4" x14ac:dyDescent="0.25">
      <c r="D15640"/>
    </row>
    <row r="15641" spans="4:4" x14ac:dyDescent="0.25">
      <c r="D15641"/>
    </row>
    <row r="15642" spans="4:4" x14ac:dyDescent="0.25">
      <c r="D15642"/>
    </row>
    <row r="15643" spans="4:4" x14ac:dyDescent="0.25">
      <c r="D15643"/>
    </row>
    <row r="15644" spans="4:4" x14ac:dyDescent="0.25">
      <c r="D15644"/>
    </row>
    <row r="15645" spans="4:4" x14ac:dyDescent="0.25">
      <c r="D15645"/>
    </row>
    <row r="15646" spans="4:4" x14ac:dyDescent="0.25">
      <c r="D15646"/>
    </row>
    <row r="15647" spans="4:4" x14ac:dyDescent="0.25">
      <c r="D15647"/>
    </row>
    <row r="15648" spans="4:4" x14ac:dyDescent="0.25">
      <c r="D15648"/>
    </row>
    <row r="15649" spans="4:4" x14ac:dyDescent="0.25">
      <c r="D15649"/>
    </row>
    <row r="15650" spans="4:4" x14ac:dyDescent="0.25">
      <c r="D15650"/>
    </row>
    <row r="15651" spans="4:4" x14ac:dyDescent="0.25">
      <c r="D15651"/>
    </row>
    <row r="15652" spans="4:4" x14ac:dyDescent="0.25">
      <c r="D15652"/>
    </row>
    <row r="15653" spans="4:4" x14ac:dyDescent="0.25">
      <c r="D15653"/>
    </row>
    <row r="15654" spans="4:4" x14ac:dyDescent="0.25">
      <c r="D15654"/>
    </row>
    <row r="15655" spans="4:4" x14ac:dyDescent="0.25">
      <c r="D15655"/>
    </row>
    <row r="15656" spans="4:4" x14ac:dyDescent="0.25">
      <c r="D15656"/>
    </row>
    <row r="15657" spans="4:4" x14ac:dyDescent="0.25">
      <c r="D15657"/>
    </row>
    <row r="15658" spans="4:4" x14ac:dyDescent="0.25">
      <c r="D15658"/>
    </row>
    <row r="15659" spans="4:4" x14ac:dyDescent="0.25">
      <c r="D15659"/>
    </row>
    <row r="15660" spans="4:4" x14ac:dyDescent="0.25">
      <c r="D15660"/>
    </row>
    <row r="15661" spans="4:4" x14ac:dyDescent="0.25">
      <c r="D15661"/>
    </row>
    <row r="15662" spans="4:4" x14ac:dyDescent="0.25">
      <c r="D15662"/>
    </row>
    <row r="15663" spans="4:4" x14ac:dyDescent="0.25">
      <c r="D15663"/>
    </row>
    <row r="15664" spans="4:4" x14ac:dyDescent="0.25">
      <c r="D15664"/>
    </row>
    <row r="15665" spans="4:4" x14ac:dyDescent="0.25">
      <c r="D15665"/>
    </row>
    <row r="15666" spans="4:4" x14ac:dyDescent="0.25">
      <c r="D15666"/>
    </row>
    <row r="15667" spans="4:4" x14ac:dyDescent="0.25">
      <c r="D15667"/>
    </row>
    <row r="15668" spans="4:4" x14ac:dyDescent="0.25">
      <c r="D15668"/>
    </row>
    <row r="15669" spans="4:4" x14ac:dyDescent="0.25">
      <c r="D15669"/>
    </row>
    <row r="15670" spans="4:4" x14ac:dyDescent="0.25">
      <c r="D15670"/>
    </row>
    <row r="15671" spans="4:4" x14ac:dyDescent="0.25">
      <c r="D15671"/>
    </row>
    <row r="15672" spans="4:4" x14ac:dyDescent="0.25">
      <c r="D15672"/>
    </row>
    <row r="15673" spans="4:4" x14ac:dyDescent="0.25">
      <c r="D15673"/>
    </row>
    <row r="15674" spans="4:4" x14ac:dyDescent="0.25">
      <c r="D15674"/>
    </row>
    <row r="15675" spans="4:4" x14ac:dyDescent="0.25">
      <c r="D15675"/>
    </row>
    <row r="15676" spans="4:4" x14ac:dyDescent="0.25">
      <c r="D15676"/>
    </row>
    <row r="15677" spans="4:4" x14ac:dyDescent="0.25">
      <c r="D15677"/>
    </row>
    <row r="15678" spans="4:4" x14ac:dyDescent="0.25">
      <c r="D15678"/>
    </row>
    <row r="15679" spans="4:4" x14ac:dyDescent="0.25">
      <c r="D15679"/>
    </row>
    <row r="15680" spans="4:4" x14ac:dyDescent="0.25">
      <c r="D15680"/>
    </row>
    <row r="15681" spans="4:4" x14ac:dyDescent="0.25">
      <c r="D15681"/>
    </row>
    <row r="15682" spans="4:4" x14ac:dyDescent="0.25">
      <c r="D15682"/>
    </row>
    <row r="15683" spans="4:4" x14ac:dyDescent="0.25">
      <c r="D15683"/>
    </row>
    <row r="15684" spans="4:4" x14ac:dyDescent="0.25">
      <c r="D15684"/>
    </row>
    <row r="15685" spans="4:4" x14ac:dyDescent="0.25">
      <c r="D15685"/>
    </row>
    <row r="15686" spans="4:4" x14ac:dyDescent="0.25">
      <c r="D15686"/>
    </row>
    <row r="15687" spans="4:4" x14ac:dyDescent="0.25">
      <c r="D15687"/>
    </row>
    <row r="15688" spans="4:4" x14ac:dyDescent="0.25">
      <c r="D15688"/>
    </row>
    <row r="15689" spans="4:4" x14ac:dyDescent="0.25">
      <c r="D15689"/>
    </row>
    <row r="15690" spans="4:4" x14ac:dyDescent="0.25">
      <c r="D15690"/>
    </row>
    <row r="15691" spans="4:4" x14ac:dyDescent="0.25">
      <c r="D15691"/>
    </row>
    <row r="15692" spans="4:4" x14ac:dyDescent="0.25">
      <c r="D15692"/>
    </row>
    <row r="15693" spans="4:4" x14ac:dyDescent="0.25">
      <c r="D15693"/>
    </row>
    <row r="15694" spans="4:4" x14ac:dyDescent="0.25">
      <c r="D15694"/>
    </row>
    <row r="15695" spans="4:4" x14ac:dyDescent="0.25">
      <c r="D15695"/>
    </row>
    <row r="15696" spans="4:4" x14ac:dyDescent="0.25">
      <c r="D15696"/>
    </row>
    <row r="15697" spans="4:4" x14ac:dyDescent="0.25">
      <c r="D15697"/>
    </row>
    <row r="15698" spans="4:4" x14ac:dyDescent="0.25">
      <c r="D15698"/>
    </row>
    <row r="15699" spans="4:4" x14ac:dyDescent="0.25">
      <c r="D15699"/>
    </row>
    <row r="15700" spans="4:4" x14ac:dyDescent="0.25">
      <c r="D15700"/>
    </row>
    <row r="15701" spans="4:4" x14ac:dyDescent="0.25">
      <c r="D15701"/>
    </row>
    <row r="15702" spans="4:4" x14ac:dyDescent="0.25">
      <c r="D15702"/>
    </row>
    <row r="15703" spans="4:4" x14ac:dyDescent="0.25">
      <c r="D15703"/>
    </row>
    <row r="15704" spans="4:4" x14ac:dyDescent="0.25">
      <c r="D15704"/>
    </row>
    <row r="15705" spans="4:4" x14ac:dyDescent="0.25">
      <c r="D15705"/>
    </row>
    <row r="15706" spans="4:4" x14ac:dyDescent="0.25">
      <c r="D15706"/>
    </row>
    <row r="15707" spans="4:4" x14ac:dyDescent="0.25">
      <c r="D15707"/>
    </row>
    <row r="15708" spans="4:4" x14ac:dyDescent="0.25">
      <c r="D15708"/>
    </row>
    <row r="15709" spans="4:4" x14ac:dyDescent="0.25">
      <c r="D15709"/>
    </row>
    <row r="15710" spans="4:4" x14ac:dyDescent="0.25">
      <c r="D15710"/>
    </row>
    <row r="15711" spans="4:4" x14ac:dyDescent="0.25">
      <c r="D15711"/>
    </row>
    <row r="15712" spans="4:4" x14ac:dyDescent="0.25">
      <c r="D15712"/>
    </row>
    <row r="15713" spans="4:4" x14ac:dyDescent="0.25">
      <c r="D15713"/>
    </row>
    <row r="15714" spans="4:4" x14ac:dyDescent="0.25">
      <c r="D15714"/>
    </row>
    <row r="15715" spans="4:4" x14ac:dyDescent="0.25">
      <c r="D15715"/>
    </row>
    <row r="15716" spans="4:4" x14ac:dyDescent="0.25">
      <c r="D15716"/>
    </row>
    <row r="15717" spans="4:4" x14ac:dyDescent="0.25">
      <c r="D15717"/>
    </row>
    <row r="15718" spans="4:4" x14ac:dyDescent="0.25">
      <c r="D15718"/>
    </row>
    <row r="15719" spans="4:4" x14ac:dyDescent="0.25">
      <c r="D15719"/>
    </row>
    <row r="15720" spans="4:4" x14ac:dyDescent="0.25">
      <c r="D15720"/>
    </row>
    <row r="15721" spans="4:4" x14ac:dyDescent="0.25">
      <c r="D15721"/>
    </row>
    <row r="15722" spans="4:4" x14ac:dyDescent="0.25">
      <c r="D15722"/>
    </row>
    <row r="15723" spans="4:4" x14ac:dyDescent="0.25">
      <c r="D15723"/>
    </row>
    <row r="15724" spans="4:4" x14ac:dyDescent="0.25">
      <c r="D15724"/>
    </row>
    <row r="15725" spans="4:4" x14ac:dyDescent="0.25">
      <c r="D15725"/>
    </row>
    <row r="15726" spans="4:4" x14ac:dyDescent="0.25">
      <c r="D15726"/>
    </row>
    <row r="15727" spans="4:4" x14ac:dyDescent="0.25">
      <c r="D15727"/>
    </row>
    <row r="15728" spans="4:4" x14ac:dyDescent="0.25">
      <c r="D15728"/>
    </row>
    <row r="15729" spans="4:4" x14ac:dyDescent="0.25">
      <c r="D15729"/>
    </row>
    <row r="15730" spans="4:4" x14ac:dyDescent="0.25">
      <c r="D15730"/>
    </row>
    <row r="15731" spans="4:4" x14ac:dyDescent="0.25">
      <c r="D15731"/>
    </row>
    <row r="15732" spans="4:4" x14ac:dyDescent="0.25">
      <c r="D15732"/>
    </row>
    <row r="15733" spans="4:4" x14ac:dyDescent="0.25">
      <c r="D15733"/>
    </row>
    <row r="15734" spans="4:4" x14ac:dyDescent="0.25">
      <c r="D15734"/>
    </row>
    <row r="15735" spans="4:4" x14ac:dyDescent="0.25">
      <c r="D15735"/>
    </row>
    <row r="15736" spans="4:4" x14ac:dyDescent="0.25">
      <c r="D15736"/>
    </row>
    <row r="15737" spans="4:4" x14ac:dyDescent="0.25">
      <c r="D15737"/>
    </row>
    <row r="15738" spans="4:4" x14ac:dyDescent="0.25">
      <c r="D15738"/>
    </row>
    <row r="15739" spans="4:4" x14ac:dyDescent="0.25">
      <c r="D15739"/>
    </row>
    <row r="15740" spans="4:4" x14ac:dyDescent="0.25">
      <c r="D15740"/>
    </row>
    <row r="15741" spans="4:4" x14ac:dyDescent="0.25">
      <c r="D15741"/>
    </row>
    <row r="15742" spans="4:4" x14ac:dyDescent="0.25">
      <c r="D15742"/>
    </row>
    <row r="15743" spans="4:4" x14ac:dyDescent="0.25">
      <c r="D15743"/>
    </row>
    <row r="15744" spans="4:4" x14ac:dyDescent="0.25">
      <c r="D15744"/>
    </row>
    <row r="15745" spans="4:4" x14ac:dyDescent="0.25">
      <c r="D15745"/>
    </row>
    <row r="15746" spans="4:4" x14ac:dyDescent="0.25">
      <c r="D15746"/>
    </row>
    <row r="15747" spans="4:4" x14ac:dyDescent="0.25">
      <c r="D15747"/>
    </row>
    <row r="15748" spans="4:4" x14ac:dyDescent="0.25">
      <c r="D15748"/>
    </row>
    <row r="15749" spans="4:4" x14ac:dyDescent="0.25">
      <c r="D15749"/>
    </row>
    <row r="15750" spans="4:4" x14ac:dyDescent="0.25">
      <c r="D15750"/>
    </row>
    <row r="15751" spans="4:4" x14ac:dyDescent="0.25">
      <c r="D15751"/>
    </row>
    <row r="15752" spans="4:4" x14ac:dyDescent="0.25">
      <c r="D15752"/>
    </row>
    <row r="15753" spans="4:4" x14ac:dyDescent="0.25">
      <c r="D15753"/>
    </row>
    <row r="15754" spans="4:4" x14ac:dyDescent="0.25">
      <c r="D15754"/>
    </row>
    <row r="15755" spans="4:4" x14ac:dyDescent="0.25">
      <c r="D15755"/>
    </row>
    <row r="15756" spans="4:4" x14ac:dyDescent="0.25">
      <c r="D15756"/>
    </row>
    <row r="15757" spans="4:4" x14ac:dyDescent="0.25">
      <c r="D15757"/>
    </row>
    <row r="15758" spans="4:4" x14ac:dyDescent="0.25">
      <c r="D15758"/>
    </row>
    <row r="15759" spans="4:4" x14ac:dyDescent="0.25">
      <c r="D15759"/>
    </row>
    <row r="15760" spans="4:4" x14ac:dyDescent="0.25">
      <c r="D15760"/>
    </row>
    <row r="15761" spans="4:4" x14ac:dyDescent="0.25">
      <c r="D15761"/>
    </row>
    <row r="15762" spans="4:4" x14ac:dyDescent="0.25">
      <c r="D15762"/>
    </row>
    <row r="15763" spans="4:4" x14ac:dyDescent="0.25">
      <c r="D15763"/>
    </row>
    <row r="15764" spans="4:4" x14ac:dyDescent="0.25">
      <c r="D15764"/>
    </row>
    <row r="15765" spans="4:4" x14ac:dyDescent="0.25">
      <c r="D15765"/>
    </row>
    <row r="15766" spans="4:4" x14ac:dyDescent="0.25">
      <c r="D15766"/>
    </row>
    <row r="15767" spans="4:4" x14ac:dyDescent="0.25">
      <c r="D15767"/>
    </row>
    <row r="15768" spans="4:4" x14ac:dyDescent="0.25">
      <c r="D15768"/>
    </row>
    <row r="15769" spans="4:4" x14ac:dyDescent="0.25">
      <c r="D15769"/>
    </row>
    <row r="15770" spans="4:4" x14ac:dyDescent="0.25">
      <c r="D15770"/>
    </row>
    <row r="15771" spans="4:4" x14ac:dyDescent="0.25">
      <c r="D15771"/>
    </row>
    <row r="15772" spans="4:4" x14ac:dyDescent="0.25">
      <c r="D15772"/>
    </row>
    <row r="15773" spans="4:4" x14ac:dyDescent="0.25">
      <c r="D15773"/>
    </row>
    <row r="15774" spans="4:4" x14ac:dyDescent="0.25">
      <c r="D15774"/>
    </row>
    <row r="15775" spans="4:4" x14ac:dyDescent="0.25">
      <c r="D15775"/>
    </row>
    <row r="15776" spans="4:4" x14ac:dyDescent="0.25">
      <c r="D15776"/>
    </row>
    <row r="15777" spans="4:4" x14ac:dyDescent="0.25">
      <c r="D15777"/>
    </row>
    <row r="15778" spans="4:4" x14ac:dyDescent="0.25">
      <c r="D15778"/>
    </row>
    <row r="15779" spans="4:4" x14ac:dyDescent="0.25">
      <c r="D15779"/>
    </row>
    <row r="15780" spans="4:4" x14ac:dyDescent="0.25">
      <c r="D15780"/>
    </row>
    <row r="15781" spans="4:4" x14ac:dyDescent="0.25">
      <c r="D15781"/>
    </row>
    <row r="15782" spans="4:4" x14ac:dyDescent="0.25">
      <c r="D15782"/>
    </row>
    <row r="15783" spans="4:4" x14ac:dyDescent="0.25">
      <c r="D15783"/>
    </row>
    <row r="15784" spans="4:4" x14ac:dyDescent="0.25">
      <c r="D15784"/>
    </row>
    <row r="15785" spans="4:4" x14ac:dyDescent="0.25">
      <c r="D15785"/>
    </row>
    <row r="15786" spans="4:4" x14ac:dyDescent="0.25">
      <c r="D15786"/>
    </row>
    <row r="15787" spans="4:4" x14ac:dyDescent="0.25">
      <c r="D15787"/>
    </row>
    <row r="15788" spans="4:4" x14ac:dyDescent="0.25">
      <c r="D15788"/>
    </row>
    <row r="15789" spans="4:4" x14ac:dyDescent="0.25">
      <c r="D15789"/>
    </row>
    <row r="15790" spans="4:4" x14ac:dyDescent="0.25">
      <c r="D15790"/>
    </row>
    <row r="15791" spans="4:4" x14ac:dyDescent="0.25">
      <c r="D15791"/>
    </row>
    <row r="15792" spans="4:4" x14ac:dyDescent="0.25">
      <c r="D15792"/>
    </row>
    <row r="15793" spans="4:4" x14ac:dyDescent="0.25">
      <c r="D15793"/>
    </row>
    <row r="15794" spans="4:4" x14ac:dyDescent="0.25">
      <c r="D15794"/>
    </row>
    <row r="15795" spans="4:4" x14ac:dyDescent="0.25">
      <c r="D15795"/>
    </row>
    <row r="15796" spans="4:4" x14ac:dyDescent="0.25">
      <c r="D15796"/>
    </row>
    <row r="15797" spans="4:4" x14ac:dyDescent="0.25">
      <c r="D15797"/>
    </row>
    <row r="15798" spans="4:4" x14ac:dyDescent="0.25">
      <c r="D15798"/>
    </row>
    <row r="15799" spans="4:4" x14ac:dyDescent="0.25">
      <c r="D15799"/>
    </row>
    <row r="15800" spans="4:4" x14ac:dyDescent="0.25">
      <c r="D15800"/>
    </row>
    <row r="15801" spans="4:4" x14ac:dyDescent="0.25">
      <c r="D15801"/>
    </row>
    <row r="15802" spans="4:4" x14ac:dyDescent="0.25">
      <c r="D15802"/>
    </row>
    <row r="15803" spans="4:4" x14ac:dyDescent="0.25">
      <c r="D15803"/>
    </row>
    <row r="15804" spans="4:4" x14ac:dyDescent="0.25">
      <c r="D15804"/>
    </row>
    <row r="15805" spans="4:4" x14ac:dyDescent="0.25">
      <c r="D15805"/>
    </row>
    <row r="15806" spans="4:4" x14ac:dyDescent="0.25">
      <c r="D15806"/>
    </row>
    <row r="15807" spans="4:4" x14ac:dyDescent="0.25">
      <c r="D15807"/>
    </row>
    <row r="15808" spans="4:4" x14ac:dyDescent="0.25">
      <c r="D15808"/>
    </row>
    <row r="15809" spans="4:4" x14ac:dyDescent="0.25">
      <c r="D15809"/>
    </row>
    <row r="15810" spans="4:4" x14ac:dyDescent="0.25">
      <c r="D15810"/>
    </row>
    <row r="15811" spans="4:4" x14ac:dyDescent="0.25">
      <c r="D15811"/>
    </row>
    <row r="15812" spans="4:4" x14ac:dyDescent="0.25">
      <c r="D15812"/>
    </row>
    <row r="15813" spans="4:4" x14ac:dyDescent="0.25">
      <c r="D15813"/>
    </row>
    <row r="15814" spans="4:4" x14ac:dyDescent="0.25">
      <c r="D15814"/>
    </row>
    <row r="15815" spans="4:4" x14ac:dyDescent="0.25">
      <c r="D15815"/>
    </row>
    <row r="15816" spans="4:4" x14ac:dyDescent="0.25">
      <c r="D15816"/>
    </row>
    <row r="15817" spans="4:4" x14ac:dyDescent="0.25">
      <c r="D15817"/>
    </row>
    <row r="15818" spans="4:4" x14ac:dyDescent="0.25">
      <c r="D15818"/>
    </row>
    <row r="15819" spans="4:4" x14ac:dyDescent="0.25">
      <c r="D15819"/>
    </row>
    <row r="15820" spans="4:4" x14ac:dyDescent="0.25">
      <c r="D15820"/>
    </row>
    <row r="15821" spans="4:4" x14ac:dyDescent="0.25">
      <c r="D15821"/>
    </row>
    <row r="15822" spans="4:4" x14ac:dyDescent="0.25">
      <c r="D15822"/>
    </row>
    <row r="15823" spans="4:4" x14ac:dyDescent="0.25">
      <c r="D15823"/>
    </row>
    <row r="15824" spans="4:4" x14ac:dyDescent="0.25">
      <c r="D15824"/>
    </row>
    <row r="15825" spans="4:4" x14ac:dyDescent="0.25">
      <c r="D15825"/>
    </row>
    <row r="15826" spans="4:4" x14ac:dyDescent="0.25">
      <c r="D15826"/>
    </row>
    <row r="15827" spans="4:4" x14ac:dyDescent="0.25">
      <c r="D15827"/>
    </row>
    <row r="15828" spans="4:4" x14ac:dyDescent="0.25">
      <c r="D15828"/>
    </row>
    <row r="15829" spans="4:4" x14ac:dyDescent="0.25">
      <c r="D15829"/>
    </row>
    <row r="15830" spans="4:4" x14ac:dyDescent="0.25">
      <c r="D15830"/>
    </row>
    <row r="15831" spans="4:4" x14ac:dyDescent="0.25">
      <c r="D15831"/>
    </row>
    <row r="15832" spans="4:4" x14ac:dyDescent="0.25">
      <c r="D15832"/>
    </row>
    <row r="15833" spans="4:4" x14ac:dyDescent="0.25">
      <c r="D15833"/>
    </row>
    <row r="15834" spans="4:4" x14ac:dyDescent="0.25">
      <c r="D15834"/>
    </row>
    <row r="15835" spans="4:4" x14ac:dyDescent="0.25">
      <c r="D15835"/>
    </row>
    <row r="15836" spans="4:4" x14ac:dyDescent="0.25">
      <c r="D15836"/>
    </row>
    <row r="15837" spans="4:4" x14ac:dyDescent="0.25">
      <c r="D15837"/>
    </row>
    <row r="15838" spans="4:4" x14ac:dyDescent="0.25">
      <c r="D15838"/>
    </row>
    <row r="15839" spans="4:4" x14ac:dyDescent="0.25">
      <c r="D15839"/>
    </row>
    <row r="15840" spans="4:4" x14ac:dyDescent="0.25">
      <c r="D15840"/>
    </row>
    <row r="15841" spans="4:4" x14ac:dyDescent="0.25">
      <c r="D15841"/>
    </row>
    <row r="15842" spans="4:4" x14ac:dyDescent="0.25">
      <c r="D15842"/>
    </row>
    <row r="15843" spans="4:4" x14ac:dyDescent="0.25">
      <c r="D15843"/>
    </row>
    <row r="15844" spans="4:4" x14ac:dyDescent="0.25">
      <c r="D15844"/>
    </row>
    <row r="15845" spans="4:4" x14ac:dyDescent="0.25">
      <c r="D15845"/>
    </row>
    <row r="15846" spans="4:4" x14ac:dyDescent="0.25">
      <c r="D15846"/>
    </row>
    <row r="15847" spans="4:4" x14ac:dyDescent="0.25">
      <c r="D15847"/>
    </row>
    <row r="15848" spans="4:4" x14ac:dyDescent="0.25">
      <c r="D15848"/>
    </row>
    <row r="15849" spans="4:4" x14ac:dyDescent="0.25">
      <c r="D15849"/>
    </row>
    <row r="15850" spans="4:4" x14ac:dyDescent="0.25">
      <c r="D15850"/>
    </row>
    <row r="15851" spans="4:4" x14ac:dyDescent="0.25">
      <c r="D15851"/>
    </row>
    <row r="15852" spans="4:4" x14ac:dyDescent="0.25">
      <c r="D15852"/>
    </row>
    <row r="15853" spans="4:4" x14ac:dyDescent="0.25">
      <c r="D15853"/>
    </row>
    <row r="15854" spans="4:4" x14ac:dyDescent="0.25">
      <c r="D15854"/>
    </row>
    <row r="15855" spans="4:4" x14ac:dyDescent="0.25">
      <c r="D15855"/>
    </row>
    <row r="15856" spans="4:4" x14ac:dyDescent="0.25">
      <c r="D15856"/>
    </row>
    <row r="15857" spans="4:4" x14ac:dyDescent="0.25">
      <c r="D15857"/>
    </row>
    <row r="15858" spans="4:4" x14ac:dyDescent="0.25">
      <c r="D15858"/>
    </row>
    <row r="15859" spans="4:4" x14ac:dyDescent="0.25">
      <c r="D15859"/>
    </row>
    <row r="15860" spans="4:4" x14ac:dyDescent="0.25">
      <c r="D15860"/>
    </row>
    <row r="15861" spans="4:4" x14ac:dyDescent="0.25">
      <c r="D15861"/>
    </row>
    <row r="15862" spans="4:4" x14ac:dyDescent="0.25">
      <c r="D15862"/>
    </row>
    <row r="15863" spans="4:4" x14ac:dyDescent="0.25">
      <c r="D15863"/>
    </row>
    <row r="15864" spans="4:4" x14ac:dyDescent="0.25">
      <c r="D15864"/>
    </row>
    <row r="15865" spans="4:4" x14ac:dyDescent="0.25">
      <c r="D15865"/>
    </row>
    <row r="15866" spans="4:4" x14ac:dyDescent="0.25">
      <c r="D15866"/>
    </row>
    <row r="15867" spans="4:4" x14ac:dyDescent="0.25">
      <c r="D15867"/>
    </row>
    <row r="15868" spans="4:4" x14ac:dyDescent="0.25">
      <c r="D15868"/>
    </row>
    <row r="15869" spans="4:4" x14ac:dyDescent="0.25">
      <c r="D15869"/>
    </row>
    <row r="15870" spans="4:4" x14ac:dyDescent="0.25">
      <c r="D15870"/>
    </row>
    <row r="15871" spans="4:4" x14ac:dyDescent="0.25">
      <c r="D15871"/>
    </row>
    <row r="15872" spans="4:4" x14ac:dyDescent="0.25">
      <c r="D15872"/>
    </row>
    <row r="15873" spans="4:4" x14ac:dyDescent="0.25">
      <c r="D15873"/>
    </row>
    <row r="15874" spans="4:4" x14ac:dyDescent="0.25">
      <c r="D15874"/>
    </row>
    <row r="15875" spans="4:4" x14ac:dyDescent="0.25">
      <c r="D15875"/>
    </row>
    <row r="15876" spans="4:4" x14ac:dyDescent="0.25">
      <c r="D15876"/>
    </row>
    <row r="15877" spans="4:4" x14ac:dyDescent="0.25">
      <c r="D15877"/>
    </row>
    <row r="15878" spans="4:4" x14ac:dyDescent="0.25">
      <c r="D15878"/>
    </row>
    <row r="15879" spans="4:4" x14ac:dyDescent="0.25">
      <c r="D15879"/>
    </row>
    <row r="15880" spans="4:4" x14ac:dyDescent="0.25">
      <c r="D15880"/>
    </row>
    <row r="15881" spans="4:4" x14ac:dyDescent="0.25">
      <c r="D15881"/>
    </row>
    <row r="15882" spans="4:4" x14ac:dyDescent="0.25">
      <c r="D15882"/>
    </row>
    <row r="15883" spans="4:4" x14ac:dyDescent="0.25">
      <c r="D15883"/>
    </row>
    <row r="15884" spans="4:4" x14ac:dyDescent="0.25">
      <c r="D15884"/>
    </row>
    <row r="15885" spans="4:4" x14ac:dyDescent="0.25">
      <c r="D15885"/>
    </row>
    <row r="15886" spans="4:4" x14ac:dyDescent="0.25">
      <c r="D15886"/>
    </row>
    <row r="15887" spans="4:4" x14ac:dyDescent="0.25">
      <c r="D15887"/>
    </row>
    <row r="15888" spans="4:4" x14ac:dyDescent="0.25">
      <c r="D15888"/>
    </row>
    <row r="15889" spans="4:4" x14ac:dyDescent="0.25">
      <c r="D15889"/>
    </row>
    <row r="15890" spans="4:4" x14ac:dyDescent="0.25">
      <c r="D15890"/>
    </row>
    <row r="15891" spans="4:4" x14ac:dyDescent="0.25">
      <c r="D15891"/>
    </row>
    <row r="15892" spans="4:4" x14ac:dyDescent="0.25">
      <c r="D15892"/>
    </row>
    <row r="15893" spans="4:4" x14ac:dyDescent="0.25">
      <c r="D15893"/>
    </row>
    <row r="15894" spans="4:4" x14ac:dyDescent="0.25">
      <c r="D15894"/>
    </row>
    <row r="15895" spans="4:4" x14ac:dyDescent="0.25">
      <c r="D15895"/>
    </row>
    <row r="15896" spans="4:4" x14ac:dyDescent="0.25">
      <c r="D15896"/>
    </row>
    <row r="15897" spans="4:4" x14ac:dyDescent="0.25">
      <c r="D15897"/>
    </row>
    <row r="15898" spans="4:4" x14ac:dyDescent="0.25">
      <c r="D15898"/>
    </row>
    <row r="15899" spans="4:4" x14ac:dyDescent="0.25">
      <c r="D15899"/>
    </row>
    <row r="15900" spans="4:4" x14ac:dyDescent="0.25">
      <c r="D15900"/>
    </row>
    <row r="15901" spans="4:4" x14ac:dyDescent="0.25">
      <c r="D15901"/>
    </row>
    <row r="15902" spans="4:4" x14ac:dyDescent="0.25">
      <c r="D15902"/>
    </row>
    <row r="15903" spans="4:4" x14ac:dyDescent="0.25">
      <c r="D15903"/>
    </row>
    <row r="15904" spans="4:4" x14ac:dyDescent="0.25">
      <c r="D15904"/>
    </row>
    <row r="15905" spans="4:4" x14ac:dyDescent="0.25">
      <c r="D15905"/>
    </row>
    <row r="15906" spans="4:4" x14ac:dyDescent="0.25">
      <c r="D15906"/>
    </row>
    <row r="15907" spans="4:4" x14ac:dyDescent="0.25">
      <c r="D15907"/>
    </row>
    <row r="15908" spans="4:4" x14ac:dyDescent="0.25">
      <c r="D15908"/>
    </row>
    <row r="15909" spans="4:4" x14ac:dyDescent="0.25">
      <c r="D15909"/>
    </row>
    <row r="15910" spans="4:4" x14ac:dyDescent="0.25">
      <c r="D15910"/>
    </row>
    <row r="15911" spans="4:4" x14ac:dyDescent="0.25">
      <c r="D15911"/>
    </row>
    <row r="15912" spans="4:4" x14ac:dyDescent="0.25">
      <c r="D15912"/>
    </row>
    <row r="15913" spans="4:4" x14ac:dyDescent="0.25">
      <c r="D15913"/>
    </row>
    <row r="15914" spans="4:4" x14ac:dyDescent="0.25">
      <c r="D15914"/>
    </row>
    <row r="15915" spans="4:4" x14ac:dyDescent="0.25">
      <c r="D15915"/>
    </row>
    <row r="15916" spans="4:4" x14ac:dyDescent="0.25">
      <c r="D15916"/>
    </row>
    <row r="15917" spans="4:4" x14ac:dyDescent="0.25">
      <c r="D15917"/>
    </row>
    <row r="15918" spans="4:4" x14ac:dyDescent="0.25">
      <c r="D15918"/>
    </row>
    <row r="15919" spans="4:4" x14ac:dyDescent="0.25">
      <c r="D15919"/>
    </row>
    <row r="15920" spans="4:4" x14ac:dyDescent="0.25">
      <c r="D15920"/>
    </row>
    <row r="15921" spans="4:4" x14ac:dyDescent="0.25">
      <c r="D15921"/>
    </row>
    <row r="15922" spans="4:4" x14ac:dyDescent="0.25">
      <c r="D15922"/>
    </row>
    <row r="15923" spans="4:4" x14ac:dyDescent="0.25">
      <c r="D15923"/>
    </row>
    <row r="15924" spans="4:4" x14ac:dyDescent="0.25">
      <c r="D15924"/>
    </row>
    <row r="15925" spans="4:4" x14ac:dyDescent="0.25">
      <c r="D15925"/>
    </row>
    <row r="15926" spans="4:4" x14ac:dyDescent="0.25">
      <c r="D15926"/>
    </row>
    <row r="15927" spans="4:4" x14ac:dyDescent="0.25">
      <c r="D15927"/>
    </row>
    <row r="15928" spans="4:4" x14ac:dyDescent="0.25">
      <c r="D15928"/>
    </row>
    <row r="15929" spans="4:4" x14ac:dyDescent="0.25">
      <c r="D15929"/>
    </row>
    <row r="15930" spans="4:4" x14ac:dyDescent="0.25">
      <c r="D15930"/>
    </row>
    <row r="15931" spans="4:4" x14ac:dyDescent="0.25">
      <c r="D15931"/>
    </row>
    <row r="15932" spans="4:4" x14ac:dyDescent="0.25">
      <c r="D15932"/>
    </row>
    <row r="15933" spans="4:4" x14ac:dyDescent="0.25">
      <c r="D15933"/>
    </row>
    <row r="15934" spans="4:4" x14ac:dyDescent="0.25">
      <c r="D15934"/>
    </row>
    <row r="15935" spans="4:4" x14ac:dyDescent="0.25">
      <c r="D15935"/>
    </row>
    <row r="15936" spans="4:4" x14ac:dyDescent="0.25">
      <c r="D15936"/>
    </row>
    <row r="15937" spans="4:4" x14ac:dyDescent="0.25">
      <c r="D15937"/>
    </row>
    <row r="15938" spans="4:4" x14ac:dyDescent="0.25">
      <c r="D15938"/>
    </row>
    <row r="15939" spans="4:4" x14ac:dyDescent="0.25">
      <c r="D15939"/>
    </row>
    <row r="15940" spans="4:4" x14ac:dyDescent="0.25">
      <c r="D15940"/>
    </row>
    <row r="15941" spans="4:4" x14ac:dyDescent="0.25">
      <c r="D15941"/>
    </row>
    <row r="15942" spans="4:4" x14ac:dyDescent="0.25">
      <c r="D15942"/>
    </row>
    <row r="15943" spans="4:4" x14ac:dyDescent="0.25">
      <c r="D15943"/>
    </row>
    <row r="15944" spans="4:4" x14ac:dyDescent="0.25">
      <c r="D15944"/>
    </row>
    <row r="15945" spans="4:4" x14ac:dyDescent="0.25">
      <c r="D15945"/>
    </row>
    <row r="15946" spans="4:4" x14ac:dyDescent="0.25">
      <c r="D15946"/>
    </row>
    <row r="15947" spans="4:4" x14ac:dyDescent="0.25">
      <c r="D15947"/>
    </row>
    <row r="15948" spans="4:4" x14ac:dyDescent="0.25">
      <c r="D15948"/>
    </row>
    <row r="15949" spans="4:4" x14ac:dyDescent="0.25">
      <c r="D15949"/>
    </row>
    <row r="15950" spans="4:4" x14ac:dyDescent="0.25">
      <c r="D15950"/>
    </row>
    <row r="15951" spans="4:4" x14ac:dyDescent="0.25">
      <c r="D15951"/>
    </row>
    <row r="15952" spans="4:4" x14ac:dyDescent="0.25">
      <c r="D15952"/>
    </row>
    <row r="15953" spans="4:4" x14ac:dyDescent="0.25">
      <c r="D15953"/>
    </row>
    <row r="15954" spans="4:4" x14ac:dyDescent="0.25">
      <c r="D15954"/>
    </row>
    <row r="15955" spans="4:4" x14ac:dyDescent="0.25">
      <c r="D15955"/>
    </row>
    <row r="15956" spans="4:4" x14ac:dyDescent="0.25">
      <c r="D15956"/>
    </row>
    <row r="15957" spans="4:4" x14ac:dyDescent="0.25">
      <c r="D15957"/>
    </row>
    <row r="15958" spans="4:4" x14ac:dyDescent="0.25">
      <c r="D15958"/>
    </row>
    <row r="15959" spans="4:4" x14ac:dyDescent="0.25">
      <c r="D15959"/>
    </row>
    <row r="15960" spans="4:4" x14ac:dyDescent="0.25">
      <c r="D15960"/>
    </row>
    <row r="15961" spans="4:4" x14ac:dyDescent="0.25">
      <c r="D15961"/>
    </row>
    <row r="15962" spans="4:4" x14ac:dyDescent="0.25">
      <c r="D15962"/>
    </row>
    <row r="15963" spans="4:4" x14ac:dyDescent="0.25">
      <c r="D15963"/>
    </row>
    <row r="15964" spans="4:4" x14ac:dyDescent="0.25">
      <c r="D15964"/>
    </row>
    <row r="15965" spans="4:4" x14ac:dyDescent="0.25">
      <c r="D15965"/>
    </row>
    <row r="15966" spans="4:4" x14ac:dyDescent="0.25">
      <c r="D15966"/>
    </row>
    <row r="15967" spans="4:4" x14ac:dyDescent="0.25">
      <c r="D15967"/>
    </row>
    <row r="15968" spans="4:4" x14ac:dyDescent="0.25">
      <c r="D15968"/>
    </row>
    <row r="15969" spans="4:4" x14ac:dyDescent="0.25">
      <c r="D15969"/>
    </row>
    <row r="15970" spans="4:4" x14ac:dyDescent="0.25">
      <c r="D15970"/>
    </row>
    <row r="15971" spans="4:4" x14ac:dyDescent="0.25">
      <c r="D15971"/>
    </row>
    <row r="15972" spans="4:4" x14ac:dyDescent="0.25">
      <c r="D15972"/>
    </row>
    <row r="15973" spans="4:4" x14ac:dyDescent="0.25">
      <c r="D15973"/>
    </row>
    <row r="15974" spans="4:4" x14ac:dyDescent="0.25">
      <c r="D15974"/>
    </row>
    <row r="15975" spans="4:4" x14ac:dyDescent="0.25">
      <c r="D15975"/>
    </row>
    <row r="15976" spans="4:4" x14ac:dyDescent="0.25">
      <c r="D15976"/>
    </row>
    <row r="15977" spans="4:4" x14ac:dyDescent="0.25">
      <c r="D15977"/>
    </row>
    <row r="15978" spans="4:4" x14ac:dyDescent="0.25">
      <c r="D15978"/>
    </row>
    <row r="15979" spans="4:4" x14ac:dyDescent="0.25">
      <c r="D15979"/>
    </row>
    <row r="15980" spans="4:4" x14ac:dyDescent="0.25">
      <c r="D15980"/>
    </row>
    <row r="15981" spans="4:4" x14ac:dyDescent="0.25">
      <c r="D15981"/>
    </row>
    <row r="15982" spans="4:4" x14ac:dyDescent="0.25">
      <c r="D15982"/>
    </row>
    <row r="15983" spans="4:4" x14ac:dyDescent="0.25">
      <c r="D15983"/>
    </row>
    <row r="15984" spans="4:4" x14ac:dyDescent="0.25">
      <c r="D15984"/>
    </row>
    <row r="15985" spans="4:4" x14ac:dyDescent="0.25">
      <c r="D15985"/>
    </row>
    <row r="15986" spans="4:4" x14ac:dyDescent="0.25">
      <c r="D15986"/>
    </row>
    <row r="15987" spans="4:4" x14ac:dyDescent="0.25">
      <c r="D15987"/>
    </row>
    <row r="15988" spans="4:4" x14ac:dyDescent="0.25">
      <c r="D15988"/>
    </row>
    <row r="15989" spans="4:4" x14ac:dyDescent="0.25">
      <c r="D15989"/>
    </row>
    <row r="15990" spans="4:4" x14ac:dyDescent="0.25">
      <c r="D15990"/>
    </row>
    <row r="15991" spans="4:4" x14ac:dyDescent="0.25">
      <c r="D15991"/>
    </row>
    <row r="15992" spans="4:4" x14ac:dyDescent="0.25">
      <c r="D15992"/>
    </row>
    <row r="15993" spans="4:4" x14ac:dyDescent="0.25">
      <c r="D15993"/>
    </row>
    <row r="15994" spans="4:4" x14ac:dyDescent="0.25">
      <c r="D15994"/>
    </row>
    <row r="15995" spans="4:4" x14ac:dyDescent="0.25">
      <c r="D15995"/>
    </row>
    <row r="15996" spans="4:4" x14ac:dyDescent="0.25">
      <c r="D15996"/>
    </row>
    <row r="15997" spans="4:4" x14ac:dyDescent="0.25">
      <c r="D15997"/>
    </row>
    <row r="15998" spans="4:4" x14ac:dyDescent="0.25">
      <c r="D15998"/>
    </row>
    <row r="15999" spans="4:4" x14ac:dyDescent="0.25">
      <c r="D15999"/>
    </row>
    <row r="16000" spans="4:4" x14ac:dyDescent="0.25">
      <c r="D16000"/>
    </row>
    <row r="16001" spans="4:4" x14ac:dyDescent="0.25">
      <c r="D16001"/>
    </row>
    <row r="16002" spans="4:4" x14ac:dyDescent="0.25">
      <c r="D16002"/>
    </row>
    <row r="16003" spans="4:4" x14ac:dyDescent="0.25">
      <c r="D16003"/>
    </row>
    <row r="16004" spans="4:4" x14ac:dyDescent="0.25">
      <c r="D16004"/>
    </row>
    <row r="16005" spans="4:4" x14ac:dyDescent="0.25">
      <c r="D16005"/>
    </row>
    <row r="16006" spans="4:4" x14ac:dyDescent="0.25">
      <c r="D16006"/>
    </row>
    <row r="16007" spans="4:4" x14ac:dyDescent="0.25">
      <c r="D16007"/>
    </row>
    <row r="16008" spans="4:4" x14ac:dyDescent="0.25">
      <c r="D16008"/>
    </row>
    <row r="16009" spans="4:4" x14ac:dyDescent="0.25">
      <c r="D16009"/>
    </row>
    <row r="16010" spans="4:4" x14ac:dyDescent="0.25">
      <c r="D16010"/>
    </row>
    <row r="16011" spans="4:4" x14ac:dyDescent="0.25">
      <c r="D16011"/>
    </row>
    <row r="16012" spans="4:4" x14ac:dyDescent="0.25">
      <c r="D16012"/>
    </row>
    <row r="16013" spans="4:4" x14ac:dyDescent="0.25">
      <c r="D16013"/>
    </row>
    <row r="16014" spans="4:4" x14ac:dyDescent="0.25">
      <c r="D16014"/>
    </row>
    <row r="16015" spans="4:4" x14ac:dyDescent="0.25">
      <c r="D16015"/>
    </row>
    <row r="16016" spans="4:4" x14ac:dyDescent="0.25">
      <c r="D16016"/>
    </row>
    <row r="16017" spans="4:4" x14ac:dyDescent="0.25">
      <c r="D16017"/>
    </row>
    <row r="16018" spans="4:4" x14ac:dyDescent="0.25">
      <c r="D16018"/>
    </row>
    <row r="16019" spans="4:4" x14ac:dyDescent="0.25">
      <c r="D16019"/>
    </row>
    <row r="16020" spans="4:4" x14ac:dyDescent="0.25">
      <c r="D16020"/>
    </row>
    <row r="16021" spans="4:4" x14ac:dyDescent="0.25">
      <c r="D16021"/>
    </row>
    <row r="16022" spans="4:4" x14ac:dyDescent="0.25">
      <c r="D16022"/>
    </row>
    <row r="16023" spans="4:4" x14ac:dyDescent="0.25">
      <c r="D16023"/>
    </row>
    <row r="16024" spans="4:4" x14ac:dyDescent="0.25">
      <c r="D16024"/>
    </row>
    <row r="16025" spans="4:4" x14ac:dyDescent="0.25">
      <c r="D16025"/>
    </row>
    <row r="16026" spans="4:4" x14ac:dyDescent="0.25">
      <c r="D16026"/>
    </row>
    <row r="16027" spans="4:4" x14ac:dyDescent="0.25">
      <c r="D16027"/>
    </row>
    <row r="16028" spans="4:4" x14ac:dyDescent="0.25">
      <c r="D16028"/>
    </row>
    <row r="16029" spans="4:4" x14ac:dyDescent="0.25">
      <c r="D16029"/>
    </row>
    <row r="16030" spans="4:4" x14ac:dyDescent="0.25">
      <c r="D16030"/>
    </row>
    <row r="16031" spans="4:4" x14ac:dyDescent="0.25">
      <c r="D16031"/>
    </row>
    <row r="16032" spans="4:4" x14ac:dyDescent="0.25">
      <c r="D16032"/>
    </row>
    <row r="16033" spans="4:4" x14ac:dyDescent="0.25">
      <c r="D16033"/>
    </row>
    <row r="16034" spans="4:4" x14ac:dyDescent="0.25">
      <c r="D16034"/>
    </row>
    <row r="16035" spans="4:4" x14ac:dyDescent="0.25">
      <c r="D16035"/>
    </row>
    <row r="16036" spans="4:4" x14ac:dyDescent="0.25">
      <c r="D16036"/>
    </row>
    <row r="16037" spans="4:4" x14ac:dyDescent="0.25">
      <c r="D16037"/>
    </row>
    <row r="16038" spans="4:4" x14ac:dyDescent="0.25">
      <c r="D16038"/>
    </row>
    <row r="16039" spans="4:4" x14ac:dyDescent="0.25">
      <c r="D16039"/>
    </row>
    <row r="16040" spans="4:4" x14ac:dyDescent="0.25">
      <c r="D16040"/>
    </row>
    <row r="16041" spans="4:4" x14ac:dyDescent="0.25">
      <c r="D16041"/>
    </row>
    <row r="16042" spans="4:4" x14ac:dyDescent="0.25">
      <c r="D16042"/>
    </row>
    <row r="16043" spans="4:4" x14ac:dyDescent="0.25">
      <c r="D16043"/>
    </row>
    <row r="16044" spans="4:4" x14ac:dyDescent="0.25">
      <c r="D16044"/>
    </row>
    <row r="16045" spans="4:4" x14ac:dyDescent="0.25">
      <c r="D16045"/>
    </row>
    <row r="16046" spans="4:4" x14ac:dyDescent="0.25">
      <c r="D16046"/>
    </row>
    <row r="16047" spans="4:4" x14ac:dyDescent="0.25">
      <c r="D16047"/>
    </row>
    <row r="16048" spans="4:4" x14ac:dyDescent="0.25">
      <c r="D16048"/>
    </row>
    <row r="16049" spans="4:4" x14ac:dyDescent="0.25">
      <c r="D16049"/>
    </row>
    <row r="16050" spans="4:4" x14ac:dyDescent="0.25">
      <c r="D16050"/>
    </row>
    <row r="16051" spans="4:4" x14ac:dyDescent="0.25">
      <c r="D16051"/>
    </row>
    <row r="16052" spans="4:4" x14ac:dyDescent="0.25">
      <c r="D16052"/>
    </row>
    <row r="16053" spans="4:4" x14ac:dyDescent="0.25">
      <c r="D16053"/>
    </row>
    <row r="16054" spans="4:4" x14ac:dyDescent="0.25">
      <c r="D16054"/>
    </row>
    <row r="16055" spans="4:4" x14ac:dyDescent="0.25">
      <c r="D16055"/>
    </row>
    <row r="16056" spans="4:4" x14ac:dyDescent="0.25">
      <c r="D16056"/>
    </row>
    <row r="16057" spans="4:4" x14ac:dyDescent="0.25">
      <c r="D16057"/>
    </row>
    <row r="16058" spans="4:4" x14ac:dyDescent="0.25">
      <c r="D16058"/>
    </row>
    <row r="16059" spans="4:4" x14ac:dyDescent="0.25">
      <c r="D16059"/>
    </row>
    <row r="16060" spans="4:4" x14ac:dyDescent="0.25">
      <c r="D16060"/>
    </row>
    <row r="16061" spans="4:4" x14ac:dyDescent="0.25">
      <c r="D16061"/>
    </row>
    <row r="16062" spans="4:4" x14ac:dyDescent="0.25">
      <c r="D16062"/>
    </row>
    <row r="16063" spans="4:4" x14ac:dyDescent="0.25">
      <c r="D16063"/>
    </row>
    <row r="16064" spans="4:4" x14ac:dyDescent="0.25">
      <c r="D16064"/>
    </row>
    <row r="16065" spans="4:4" x14ac:dyDescent="0.25">
      <c r="D16065"/>
    </row>
    <row r="16066" spans="4:4" x14ac:dyDescent="0.25">
      <c r="D16066"/>
    </row>
    <row r="16067" spans="4:4" x14ac:dyDescent="0.25">
      <c r="D16067"/>
    </row>
    <row r="16068" spans="4:4" x14ac:dyDescent="0.25">
      <c r="D16068"/>
    </row>
    <row r="16069" spans="4:4" x14ac:dyDescent="0.25">
      <c r="D16069"/>
    </row>
    <row r="16070" spans="4:4" x14ac:dyDescent="0.25">
      <c r="D16070"/>
    </row>
    <row r="16071" spans="4:4" x14ac:dyDescent="0.25">
      <c r="D16071"/>
    </row>
    <row r="16072" spans="4:4" x14ac:dyDescent="0.25">
      <c r="D16072"/>
    </row>
    <row r="16073" spans="4:4" x14ac:dyDescent="0.25">
      <c r="D16073"/>
    </row>
    <row r="16074" spans="4:4" x14ac:dyDescent="0.25">
      <c r="D16074"/>
    </row>
    <row r="16075" spans="4:4" x14ac:dyDescent="0.25">
      <c r="D16075"/>
    </row>
    <row r="16076" spans="4:4" x14ac:dyDescent="0.25">
      <c r="D16076"/>
    </row>
    <row r="16077" spans="4:4" x14ac:dyDescent="0.25">
      <c r="D16077"/>
    </row>
    <row r="16078" spans="4:4" x14ac:dyDescent="0.25">
      <c r="D16078"/>
    </row>
    <row r="16079" spans="4:4" x14ac:dyDescent="0.25">
      <c r="D16079"/>
    </row>
    <row r="16080" spans="4:4" x14ac:dyDescent="0.25">
      <c r="D16080"/>
    </row>
    <row r="16081" spans="4:4" x14ac:dyDescent="0.25">
      <c r="D16081"/>
    </row>
    <row r="16082" spans="4:4" x14ac:dyDescent="0.25">
      <c r="D16082"/>
    </row>
    <row r="16083" spans="4:4" x14ac:dyDescent="0.25">
      <c r="D16083"/>
    </row>
    <row r="16084" spans="4:4" x14ac:dyDescent="0.25">
      <c r="D16084"/>
    </row>
    <row r="16085" spans="4:4" x14ac:dyDescent="0.25">
      <c r="D16085"/>
    </row>
    <row r="16086" spans="4:4" x14ac:dyDescent="0.25">
      <c r="D16086"/>
    </row>
    <row r="16087" spans="4:4" x14ac:dyDescent="0.25">
      <c r="D16087"/>
    </row>
    <row r="16088" spans="4:4" x14ac:dyDescent="0.25">
      <c r="D16088"/>
    </row>
    <row r="16089" spans="4:4" x14ac:dyDescent="0.25">
      <c r="D16089"/>
    </row>
    <row r="16090" spans="4:4" x14ac:dyDescent="0.25">
      <c r="D16090"/>
    </row>
    <row r="16091" spans="4:4" x14ac:dyDescent="0.25">
      <c r="D16091"/>
    </row>
    <row r="16092" spans="4:4" x14ac:dyDescent="0.25">
      <c r="D16092"/>
    </row>
    <row r="16093" spans="4:4" x14ac:dyDescent="0.25">
      <c r="D16093"/>
    </row>
    <row r="16094" spans="4:4" x14ac:dyDescent="0.25">
      <c r="D16094"/>
    </row>
    <row r="16095" spans="4:4" x14ac:dyDescent="0.25">
      <c r="D16095"/>
    </row>
    <row r="16096" spans="4:4" x14ac:dyDescent="0.25">
      <c r="D16096"/>
    </row>
    <row r="16097" spans="4:4" x14ac:dyDescent="0.25">
      <c r="D16097"/>
    </row>
    <row r="16098" spans="4:4" x14ac:dyDescent="0.25">
      <c r="D16098"/>
    </row>
    <row r="16099" spans="4:4" x14ac:dyDescent="0.25">
      <c r="D16099"/>
    </row>
    <row r="16100" spans="4:4" x14ac:dyDescent="0.25">
      <c r="D16100"/>
    </row>
    <row r="16101" spans="4:4" x14ac:dyDescent="0.25">
      <c r="D16101"/>
    </row>
    <row r="16102" spans="4:4" x14ac:dyDescent="0.25">
      <c r="D16102"/>
    </row>
    <row r="16103" spans="4:4" x14ac:dyDescent="0.25">
      <c r="D16103"/>
    </row>
    <row r="16104" spans="4:4" x14ac:dyDescent="0.25">
      <c r="D16104"/>
    </row>
    <row r="16105" spans="4:4" x14ac:dyDescent="0.25">
      <c r="D16105"/>
    </row>
    <row r="16106" spans="4:4" x14ac:dyDescent="0.25">
      <c r="D16106"/>
    </row>
    <row r="16107" spans="4:4" x14ac:dyDescent="0.25">
      <c r="D16107"/>
    </row>
    <row r="16108" spans="4:4" x14ac:dyDescent="0.25">
      <c r="D16108"/>
    </row>
    <row r="16109" spans="4:4" x14ac:dyDescent="0.25">
      <c r="D16109"/>
    </row>
    <row r="16110" spans="4:4" x14ac:dyDescent="0.25">
      <c r="D16110"/>
    </row>
    <row r="16111" spans="4:4" x14ac:dyDescent="0.25">
      <c r="D16111"/>
    </row>
    <row r="16112" spans="4:4" x14ac:dyDescent="0.25">
      <c r="D16112"/>
    </row>
    <row r="16113" spans="4:4" x14ac:dyDescent="0.25">
      <c r="D16113"/>
    </row>
    <row r="16114" spans="4:4" x14ac:dyDescent="0.25">
      <c r="D16114"/>
    </row>
    <row r="16115" spans="4:4" x14ac:dyDescent="0.25">
      <c r="D16115"/>
    </row>
    <row r="16116" spans="4:4" x14ac:dyDescent="0.25">
      <c r="D16116"/>
    </row>
    <row r="16117" spans="4:4" x14ac:dyDescent="0.25">
      <c r="D16117"/>
    </row>
    <row r="16118" spans="4:4" x14ac:dyDescent="0.25">
      <c r="D16118"/>
    </row>
    <row r="16119" spans="4:4" x14ac:dyDescent="0.25">
      <c r="D16119"/>
    </row>
    <row r="16120" spans="4:4" x14ac:dyDescent="0.25">
      <c r="D16120"/>
    </row>
    <row r="16121" spans="4:4" x14ac:dyDescent="0.25">
      <c r="D16121"/>
    </row>
    <row r="16122" spans="4:4" x14ac:dyDescent="0.25">
      <c r="D16122"/>
    </row>
    <row r="16123" spans="4:4" x14ac:dyDescent="0.25">
      <c r="D16123"/>
    </row>
    <row r="16124" spans="4:4" x14ac:dyDescent="0.25">
      <c r="D16124"/>
    </row>
    <row r="16125" spans="4:4" x14ac:dyDescent="0.25">
      <c r="D16125"/>
    </row>
    <row r="16126" spans="4:4" x14ac:dyDescent="0.25">
      <c r="D16126"/>
    </row>
    <row r="16127" spans="4:4" x14ac:dyDescent="0.25">
      <c r="D16127"/>
    </row>
    <row r="16128" spans="4:4" x14ac:dyDescent="0.25">
      <c r="D16128"/>
    </row>
    <row r="16129" spans="4:4" x14ac:dyDescent="0.25">
      <c r="D16129"/>
    </row>
    <row r="16130" spans="4:4" x14ac:dyDescent="0.25">
      <c r="D16130"/>
    </row>
    <row r="16131" spans="4:4" x14ac:dyDescent="0.25">
      <c r="D16131"/>
    </row>
    <row r="16132" spans="4:4" x14ac:dyDescent="0.25">
      <c r="D16132"/>
    </row>
    <row r="16133" spans="4:4" x14ac:dyDescent="0.25">
      <c r="D16133"/>
    </row>
    <row r="16134" spans="4:4" x14ac:dyDescent="0.25">
      <c r="D16134"/>
    </row>
    <row r="16135" spans="4:4" x14ac:dyDescent="0.25">
      <c r="D16135"/>
    </row>
    <row r="16136" spans="4:4" x14ac:dyDescent="0.25">
      <c r="D16136"/>
    </row>
    <row r="16137" spans="4:4" x14ac:dyDescent="0.25">
      <c r="D16137"/>
    </row>
    <row r="16138" spans="4:4" x14ac:dyDescent="0.25">
      <c r="D16138"/>
    </row>
    <row r="16139" spans="4:4" x14ac:dyDescent="0.25">
      <c r="D16139"/>
    </row>
    <row r="16140" spans="4:4" x14ac:dyDescent="0.25">
      <c r="D16140"/>
    </row>
    <row r="16141" spans="4:4" x14ac:dyDescent="0.25">
      <c r="D16141"/>
    </row>
    <row r="16142" spans="4:4" x14ac:dyDescent="0.25">
      <c r="D16142"/>
    </row>
    <row r="16143" spans="4:4" x14ac:dyDescent="0.25">
      <c r="D16143"/>
    </row>
    <row r="16144" spans="4:4" x14ac:dyDescent="0.25">
      <c r="D16144"/>
    </row>
    <row r="16145" spans="4:4" x14ac:dyDescent="0.25">
      <c r="D16145"/>
    </row>
    <row r="16146" spans="4:4" x14ac:dyDescent="0.25">
      <c r="D16146"/>
    </row>
    <row r="16147" spans="4:4" x14ac:dyDescent="0.25">
      <c r="D16147"/>
    </row>
    <row r="16148" spans="4:4" x14ac:dyDescent="0.25">
      <c r="D16148"/>
    </row>
    <row r="16149" spans="4:4" x14ac:dyDescent="0.25">
      <c r="D16149"/>
    </row>
    <row r="16150" spans="4:4" x14ac:dyDescent="0.25">
      <c r="D16150"/>
    </row>
    <row r="16151" spans="4:4" x14ac:dyDescent="0.25">
      <c r="D16151"/>
    </row>
    <row r="16152" spans="4:4" x14ac:dyDescent="0.25">
      <c r="D16152"/>
    </row>
    <row r="16153" spans="4:4" x14ac:dyDescent="0.25">
      <c r="D16153"/>
    </row>
    <row r="16154" spans="4:4" x14ac:dyDescent="0.25">
      <c r="D16154"/>
    </row>
    <row r="16155" spans="4:4" x14ac:dyDescent="0.25">
      <c r="D16155"/>
    </row>
    <row r="16156" spans="4:4" x14ac:dyDescent="0.25">
      <c r="D16156"/>
    </row>
    <row r="16157" spans="4:4" x14ac:dyDescent="0.25">
      <c r="D16157"/>
    </row>
    <row r="16158" spans="4:4" x14ac:dyDescent="0.25">
      <c r="D16158"/>
    </row>
    <row r="16159" spans="4:4" x14ac:dyDescent="0.25">
      <c r="D16159"/>
    </row>
    <row r="16160" spans="4:4" x14ac:dyDescent="0.25">
      <c r="D16160"/>
    </row>
    <row r="16161" spans="4:4" x14ac:dyDescent="0.25">
      <c r="D16161"/>
    </row>
    <row r="16162" spans="4:4" x14ac:dyDescent="0.25">
      <c r="D16162"/>
    </row>
    <row r="16163" spans="4:4" x14ac:dyDescent="0.25">
      <c r="D16163"/>
    </row>
    <row r="16164" spans="4:4" x14ac:dyDescent="0.25">
      <c r="D16164"/>
    </row>
    <row r="16165" spans="4:4" x14ac:dyDescent="0.25">
      <c r="D16165"/>
    </row>
    <row r="16166" spans="4:4" x14ac:dyDescent="0.25">
      <c r="D16166"/>
    </row>
    <row r="16167" spans="4:4" x14ac:dyDescent="0.25">
      <c r="D16167"/>
    </row>
    <row r="16168" spans="4:4" x14ac:dyDescent="0.25">
      <c r="D16168"/>
    </row>
    <row r="16169" spans="4:4" x14ac:dyDescent="0.25">
      <c r="D16169"/>
    </row>
    <row r="16170" spans="4:4" x14ac:dyDescent="0.25">
      <c r="D16170"/>
    </row>
    <row r="16171" spans="4:4" x14ac:dyDescent="0.25">
      <c r="D16171"/>
    </row>
    <row r="16172" spans="4:4" x14ac:dyDescent="0.25">
      <c r="D16172"/>
    </row>
    <row r="16173" spans="4:4" x14ac:dyDescent="0.25">
      <c r="D16173"/>
    </row>
    <row r="16174" spans="4:4" x14ac:dyDescent="0.25">
      <c r="D16174"/>
    </row>
    <row r="16175" spans="4:4" x14ac:dyDescent="0.25">
      <c r="D16175"/>
    </row>
    <row r="16176" spans="4:4" x14ac:dyDescent="0.25">
      <c r="D16176"/>
    </row>
    <row r="16177" spans="4:4" x14ac:dyDescent="0.25">
      <c r="D16177"/>
    </row>
    <row r="16178" spans="4:4" x14ac:dyDescent="0.25">
      <c r="D16178"/>
    </row>
    <row r="16179" spans="4:4" x14ac:dyDescent="0.25">
      <c r="D16179"/>
    </row>
    <row r="16180" spans="4:4" x14ac:dyDescent="0.25">
      <c r="D16180"/>
    </row>
    <row r="16181" spans="4:4" x14ac:dyDescent="0.25">
      <c r="D16181"/>
    </row>
    <row r="16182" spans="4:4" x14ac:dyDescent="0.25">
      <c r="D16182"/>
    </row>
    <row r="16183" spans="4:4" x14ac:dyDescent="0.25">
      <c r="D16183"/>
    </row>
    <row r="16184" spans="4:4" x14ac:dyDescent="0.25">
      <c r="D16184"/>
    </row>
    <row r="16185" spans="4:4" x14ac:dyDescent="0.25">
      <c r="D16185"/>
    </row>
    <row r="16186" spans="4:4" x14ac:dyDescent="0.25">
      <c r="D16186"/>
    </row>
    <row r="16187" spans="4:4" x14ac:dyDescent="0.25">
      <c r="D16187"/>
    </row>
    <row r="16188" spans="4:4" x14ac:dyDescent="0.25">
      <c r="D16188"/>
    </row>
    <row r="16189" spans="4:4" x14ac:dyDescent="0.25">
      <c r="D16189"/>
    </row>
    <row r="16190" spans="4:4" x14ac:dyDescent="0.25">
      <c r="D16190"/>
    </row>
    <row r="16191" spans="4:4" x14ac:dyDescent="0.25">
      <c r="D16191"/>
    </row>
    <row r="16192" spans="4:4" x14ac:dyDescent="0.25">
      <c r="D16192"/>
    </row>
    <row r="16193" spans="4:4" x14ac:dyDescent="0.25">
      <c r="D16193"/>
    </row>
    <row r="16194" spans="4:4" x14ac:dyDescent="0.25">
      <c r="D16194"/>
    </row>
    <row r="16195" spans="4:4" x14ac:dyDescent="0.25">
      <c r="D16195"/>
    </row>
    <row r="16196" spans="4:4" x14ac:dyDescent="0.25">
      <c r="D16196"/>
    </row>
    <row r="16197" spans="4:4" x14ac:dyDescent="0.25">
      <c r="D16197"/>
    </row>
    <row r="16198" spans="4:4" x14ac:dyDescent="0.25">
      <c r="D16198"/>
    </row>
    <row r="16199" spans="4:4" x14ac:dyDescent="0.25">
      <c r="D16199"/>
    </row>
    <row r="16200" spans="4:4" x14ac:dyDescent="0.25">
      <c r="D16200"/>
    </row>
    <row r="16201" spans="4:4" x14ac:dyDescent="0.25">
      <c r="D16201"/>
    </row>
    <row r="16202" spans="4:4" x14ac:dyDescent="0.25">
      <c r="D16202"/>
    </row>
    <row r="16203" spans="4:4" x14ac:dyDescent="0.25">
      <c r="D16203"/>
    </row>
    <row r="16204" spans="4:4" x14ac:dyDescent="0.25">
      <c r="D16204"/>
    </row>
    <row r="16205" spans="4:4" x14ac:dyDescent="0.25">
      <c r="D16205"/>
    </row>
    <row r="16206" spans="4:4" x14ac:dyDescent="0.25">
      <c r="D16206"/>
    </row>
    <row r="16207" spans="4:4" x14ac:dyDescent="0.25">
      <c r="D16207"/>
    </row>
    <row r="16208" spans="4:4" x14ac:dyDescent="0.25">
      <c r="D16208"/>
    </row>
    <row r="16209" spans="4:4" x14ac:dyDescent="0.25">
      <c r="D16209"/>
    </row>
    <row r="16210" spans="4:4" x14ac:dyDescent="0.25">
      <c r="D16210"/>
    </row>
    <row r="16211" spans="4:4" x14ac:dyDescent="0.25">
      <c r="D16211"/>
    </row>
    <row r="16212" spans="4:4" x14ac:dyDescent="0.25">
      <c r="D16212"/>
    </row>
    <row r="16213" spans="4:4" x14ac:dyDescent="0.25">
      <c r="D16213"/>
    </row>
    <row r="16214" spans="4:4" x14ac:dyDescent="0.25">
      <c r="D16214"/>
    </row>
    <row r="16215" spans="4:4" x14ac:dyDescent="0.25">
      <c r="D16215"/>
    </row>
    <row r="16216" spans="4:4" x14ac:dyDescent="0.25">
      <c r="D16216"/>
    </row>
    <row r="16217" spans="4:4" x14ac:dyDescent="0.25">
      <c r="D16217"/>
    </row>
    <row r="16218" spans="4:4" x14ac:dyDescent="0.25">
      <c r="D16218"/>
    </row>
    <row r="16219" spans="4:4" x14ac:dyDescent="0.25">
      <c r="D16219"/>
    </row>
    <row r="16220" spans="4:4" x14ac:dyDescent="0.25">
      <c r="D16220"/>
    </row>
    <row r="16221" spans="4:4" x14ac:dyDescent="0.25">
      <c r="D16221"/>
    </row>
    <row r="16222" spans="4:4" x14ac:dyDescent="0.25">
      <c r="D16222"/>
    </row>
    <row r="16223" spans="4:4" x14ac:dyDescent="0.25">
      <c r="D16223"/>
    </row>
    <row r="16224" spans="4:4" x14ac:dyDescent="0.25">
      <c r="D16224"/>
    </row>
    <row r="16225" spans="4:4" x14ac:dyDescent="0.25">
      <c r="D16225"/>
    </row>
    <row r="16226" spans="4:4" x14ac:dyDescent="0.25">
      <c r="D16226"/>
    </row>
    <row r="16227" spans="4:4" x14ac:dyDescent="0.25">
      <c r="D16227"/>
    </row>
    <row r="16228" spans="4:4" x14ac:dyDescent="0.25">
      <c r="D16228"/>
    </row>
    <row r="16229" spans="4:4" x14ac:dyDescent="0.25">
      <c r="D16229"/>
    </row>
    <row r="16230" spans="4:4" x14ac:dyDescent="0.25">
      <c r="D16230"/>
    </row>
    <row r="16231" spans="4:4" x14ac:dyDescent="0.25">
      <c r="D16231"/>
    </row>
    <row r="16232" spans="4:4" x14ac:dyDescent="0.25">
      <c r="D16232"/>
    </row>
    <row r="16233" spans="4:4" x14ac:dyDescent="0.25">
      <c r="D16233"/>
    </row>
    <row r="16234" spans="4:4" x14ac:dyDescent="0.25">
      <c r="D16234"/>
    </row>
    <row r="16235" spans="4:4" x14ac:dyDescent="0.25">
      <c r="D16235"/>
    </row>
    <row r="16236" spans="4:4" x14ac:dyDescent="0.25">
      <c r="D16236"/>
    </row>
    <row r="16237" spans="4:4" x14ac:dyDescent="0.25">
      <c r="D16237"/>
    </row>
    <row r="16238" spans="4:4" x14ac:dyDescent="0.25">
      <c r="D16238"/>
    </row>
    <row r="16239" spans="4:4" x14ac:dyDescent="0.25">
      <c r="D16239"/>
    </row>
    <row r="16240" spans="4:4" x14ac:dyDescent="0.25">
      <c r="D16240"/>
    </row>
    <row r="16241" spans="4:4" x14ac:dyDescent="0.25">
      <c r="D16241"/>
    </row>
    <row r="16242" spans="4:4" x14ac:dyDescent="0.25">
      <c r="D16242"/>
    </row>
    <row r="16243" spans="4:4" x14ac:dyDescent="0.25">
      <c r="D16243"/>
    </row>
    <row r="16244" spans="4:4" x14ac:dyDescent="0.25">
      <c r="D16244"/>
    </row>
    <row r="16245" spans="4:4" x14ac:dyDescent="0.25">
      <c r="D16245"/>
    </row>
    <row r="16246" spans="4:4" x14ac:dyDescent="0.25">
      <c r="D16246"/>
    </row>
    <row r="16247" spans="4:4" x14ac:dyDescent="0.25">
      <c r="D16247"/>
    </row>
    <row r="16248" spans="4:4" x14ac:dyDescent="0.25">
      <c r="D16248"/>
    </row>
    <row r="16249" spans="4:4" x14ac:dyDescent="0.25">
      <c r="D16249"/>
    </row>
    <row r="16250" spans="4:4" x14ac:dyDescent="0.25">
      <c r="D16250"/>
    </row>
    <row r="16251" spans="4:4" x14ac:dyDescent="0.25">
      <c r="D16251"/>
    </row>
    <row r="16252" spans="4:4" x14ac:dyDescent="0.25">
      <c r="D16252"/>
    </row>
    <row r="16253" spans="4:4" x14ac:dyDescent="0.25">
      <c r="D16253"/>
    </row>
    <row r="16254" spans="4:4" x14ac:dyDescent="0.25">
      <c r="D16254"/>
    </row>
    <row r="16255" spans="4:4" x14ac:dyDescent="0.25">
      <c r="D16255"/>
    </row>
    <row r="16256" spans="4:4" x14ac:dyDescent="0.25">
      <c r="D16256"/>
    </row>
    <row r="16257" spans="4:4" x14ac:dyDescent="0.25">
      <c r="D16257"/>
    </row>
    <row r="16258" spans="4:4" x14ac:dyDescent="0.25">
      <c r="D16258"/>
    </row>
    <row r="16259" spans="4:4" x14ac:dyDescent="0.25">
      <c r="D16259"/>
    </row>
    <row r="16260" spans="4:4" x14ac:dyDescent="0.25">
      <c r="D16260"/>
    </row>
    <row r="16261" spans="4:4" x14ac:dyDescent="0.25">
      <c r="D16261"/>
    </row>
    <row r="16262" spans="4:4" x14ac:dyDescent="0.25">
      <c r="D16262"/>
    </row>
    <row r="16263" spans="4:4" x14ac:dyDescent="0.25">
      <c r="D16263"/>
    </row>
    <row r="16264" spans="4:4" x14ac:dyDescent="0.25">
      <c r="D16264"/>
    </row>
    <row r="16265" spans="4:4" x14ac:dyDescent="0.25">
      <c r="D16265"/>
    </row>
    <row r="16266" spans="4:4" x14ac:dyDescent="0.25">
      <c r="D16266"/>
    </row>
    <row r="16267" spans="4:4" x14ac:dyDescent="0.25">
      <c r="D16267"/>
    </row>
    <row r="16268" spans="4:4" x14ac:dyDescent="0.25">
      <c r="D16268"/>
    </row>
    <row r="16269" spans="4:4" x14ac:dyDescent="0.25">
      <c r="D16269"/>
    </row>
    <row r="16270" spans="4:4" x14ac:dyDescent="0.25">
      <c r="D16270"/>
    </row>
    <row r="16271" spans="4:4" x14ac:dyDescent="0.25">
      <c r="D16271"/>
    </row>
    <row r="16272" spans="4:4" x14ac:dyDescent="0.25">
      <c r="D16272"/>
    </row>
    <row r="16273" spans="4:4" x14ac:dyDescent="0.25">
      <c r="D16273"/>
    </row>
    <row r="16274" spans="4:4" x14ac:dyDescent="0.25">
      <c r="D16274"/>
    </row>
    <row r="16275" spans="4:4" x14ac:dyDescent="0.25">
      <c r="D16275"/>
    </row>
    <row r="16276" spans="4:4" x14ac:dyDescent="0.25">
      <c r="D16276"/>
    </row>
    <row r="16277" spans="4:4" x14ac:dyDescent="0.25">
      <c r="D16277"/>
    </row>
    <row r="16278" spans="4:4" x14ac:dyDescent="0.25">
      <c r="D16278"/>
    </row>
    <row r="16279" spans="4:4" x14ac:dyDescent="0.25">
      <c r="D16279"/>
    </row>
    <row r="16280" spans="4:4" x14ac:dyDescent="0.25">
      <c r="D16280"/>
    </row>
    <row r="16281" spans="4:4" x14ac:dyDescent="0.25">
      <c r="D16281"/>
    </row>
    <row r="16282" spans="4:4" x14ac:dyDescent="0.25">
      <c r="D16282"/>
    </row>
    <row r="16283" spans="4:4" x14ac:dyDescent="0.25">
      <c r="D16283"/>
    </row>
    <row r="16284" spans="4:4" x14ac:dyDescent="0.25">
      <c r="D16284"/>
    </row>
    <row r="16285" spans="4:4" x14ac:dyDescent="0.25">
      <c r="D16285"/>
    </row>
    <row r="16286" spans="4:4" x14ac:dyDescent="0.25">
      <c r="D16286"/>
    </row>
    <row r="16287" spans="4:4" x14ac:dyDescent="0.25">
      <c r="D16287"/>
    </row>
    <row r="16288" spans="4:4" x14ac:dyDescent="0.25">
      <c r="D16288"/>
    </row>
    <row r="16289" spans="4:4" x14ac:dyDescent="0.25">
      <c r="D16289"/>
    </row>
    <row r="16290" spans="4:4" x14ac:dyDescent="0.25">
      <c r="D16290"/>
    </row>
    <row r="16291" spans="4:4" x14ac:dyDescent="0.25">
      <c r="D16291"/>
    </row>
    <row r="16292" spans="4:4" x14ac:dyDescent="0.25">
      <c r="D16292"/>
    </row>
    <row r="16293" spans="4:4" x14ac:dyDescent="0.25">
      <c r="D16293"/>
    </row>
    <row r="16294" spans="4:4" x14ac:dyDescent="0.25">
      <c r="D16294"/>
    </row>
    <row r="16295" spans="4:4" x14ac:dyDescent="0.25">
      <c r="D16295"/>
    </row>
    <row r="16296" spans="4:4" x14ac:dyDescent="0.25">
      <c r="D16296"/>
    </row>
    <row r="16297" spans="4:4" x14ac:dyDescent="0.25">
      <c r="D16297"/>
    </row>
    <row r="16298" spans="4:4" x14ac:dyDescent="0.25">
      <c r="D16298"/>
    </row>
    <row r="16299" spans="4:4" x14ac:dyDescent="0.25">
      <c r="D16299"/>
    </row>
    <row r="16300" spans="4:4" x14ac:dyDescent="0.25">
      <c r="D16300"/>
    </row>
    <row r="16301" spans="4:4" x14ac:dyDescent="0.25">
      <c r="D16301"/>
    </row>
    <row r="16302" spans="4:4" x14ac:dyDescent="0.25">
      <c r="D16302"/>
    </row>
    <row r="16303" spans="4:4" x14ac:dyDescent="0.25">
      <c r="D16303"/>
    </row>
    <row r="16304" spans="4:4" x14ac:dyDescent="0.25">
      <c r="D16304"/>
    </row>
    <row r="16305" spans="4:4" x14ac:dyDescent="0.25">
      <c r="D16305"/>
    </row>
    <row r="16306" spans="4:4" x14ac:dyDescent="0.25">
      <c r="D16306"/>
    </row>
    <row r="16307" spans="4:4" x14ac:dyDescent="0.25">
      <c r="D16307"/>
    </row>
    <row r="16308" spans="4:4" x14ac:dyDescent="0.25">
      <c r="D16308"/>
    </row>
    <row r="16309" spans="4:4" x14ac:dyDescent="0.25">
      <c r="D16309"/>
    </row>
    <row r="16310" spans="4:4" x14ac:dyDescent="0.25">
      <c r="D16310"/>
    </row>
    <row r="16311" spans="4:4" x14ac:dyDescent="0.25">
      <c r="D16311"/>
    </row>
    <row r="16312" spans="4:4" x14ac:dyDescent="0.25">
      <c r="D16312"/>
    </row>
    <row r="16313" spans="4:4" x14ac:dyDescent="0.25">
      <c r="D16313"/>
    </row>
    <row r="16314" spans="4:4" x14ac:dyDescent="0.25">
      <c r="D16314"/>
    </row>
    <row r="16315" spans="4:4" x14ac:dyDescent="0.25">
      <c r="D16315"/>
    </row>
    <row r="16316" spans="4:4" x14ac:dyDescent="0.25">
      <c r="D16316"/>
    </row>
    <row r="16317" spans="4:4" x14ac:dyDescent="0.25">
      <c r="D16317"/>
    </row>
    <row r="16318" spans="4:4" x14ac:dyDescent="0.25">
      <c r="D16318"/>
    </row>
    <row r="16319" spans="4:4" x14ac:dyDescent="0.25">
      <c r="D16319"/>
    </row>
    <row r="16320" spans="4:4" x14ac:dyDescent="0.25">
      <c r="D16320"/>
    </row>
    <row r="16321" spans="4:4" x14ac:dyDescent="0.25">
      <c r="D16321"/>
    </row>
    <row r="16322" spans="4:4" x14ac:dyDescent="0.25">
      <c r="D16322"/>
    </row>
    <row r="16323" spans="4:4" x14ac:dyDescent="0.25">
      <c r="D16323"/>
    </row>
    <row r="16324" spans="4:4" x14ac:dyDescent="0.25">
      <c r="D16324"/>
    </row>
    <row r="16325" spans="4:4" x14ac:dyDescent="0.25">
      <c r="D16325"/>
    </row>
    <row r="16326" spans="4:4" x14ac:dyDescent="0.25">
      <c r="D16326"/>
    </row>
    <row r="16327" spans="4:4" x14ac:dyDescent="0.25">
      <c r="D16327"/>
    </row>
    <row r="16328" spans="4:4" x14ac:dyDescent="0.25">
      <c r="D16328"/>
    </row>
    <row r="16329" spans="4:4" x14ac:dyDescent="0.25">
      <c r="D16329"/>
    </row>
    <row r="16330" spans="4:4" x14ac:dyDescent="0.25">
      <c r="D16330"/>
    </row>
  </sheetData>
  <sheetProtection algorithmName="SHA-512" hashValue="0dPOUA5k5CIODAmt7BsrgXbq46tIVowHybclztouYeTPPrCFe1UgrN/HRZRHiYlBo+4nQyUcmPJzyzWLlfj6zQ==" saltValue="8CUj7B3MOzV37xhBhK8Stg==" spinCount="100000" sheet="1" objects="1" scenarios="1"/>
  <mergeCells count="5">
    <mergeCell ref="C38:C39"/>
    <mergeCell ref="C41:C42"/>
    <mergeCell ref="C44:C45"/>
    <mergeCell ref="C47:C48"/>
    <mergeCell ref="C13:C14"/>
  </mergeCells>
  <hyperlinks>
    <hyperlink ref="B10" r:id="rId1" xr:uid="{FE4D8E64-A7DB-466D-8C24-041486C3FECC}"/>
    <hyperlink ref="B11" r:id="rId2" xr:uid="{2504CB92-DC0E-489A-AA62-719D5645F2F6}"/>
    <hyperlink ref="M5" r:id="rId3" xr:uid="{00DFD0AB-C01D-467E-988E-5EC51CCDE648}"/>
    <hyperlink ref="M6" r:id="rId4" xr:uid="{149122A9-FBB5-46EC-9DB0-711693F2E2F1}"/>
  </hyperlinks>
  <pageMargins left="0.7" right="0.7" top="0.75" bottom="0.75" header="0.3" footer="0.3"/>
  <pageSetup paperSize="9" scale="39" orientation="portrait" r:id="rId5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datos</vt:lpstr>
      <vt:lpstr>GRAFICOS</vt:lpstr>
      <vt:lpstr>HISTOGRAMAS</vt:lpstr>
      <vt:lpstr>MAX_MIN</vt:lpstr>
      <vt:lpstr>datos!fichero</vt:lpstr>
      <vt:lpstr>datos!fichero_1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Ramiro</dc:creator>
  <cp:lastModifiedBy>miguel angel banegas</cp:lastModifiedBy>
  <cp:lastPrinted>2019-08-10T22:44:44Z</cp:lastPrinted>
  <dcterms:created xsi:type="dcterms:W3CDTF">2019-07-03T13:29:11Z</dcterms:created>
  <dcterms:modified xsi:type="dcterms:W3CDTF">2024-11-06T04:19:32Z</dcterms:modified>
</cp:coreProperties>
</file>